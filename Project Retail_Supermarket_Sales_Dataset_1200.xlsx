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8_{E4E6B263-75F6-4520-BBA9-4D69B648B137}" xr6:coauthVersionLast="47" xr6:coauthVersionMax="47" xr10:uidLastSave="{00000000-0000-0000-0000-000000000000}"/>
  <bookViews>
    <workbookView xWindow="-120" yWindow="-120" windowWidth="20730" windowHeight="11160" activeTab="2" xr2:uid="{00000000-000D-0000-FFFF-FFFF00000000}"/>
  </bookViews>
  <sheets>
    <sheet name="RAW DATA" sheetId="2" r:id="rId1"/>
    <sheet name="Pivot Tables" sheetId="18" r:id="rId2"/>
    <sheet name="WORKING DATA" sheetId="1" r:id="rId3"/>
    <sheet name="EDA" sheetId="3" r:id="rId4"/>
  </sheets>
  <definedNames>
    <definedName name="_xlcn.WorksheetConnection_WORKINGDATAAAA1" hidden="1">'WORKING DATA'!$A:$AA</definedName>
    <definedName name="Slicer_Branch">#N/A</definedName>
    <definedName name="Slicer_Clean_City">#N/A</definedName>
    <definedName name="Slicer_Clean_payment_Method">#N/A</definedName>
    <definedName name="Slicer_Clean_Product_Name">#N/A</definedName>
  </definedNames>
  <calcPr calcId="191029"/>
  <pivotCaches>
    <pivotCache cacheId="55" r:id="rId5"/>
    <pivotCache cacheId="64" r:id="rId6"/>
    <pivotCache cacheId="86" r:id="rId7"/>
  </pivotCaches>
  <extLst>
    <ext xmlns:x14="http://schemas.microsoft.com/office/spreadsheetml/2009/9/main" uri="{876F7934-8845-4945-9796-88D515C7AA90}">
      <x14:pivotCaches>
        <pivotCache cacheId="65"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ING DATA!$A:$A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E2" i="1"/>
  <c r="H2" i="1"/>
  <c r="J2" i="1"/>
  <c r="L2" i="1"/>
  <c r="N2" i="1"/>
  <c r="Q2" i="1"/>
  <c r="AA2" i="1" s="1"/>
  <c r="S2" i="1"/>
  <c r="U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Q3" i="1"/>
  <c r="AA3" i="1" s="1"/>
  <c r="Q4" i="1"/>
  <c r="AA4" i="1" s="1"/>
  <c r="Q5" i="1"/>
  <c r="AA5" i="1" s="1"/>
  <c r="Q6" i="1"/>
  <c r="AA6" i="1" s="1"/>
  <c r="Q7" i="1"/>
  <c r="AA7" i="1" s="1"/>
  <c r="Q8" i="1"/>
  <c r="AA8" i="1" s="1"/>
  <c r="Q9" i="1"/>
  <c r="AA9" i="1" s="1"/>
  <c r="Q10" i="1"/>
  <c r="AA10" i="1" s="1"/>
  <c r="Q11" i="1"/>
  <c r="AA11" i="1" s="1"/>
  <c r="Q12" i="1"/>
  <c r="AA12" i="1" s="1"/>
  <c r="Q13" i="1"/>
  <c r="AA13" i="1" s="1"/>
  <c r="Q14" i="1"/>
  <c r="AA14" i="1" s="1"/>
  <c r="Q15" i="1"/>
  <c r="AA15" i="1" s="1"/>
  <c r="Q16" i="1"/>
  <c r="AA16" i="1" s="1"/>
  <c r="Q17" i="1"/>
  <c r="AA17" i="1" s="1"/>
  <c r="Q18" i="1"/>
  <c r="AA18" i="1" s="1"/>
  <c r="Q19" i="1"/>
  <c r="AA19" i="1" s="1"/>
  <c r="Q20" i="1"/>
  <c r="AA20" i="1" s="1"/>
  <c r="Q21" i="1"/>
  <c r="AA21" i="1" s="1"/>
  <c r="Q22" i="1"/>
  <c r="AA22" i="1" s="1"/>
  <c r="Q23" i="1"/>
  <c r="AA23" i="1" s="1"/>
  <c r="Q24" i="1"/>
  <c r="AA24" i="1" s="1"/>
  <c r="Q25" i="1"/>
  <c r="AA25" i="1" s="1"/>
  <c r="Q26" i="1"/>
  <c r="AA26" i="1" s="1"/>
  <c r="Q27" i="1"/>
  <c r="AA27" i="1" s="1"/>
  <c r="Q28" i="1"/>
  <c r="AA28" i="1" s="1"/>
  <c r="Q29" i="1"/>
  <c r="AA29" i="1" s="1"/>
  <c r="Q30" i="1"/>
  <c r="AA30" i="1" s="1"/>
  <c r="Q31" i="1"/>
  <c r="AA31" i="1" s="1"/>
  <c r="Q32" i="1"/>
  <c r="AA32" i="1" s="1"/>
  <c r="Q33" i="1"/>
  <c r="AA33" i="1" s="1"/>
  <c r="Q34" i="1"/>
  <c r="AA34" i="1" s="1"/>
  <c r="Q35" i="1"/>
  <c r="AA35" i="1" s="1"/>
  <c r="Q36" i="1"/>
  <c r="AA36" i="1" s="1"/>
  <c r="Q37" i="1"/>
  <c r="AA37" i="1" s="1"/>
  <c r="Q38" i="1"/>
  <c r="AA38" i="1" s="1"/>
  <c r="Q39" i="1"/>
  <c r="AA39" i="1" s="1"/>
  <c r="Q40" i="1"/>
  <c r="AA40" i="1" s="1"/>
  <c r="Q41" i="1"/>
  <c r="AA41" i="1" s="1"/>
  <c r="Q42" i="1"/>
  <c r="AA42" i="1" s="1"/>
  <c r="Q43" i="1"/>
  <c r="AA43" i="1" s="1"/>
  <c r="Q44" i="1"/>
  <c r="AA44" i="1" s="1"/>
  <c r="Q45" i="1"/>
  <c r="AA45" i="1" s="1"/>
  <c r="Q46" i="1"/>
  <c r="AA46" i="1" s="1"/>
  <c r="Q47" i="1"/>
  <c r="AA47" i="1" s="1"/>
  <c r="Q48" i="1"/>
  <c r="AA48" i="1" s="1"/>
  <c r="Q49" i="1"/>
  <c r="AA49" i="1" s="1"/>
  <c r="Q50" i="1"/>
  <c r="AA50" i="1" s="1"/>
  <c r="Q51" i="1"/>
  <c r="AA51" i="1" s="1"/>
  <c r="Q52" i="1"/>
  <c r="AA52" i="1" s="1"/>
  <c r="Q53" i="1"/>
  <c r="AA53" i="1" s="1"/>
  <c r="Q54" i="1"/>
  <c r="AA54" i="1" s="1"/>
  <c r="Q55" i="1"/>
  <c r="AA55" i="1" s="1"/>
  <c r="Q56" i="1"/>
  <c r="AA56" i="1" s="1"/>
  <c r="Q57" i="1"/>
  <c r="AA57" i="1" s="1"/>
  <c r="Q58" i="1"/>
  <c r="AA58" i="1" s="1"/>
  <c r="Q59" i="1"/>
  <c r="AA59" i="1" s="1"/>
  <c r="Q60" i="1"/>
  <c r="AA60" i="1" s="1"/>
  <c r="Q61" i="1"/>
  <c r="AA61" i="1" s="1"/>
  <c r="Q62" i="1"/>
  <c r="AA62" i="1" s="1"/>
  <c r="Q63" i="1"/>
  <c r="AA63" i="1" s="1"/>
  <c r="Q64" i="1"/>
  <c r="AA64" i="1" s="1"/>
  <c r="Q65" i="1"/>
  <c r="AA65" i="1" s="1"/>
  <c r="Q66" i="1"/>
  <c r="AA66" i="1" s="1"/>
  <c r="Q67" i="1"/>
  <c r="AA67" i="1" s="1"/>
  <c r="Q68" i="1"/>
  <c r="AA68" i="1" s="1"/>
  <c r="Q69" i="1"/>
  <c r="AA69" i="1" s="1"/>
  <c r="Q70" i="1"/>
  <c r="AA70" i="1" s="1"/>
  <c r="Q71" i="1"/>
  <c r="AA71" i="1" s="1"/>
  <c r="Q72" i="1"/>
  <c r="AA72" i="1" s="1"/>
  <c r="Q73" i="1"/>
  <c r="AA73" i="1" s="1"/>
  <c r="Q74" i="1"/>
  <c r="AA74" i="1" s="1"/>
  <c r="Q75" i="1"/>
  <c r="AA75" i="1" s="1"/>
  <c r="Q76" i="1"/>
  <c r="AA76" i="1" s="1"/>
  <c r="Q77" i="1"/>
  <c r="AA77" i="1" s="1"/>
  <c r="Q78" i="1"/>
  <c r="AA78" i="1" s="1"/>
  <c r="Q79" i="1"/>
  <c r="AA79" i="1" s="1"/>
  <c r="Q80" i="1"/>
  <c r="AA80" i="1" s="1"/>
  <c r="Q81" i="1"/>
  <c r="AA81" i="1" s="1"/>
  <c r="Q82" i="1"/>
  <c r="AA82" i="1" s="1"/>
  <c r="Q83" i="1"/>
  <c r="AA83" i="1" s="1"/>
  <c r="Q84" i="1"/>
  <c r="AA84" i="1" s="1"/>
  <c r="Q85" i="1"/>
  <c r="AA85" i="1" s="1"/>
  <c r="Q86" i="1"/>
  <c r="AA86" i="1" s="1"/>
  <c r="Q87" i="1"/>
  <c r="AA87" i="1" s="1"/>
  <c r="Q88" i="1"/>
  <c r="AA88" i="1" s="1"/>
  <c r="Q89" i="1"/>
  <c r="AA89" i="1" s="1"/>
  <c r="Q90" i="1"/>
  <c r="AA90" i="1" s="1"/>
  <c r="Q91" i="1"/>
  <c r="AA91" i="1" s="1"/>
  <c r="Q92" i="1"/>
  <c r="AA92" i="1" s="1"/>
  <c r="Q93" i="1"/>
  <c r="AA93" i="1" s="1"/>
  <c r="Q94" i="1"/>
  <c r="AA94" i="1" s="1"/>
  <c r="Q95" i="1"/>
  <c r="AA95" i="1" s="1"/>
  <c r="Q96" i="1"/>
  <c r="AA96" i="1" s="1"/>
  <c r="Q97" i="1"/>
  <c r="AA97" i="1" s="1"/>
  <c r="Q98" i="1"/>
  <c r="AA98" i="1" s="1"/>
  <c r="Q99" i="1"/>
  <c r="AA99" i="1" s="1"/>
  <c r="Q100" i="1"/>
  <c r="AA100" i="1" s="1"/>
  <c r="Q101" i="1"/>
  <c r="AA101" i="1" s="1"/>
  <c r="Q102" i="1"/>
  <c r="AA102" i="1" s="1"/>
  <c r="Q103" i="1"/>
  <c r="AA103" i="1" s="1"/>
  <c r="Q104" i="1"/>
  <c r="AA104" i="1" s="1"/>
  <c r="Q105" i="1"/>
  <c r="AA105" i="1" s="1"/>
  <c r="Q106" i="1"/>
  <c r="AA106" i="1" s="1"/>
  <c r="Q107" i="1"/>
  <c r="AA107" i="1" s="1"/>
  <c r="Q108" i="1"/>
  <c r="AA108" i="1" s="1"/>
  <c r="Q109" i="1"/>
  <c r="AA109" i="1" s="1"/>
  <c r="Q110" i="1"/>
  <c r="AA110" i="1" s="1"/>
  <c r="Q111" i="1"/>
  <c r="AA111" i="1" s="1"/>
  <c r="Q112" i="1"/>
  <c r="AA112" i="1" s="1"/>
  <c r="Q113" i="1"/>
  <c r="AA113" i="1" s="1"/>
  <c r="Q114" i="1"/>
  <c r="AA114" i="1" s="1"/>
  <c r="Q115" i="1"/>
  <c r="AA115" i="1" s="1"/>
  <c r="Q116" i="1"/>
  <c r="AA116" i="1" s="1"/>
  <c r="Q117" i="1"/>
  <c r="AA117" i="1" s="1"/>
  <c r="Q118" i="1"/>
  <c r="AA118" i="1" s="1"/>
  <c r="Q119" i="1"/>
  <c r="AA119" i="1" s="1"/>
  <c r="Q120" i="1"/>
  <c r="AA120" i="1" s="1"/>
  <c r="Q121" i="1"/>
  <c r="AA121" i="1" s="1"/>
  <c r="Q122" i="1"/>
  <c r="AA122" i="1" s="1"/>
  <c r="Q123" i="1"/>
  <c r="AA123" i="1" s="1"/>
  <c r="Q124" i="1"/>
  <c r="AA124" i="1" s="1"/>
  <c r="Q125" i="1"/>
  <c r="AA125" i="1" s="1"/>
  <c r="Q126" i="1"/>
  <c r="AA126" i="1" s="1"/>
  <c r="Q127" i="1"/>
  <c r="AA127" i="1" s="1"/>
  <c r="Q128" i="1"/>
  <c r="AA128" i="1" s="1"/>
  <c r="Q129" i="1"/>
  <c r="AA129" i="1" s="1"/>
  <c r="Q130" i="1"/>
  <c r="AA130" i="1" s="1"/>
  <c r="Q131" i="1"/>
  <c r="AA131" i="1" s="1"/>
  <c r="Q132" i="1"/>
  <c r="AA132" i="1" s="1"/>
  <c r="Q133" i="1"/>
  <c r="AA133" i="1" s="1"/>
  <c r="Q134" i="1"/>
  <c r="AA134" i="1" s="1"/>
  <c r="Q135" i="1"/>
  <c r="AA135" i="1" s="1"/>
  <c r="Q136" i="1"/>
  <c r="AA136" i="1" s="1"/>
  <c r="Q137" i="1"/>
  <c r="AA137" i="1" s="1"/>
  <c r="Q138" i="1"/>
  <c r="AA138" i="1" s="1"/>
  <c r="Q139" i="1"/>
  <c r="AA139" i="1" s="1"/>
  <c r="Q140" i="1"/>
  <c r="AA140" i="1" s="1"/>
  <c r="Q141" i="1"/>
  <c r="AA141" i="1" s="1"/>
  <c r="Q142" i="1"/>
  <c r="AA142" i="1" s="1"/>
  <c r="Q143" i="1"/>
  <c r="AA143" i="1" s="1"/>
  <c r="Q144" i="1"/>
  <c r="AA144" i="1" s="1"/>
  <c r="Q145" i="1"/>
  <c r="AA145" i="1" s="1"/>
  <c r="Q146" i="1"/>
  <c r="AA146" i="1" s="1"/>
  <c r="Q147" i="1"/>
  <c r="AA147" i="1" s="1"/>
  <c r="Q148" i="1"/>
  <c r="AA148" i="1" s="1"/>
  <c r="Q149" i="1"/>
  <c r="AA149" i="1" s="1"/>
  <c r="Q150" i="1"/>
  <c r="AA150" i="1" s="1"/>
  <c r="Q151" i="1"/>
  <c r="AA151" i="1" s="1"/>
  <c r="Q152" i="1"/>
  <c r="AA152" i="1" s="1"/>
  <c r="Q153" i="1"/>
  <c r="AA153" i="1" s="1"/>
  <c r="Q154" i="1"/>
  <c r="AA154" i="1" s="1"/>
  <c r="Q155" i="1"/>
  <c r="AA155" i="1" s="1"/>
  <c r="Q156" i="1"/>
  <c r="AA156" i="1" s="1"/>
  <c r="Q157" i="1"/>
  <c r="AA157" i="1" s="1"/>
  <c r="Q158" i="1"/>
  <c r="AA158" i="1" s="1"/>
  <c r="Q159" i="1"/>
  <c r="AA159" i="1" s="1"/>
  <c r="Q160" i="1"/>
  <c r="AA160" i="1" s="1"/>
  <c r="Q161" i="1"/>
  <c r="AA161" i="1" s="1"/>
  <c r="Q162" i="1"/>
  <c r="AA162" i="1" s="1"/>
  <c r="Q163" i="1"/>
  <c r="AA163" i="1" s="1"/>
  <c r="Q164" i="1"/>
  <c r="AA164" i="1" s="1"/>
  <c r="Q165" i="1"/>
  <c r="AA165" i="1" s="1"/>
  <c r="Q166" i="1"/>
  <c r="AA166" i="1" s="1"/>
  <c r="Q167" i="1"/>
  <c r="AA167" i="1" s="1"/>
  <c r="Q168" i="1"/>
  <c r="AA168" i="1" s="1"/>
  <c r="Q169" i="1"/>
  <c r="AA169" i="1" s="1"/>
  <c r="Q170" i="1"/>
  <c r="AA170" i="1" s="1"/>
  <c r="Q171" i="1"/>
  <c r="AA171" i="1" s="1"/>
  <c r="Q172" i="1"/>
  <c r="AA172" i="1" s="1"/>
  <c r="Q173" i="1"/>
  <c r="AA173" i="1" s="1"/>
  <c r="Q174" i="1"/>
  <c r="AA174" i="1" s="1"/>
  <c r="Q175" i="1"/>
  <c r="AA175" i="1" s="1"/>
  <c r="Q176" i="1"/>
  <c r="AA176" i="1" s="1"/>
  <c r="Q177" i="1"/>
  <c r="AA177" i="1" s="1"/>
  <c r="Q178" i="1"/>
  <c r="AA178" i="1" s="1"/>
  <c r="Q179" i="1"/>
  <c r="AA179" i="1" s="1"/>
  <c r="Q180" i="1"/>
  <c r="AA180" i="1" s="1"/>
  <c r="Q181" i="1"/>
  <c r="AA181" i="1" s="1"/>
  <c r="Q182" i="1"/>
  <c r="AA182" i="1" s="1"/>
  <c r="Q183" i="1"/>
  <c r="AA183" i="1" s="1"/>
  <c r="Q184" i="1"/>
  <c r="AA184" i="1" s="1"/>
  <c r="Q185" i="1"/>
  <c r="AA185" i="1" s="1"/>
  <c r="Q186" i="1"/>
  <c r="AA186" i="1" s="1"/>
  <c r="Q187" i="1"/>
  <c r="AA187" i="1" s="1"/>
  <c r="Q188" i="1"/>
  <c r="AA188" i="1" s="1"/>
  <c r="Q189" i="1"/>
  <c r="AA189" i="1" s="1"/>
  <c r="Q190" i="1"/>
  <c r="AA190" i="1" s="1"/>
  <c r="Q191" i="1"/>
  <c r="AA191" i="1" s="1"/>
  <c r="Q192" i="1"/>
  <c r="AA192" i="1" s="1"/>
  <c r="Q193" i="1"/>
  <c r="AA193" i="1" s="1"/>
  <c r="Q194" i="1"/>
  <c r="AA194" i="1" s="1"/>
  <c r="Q195" i="1"/>
  <c r="AA195" i="1" s="1"/>
  <c r="Q196" i="1"/>
  <c r="AA196" i="1" s="1"/>
  <c r="Q197" i="1"/>
  <c r="AA197" i="1" s="1"/>
  <c r="Q198" i="1"/>
  <c r="AA198" i="1" s="1"/>
  <c r="Q199" i="1"/>
  <c r="AA199" i="1" s="1"/>
  <c r="Q200" i="1"/>
  <c r="AA200" i="1" s="1"/>
  <c r="Q201" i="1"/>
  <c r="AA201" i="1" s="1"/>
  <c r="Q202" i="1"/>
  <c r="AA202" i="1" s="1"/>
  <c r="Q203" i="1"/>
  <c r="AA203" i="1" s="1"/>
  <c r="Q204" i="1"/>
  <c r="AA204" i="1" s="1"/>
  <c r="Q205" i="1"/>
  <c r="AA205" i="1" s="1"/>
  <c r="Q206" i="1"/>
  <c r="AA206" i="1" s="1"/>
  <c r="Q207" i="1"/>
  <c r="AA207" i="1" s="1"/>
  <c r="Q208" i="1"/>
  <c r="AA208" i="1" s="1"/>
  <c r="Q209" i="1"/>
  <c r="AA209" i="1" s="1"/>
  <c r="Q210" i="1"/>
  <c r="AA210" i="1" s="1"/>
  <c r="Q211" i="1"/>
  <c r="AA211" i="1" s="1"/>
  <c r="Q212" i="1"/>
  <c r="AA212" i="1" s="1"/>
  <c r="Q213" i="1"/>
  <c r="AA213" i="1" s="1"/>
  <c r="Q214" i="1"/>
  <c r="AA214" i="1" s="1"/>
  <c r="Q215" i="1"/>
  <c r="AA215" i="1" s="1"/>
  <c r="Q216" i="1"/>
  <c r="AA216" i="1" s="1"/>
  <c r="Q217" i="1"/>
  <c r="AA217" i="1" s="1"/>
  <c r="Q218" i="1"/>
  <c r="AA218" i="1" s="1"/>
  <c r="Q219" i="1"/>
  <c r="AA219" i="1" s="1"/>
  <c r="Q220" i="1"/>
  <c r="AA220" i="1" s="1"/>
  <c r="Q221" i="1"/>
  <c r="AA221" i="1" s="1"/>
  <c r="Q222" i="1"/>
  <c r="AA222" i="1" s="1"/>
  <c r="Q223" i="1"/>
  <c r="AA223" i="1" s="1"/>
  <c r="Q224" i="1"/>
  <c r="AA224" i="1" s="1"/>
  <c r="Q225" i="1"/>
  <c r="AA225" i="1" s="1"/>
  <c r="Q226" i="1"/>
  <c r="AA226" i="1" s="1"/>
  <c r="Q227" i="1"/>
  <c r="AA227" i="1" s="1"/>
  <c r="Q228" i="1"/>
  <c r="AA228" i="1" s="1"/>
  <c r="Q229" i="1"/>
  <c r="AA229" i="1" s="1"/>
  <c r="Q230" i="1"/>
  <c r="AA230" i="1" s="1"/>
  <c r="Q231" i="1"/>
  <c r="AA231" i="1" s="1"/>
  <c r="Q232" i="1"/>
  <c r="AA232" i="1" s="1"/>
  <c r="Q233" i="1"/>
  <c r="AA233" i="1" s="1"/>
  <c r="Q234" i="1"/>
  <c r="AA234" i="1" s="1"/>
  <c r="Q235" i="1"/>
  <c r="AA235" i="1" s="1"/>
  <c r="Q236" i="1"/>
  <c r="AA236" i="1" s="1"/>
  <c r="Q237" i="1"/>
  <c r="AA237" i="1" s="1"/>
  <c r="Q238" i="1"/>
  <c r="AA238" i="1" s="1"/>
  <c r="Q239" i="1"/>
  <c r="AA239" i="1" s="1"/>
  <c r="Q240" i="1"/>
  <c r="AA240" i="1" s="1"/>
  <c r="Q241" i="1"/>
  <c r="AA241" i="1" s="1"/>
  <c r="Q242" i="1"/>
  <c r="AA242" i="1" s="1"/>
  <c r="Q243" i="1"/>
  <c r="AA243" i="1" s="1"/>
  <c r="Q244" i="1"/>
  <c r="AA244" i="1" s="1"/>
  <c r="Q245" i="1"/>
  <c r="AA245" i="1" s="1"/>
  <c r="Q246" i="1"/>
  <c r="AA246" i="1" s="1"/>
  <c r="Q247" i="1"/>
  <c r="AA247" i="1" s="1"/>
  <c r="Q248" i="1"/>
  <c r="AA248" i="1" s="1"/>
  <c r="Q249" i="1"/>
  <c r="AA249" i="1" s="1"/>
  <c r="Q250" i="1"/>
  <c r="AA250" i="1" s="1"/>
  <c r="Q251" i="1"/>
  <c r="AA251" i="1" s="1"/>
  <c r="Q252" i="1"/>
  <c r="AA252" i="1" s="1"/>
  <c r="Q253" i="1"/>
  <c r="AA253" i="1" s="1"/>
  <c r="Q254" i="1"/>
  <c r="AA254" i="1" s="1"/>
  <c r="Q255" i="1"/>
  <c r="AA255" i="1" s="1"/>
  <c r="Q256" i="1"/>
  <c r="AA256" i="1" s="1"/>
  <c r="Q257" i="1"/>
  <c r="AA257" i="1" s="1"/>
  <c r="Q258" i="1"/>
  <c r="AA258" i="1" s="1"/>
  <c r="Q259" i="1"/>
  <c r="AA259" i="1" s="1"/>
  <c r="Q260" i="1"/>
  <c r="AA260" i="1" s="1"/>
  <c r="Q261" i="1"/>
  <c r="AA261" i="1" s="1"/>
  <c r="Q262" i="1"/>
  <c r="AA262" i="1" s="1"/>
  <c r="Q263" i="1"/>
  <c r="AA263" i="1" s="1"/>
  <c r="Q264" i="1"/>
  <c r="AA264" i="1" s="1"/>
  <c r="Q265" i="1"/>
  <c r="AA265" i="1" s="1"/>
  <c r="Q266" i="1"/>
  <c r="AA266" i="1" s="1"/>
  <c r="Q267" i="1"/>
  <c r="AA267" i="1" s="1"/>
  <c r="Q268" i="1"/>
  <c r="AA268" i="1" s="1"/>
  <c r="Q269" i="1"/>
  <c r="AA269" i="1" s="1"/>
  <c r="Q270" i="1"/>
  <c r="AA270" i="1" s="1"/>
  <c r="Q271" i="1"/>
  <c r="AA271" i="1" s="1"/>
  <c r="Q272" i="1"/>
  <c r="AA272" i="1" s="1"/>
  <c r="Q273" i="1"/>
  <c r="AA273" i="1" s="1"/>
  <c r="Q274" i="1"/>
  <c r="AA274" i="1" s="1"/>
  <c r="Q275" i="1"/>
  <c r="AA275" i="1" s="1"/>
  <c r="Q276" i="1"/>
  <c r="AA276" i="1" s="1"/>
  <c r="Q277" i="1"/>
  <c r="AA277" i="1" s="1"/>
  <c r="Q278" i="1"/>
  <c r="AA278" i="1" s="1"/>
  <c r="Q279" i="1"/>
  <c r="AA279" i="1" s="1"/>
  <c r="Q280" i="1"/>
  <c r="AA280" i="1" s="1"/>
  <c r="Q281" i="1"/>
  <c r="AA281" i="1" s="1"/>
  <c r="Q282" i="1"/>
  <c r="AA282" i="1" s="1"/>
  <c r="Q283" i="1"/>
  <c r="AA283" i="1" s="1"/>
  <c r="Q284" i="1"/>
  <c r="AA284" i="1" s="1"/>
  <c r="Q285" i="1"/>
  <c r="AA285" i="1" s="1"/>
  <c r="Q286" i="1"/>
  <c r="AA286" i="1" s="1"/>
  <c r="Q287" i="1"/>
  <c r="AA287" i="1" s="1"/>
  <c r="Q288" i="1"/>
  <c r="AA288" i="1" s="1"/>
  <c r="Q289" i="1"/>
  <c r="AA289" i="1" s="1"/>
  <c r="Q290" i="1"/>
  <c r="AA290" i="1" s="1"/>
  <c r="Q291" i="1"/>
  <c r="AA291" i="1" s="1"/>
  <c r="Q292" i="1"/>
  <c r="AA292" i="1" s="1"/>
  <c r="Q293" i="1"/>
  <c r="AA293" i="1" s="1"/>
  <c r="Q294" i="1"/>
  <c r="AA294" i="1" s="1"/>
  <c r="Q295" i="1"/>
  <c r="AA295" i="1" s="1"/>
  <c r="Q296" i="1"/>
  <c r="AA296" i="1" s="1"/>
  <c r="Q297" i="1"/>
  <c r="AA297" i="1" s="1"/>
  <c r="Q298" i="1"/>
  <c r="AA298" i="1" s="1"/>
  <c r="Q299" i="1"/>
  <c r="AA299" i="1" s="1"/>
  <c r="Q300" i="1"/>
  <c r="AA300" i="1" s="1"/>
  <c r="Q301" i="1"/>
  <c r="AA301" i="1" s="1"/>
  <c r="Q302" i="1"/>
  <c r="AA302" i="1" s="1"/>
  <c r="Q303" i="1"/>
  <c r="AA303" i="1" s="1"/>
  <c r="Q304" i="1"/>
  <c r="AA304" i="1" s="1"/>
  <c r="Q305" i="1"/>
  <c r="AA305" i="1" s="1"/>
  <c r="Q306" i="1"/>
  <c r="AA306" i="1" s="1"/>
  <c r="Q307" i="1"/>
  <c r="AA307" i="1" s="1"/>
  <c r="Q308" i="1"/>
  <c r="AA308" i="1" s="1"/>
  <c r="Q309" i="1"/>
  <c r="AA309" i="1" s="1"/>
  <c r="Q310" i="1"/>
  <c r="AA310" i="1" s="1"/>
  <c r="Q311" i="1"/>
  <c r="AA311" i="1" s="1"/>
  <c r="Q312" i="1"/>
  <c r="AA312" i="1" s="1"/>
  <c r="Q313" i="1"/>
  <c r="AA313" i="1" s="1"/>
  <c r="Q314" i="1"/>
  <c r="AA314" i="1" s="1"/>
  <c r="Q315" i="1"/>
  <c r="AA315" i="1" s="1"/>
  <c r="Q316" i="1"/>
  <c r="AA316" i="1" s="1"/>
  <c r="Q317" i="1"/>
  <c r="AA317" i="1" s="1"/>
  <c r="Q318" i="1"/>
  <c r="AA318" i="1" s="1"/>
  <c r="Q319" i="1"/>
  <c r="AA319" i="1" s="1"/>
  <c r="Q320" i="1"/>
  <c r="AA320" i="1" s="1"/>
  <c r="Q321" i="1"/>
  <c r="AA321" i="1" s="1"/>
  <c r="Q322" i="1"/>
  <c r="AA322" i="1" s="1"/>
  <c r="Q323" i="1"/>
  <c r="AA323" i="1" s="1"/>
  <c r="Q324" i="1"/>
  <c r="AA324" i="1" s="1"/>
  <c r="Q325" i="1"/>
  <c r="AA325" i="1" s="1"/>
  <c r="Q326" i="1"/>
  <c r="AA326" i="1" s="1"/>
  <c r="Q327" i="1"/>
  <c r="AA327" i="1" s="1"/>
  <c r="Q328" i="1"/>
  <c r="AA328" i="1" s="1"/>
  <c r="Q329" i="1"/>
  <c r="AA329" i="1" s="1"/>
  <c r="Q330" i="1"/>
  <c r="AA330" i="1" s="1"/>
  <c r="Q331" i="1"/>
  <c r="AA331" i="1" s="1"/>
  <c r="Q332" i="1"/>
  <c r="AA332" i="1" s="1"/>
  <c r="Q333" i="1"/>
  <c r="AA333" i="1" s="1"/>
  <c r="Q334" i="1"/>
  <c r="AA334" i="1" s="1"/>
  <c r="Q335" i="1"/>
  <c r="AA335" i="1" s="1"/>
  <c r="Q336" i="1"/>
  <c r="AA336" i="1" s="1"/>
  <c r="Q337" i="1"/>
  <c r="AA337" i="1" s="1"/>
  <c r="Q338" i="1"/>
  <c r="AA338" i="1" s="1"/>
  <c r="Q339" i="1"/>
  <c r="AA339" i="1" s="1"/>
  <c r="Q340" i="1"/>
  <c r="AA340" i="1" s="1"/>
  <c r="Q341" i="1"/>
  <c r="AA341" i="1" s="1"/>
  <c r="Q342" i="1"/>
  <c r="AA342" i="1" s="1"/>
  <c r="Q343" i="1"/>
  <c r="AA343" i="1" s="1"/>
  <c r="Q344" i="1"/>
  <c r="AA344" i="1" s="1"/>
  <c r="Q345" i="1"/>
  <c r="AA345" i="1" s="1"/>
  <c r="Q346" i="1"/>
  <c r="AA346" i="1" s="1"/>
  <c r="Q347" i="1"/>
  <c r="AA347" i="1" s="1"/>
  <c r="Q348" i="1"/>
  <c r="AA348" i="1" s="1"/>
  <c r="Q349" i="1"/>
  <c r="AA349" i="1" s="1"/>
  <c r="Q350" i="1"/>
  <c r="AA350" i="1" s="1"/>
  <c r="Q351" i="1"/>
  <c r="AA351" i="1" s="1"/>
  <c r="Q352" i="1"/>
  <c r="AA352" i="1" s="1"/>
  <c r="Q353" i="1"/>
  <c r="AA353" i="1" s="1"/>
  <c r="Q354" i="1"/>
  <c r="AA354" i="1" s="1"/>
  <c r="Q355" i="1"/>
  <c r="AA355" i="1" s="1"/>
  <c r="Q356" i="1"/>
  <c r="AA356" i="1" s="1"/>
  <c r="Q357" i="1"/>
  <c r="AA357" i="1" s="1"/>
  <c r="Q358" i="1"/>
  <c r="AA358" i="1" s="1"/>
  <c r="Q359" i="1"/>
  <c r="AA359" i="1" s="1"/>
  <c r="Q360" i="1"/>
  <c r="AA360" i="1" s="1"/>
  <c r="Q361" i="1"/>
  <c r="AA361" i="1" s="1"/>
  <c r="Q362" i="1"/>
  <c r="AA362" i="1" s="1"/>
  <c r="Q363" i="1"/>
  <c r="AA363" i="1" s="1"/>
  <c r="Q364" i="1"/>
  <c r="AA364" i="1" s="1"/>
  <c r="Q365" i="1"/>
  <c r="AA365" i="1" s="1"/>
  <c r="Q366" i="1"/>
  <c r="AA366" i="1" s="1"/>
  <c r="Q367" i="1"/>
  <c r="AA367" i="1" s="1"/>
  <c r="Q368" i="1"/>
  <c r="AA368" i="1" s="1"/>
  <c r="Q369" i="1"/>
  <c r="AA369" i="1" s="1"/>
  <c r="Q370" i="1"/>
  <c r="AA370" i="1" s="1"/>
  <c r="Q371" i="1"/>
  <c r="AA371" i="1" s="1"/>
  <c r="Q372" i="1"/>
  <c r="AA372" i="1" s="1"/>
  <c r="Q373" i="1"/>
  <c r="AA373" i="1" s="1"/>
  <c r="Q374" i="1"/>
  <c r="AA374" i="1" s="1"/>
  <c r="Q375" i="1"/>
  <c r="AA375" i="1" s="1"/>
  <c r="Q376" i="1"/>
  <c r="AA376" i="1" s="1"/>
  <c r="Q377" i="1"/>
  <c r="AA377" i="1" s="1"/>
  <c r="Q378" i="1"/>
  <c r="AA378" i="1" s="1"/>
  <c r="Q379" i="1"/>
  <c r="AA379" i="1" s="1"/>
  <c r="Q380" i="1"/>
  <c r="AA380" i="1" s="1"/>
  <c r="Q381" i="1"/>
  <c r="AA381" i="1" s="1"/>
  <c r="Q382" i="1"/>
  <c r="AA382" i="1" s="1"/>
  <c r="Q383" i="1"/>
  <c r="AA383" i="1" s="1"/>
  <c r="Q384" i="1"/>
  <c r="AA384" i="1" s="1"/>
  <c r="Q385" i="1"/>
  <c r="AA385" i="1" s="1"/>
  <c r="Q386" i="1"/>
  <c r="AA386" i="1" s="1"/>
  <c r="Q387" i="1"/>
  <c r="AA387" i="1" s="1"/>
  <c r="Q388" i="1"/>
  <c r="AA388" i="1" s="1"/>
  <c r="Q389" i="1"/>
  <c r="AA389" i="1" s="1"/>
  <c r="Q390" i="1"/>
  <c r="AA390" i="1" s="1"/>
  <c r="Q391" i="1"/>
  <c r="AA391" i="1" s="1"/>
  <c r="Q392" i="1"/>
  <c r="AA392" i="1" s="1"/>
  <c r="Q393" i="1"/>
  <c r="AA393" i="1" s="1"/>
  <c r="Q394" i="1"/>
  <c r="AA394" i="1" s="1"/>
  <c r="Q395" i="1"/>
  <c r="AA395" i="1" s="1"/>
  <c r="Q396" i="1"/>
  <c r="AA396" i="1" s="1"/>
  <c r="Q397" i="1"/>
  <c r="AA397" i="1" s="1"/>
  <c r="Q398" i="1"/>
  <c r="AA398" i="1" s="1"/>
  <c r="Q399" i="1"/>
  <c r="AA399" i="1" s="1"/>
  <c r="Q400" i="1"/>
  <c r="AA400" i="1" s="1"/>
  <c r="Q401" i="1"/>
  <c r="AA401" i="1" s="1"/>
  <c r="Q402" i="1"/>
  <c r="AA402" i="1" s="1"/>
  <c r="Q403" i="1"/>
  <c r="AA403" i="1" s="1"/>
  <c r="Q404" i="1"/>
  <c r="AA404" i="1" s="1"/>
  <c r="Q405" i="1"/>
  <c r="AA405" i="1" s="1"/>
  <c r="Q406" i="1"/>
  <c r="AA406" i="1" s="1"/>
  <c r="Q407" i="1"/>
  <c r="AA407" i="1" s="1"/>
  <c r="Q408" i="1"/>
  <c r="AA408" i="1" s="1"/>
  <c r="Q409" i="1"/>
  <c r="AA409" i="1" s="1"/>
  <c r="Q410" i="1"/>
  <c r="AA410" i="1" s="1"/>
  <c r="Q411" i="1"/>
  <c r="AA411" i="1" s="1"/>
  <c r="Q412" i="1"/>
  <c r="AA412" i="1" s="1"/>
  <c r="Q413" i="1"/>
  <c r="AA413" i="1" s="1"/>
  <c r="Q414" i="1"/>
  <c r="AA414" i="1" s="1"/>
  <c r="Q415" i="1"/>
  <c r="AA415" i="1" s="1"/>
  <c r="Q416" i="1"/>
  <c r="AA416" i="1" s="1"/>
  <c r="Q417" i="1"/>
  <c r="AA417" i="1" s="1"/>
  <c r="Q418" i="1"/>
  <c r="AA418" i="1" s="1"/>
  <c r="Q419" i="1"/>
  <c r="AA419" i="1" s="1"/>
  <c r="Q420" i="1"/>
  <c r="AA420" i="1" s="1"/>
  <c r="Q421" i="1"/>
  <c r="AA421" i="1" s="1"/>
  <c r="Q422" i="1"/>
  <c r="AA422" i="1" s="1"/>
  <c r="Q423" i="1"/>
  <c r="AA423" i="1" s="1"/>
  <c r="Q424" i="1"/>
  <c r="AA424" i="1" s="1"/>
  <c r="Q425" i="1"/>
  <c r="AA425" i="1" s="1"/>
  <c r="Q426" i="1"/>
  <c r="AA426" i="1" s="1"/>
  <c r="Q427" i="1"/>
  <c r="AA427" i="1" s="1"/>
  <c r="Q428" i="1"/>
  <c r="AA428" i="1" s="1"/>
  <c r="Q429" i="1"/>
  <c r="AA429" i="1" s="1"/>
  <c r="Q430" i="1"/>
  <c r="AA430" i="1" s="1"/>
  <c r="Q431" i="1"/>
  <c r="AA431" i="1" s="1"/>
  <c r="Q432" i="1"/>
  <c r="AA432" i="1" s="1"/>
  <c r="Q433" i="1"/>
  <c r="AA433" i="1" s="1"/>
  <c r="Q434" i="1"/>
  <c r="AA434" i="1" s="1"/>
  <c r="Q435" i="1"/>
  <c r="AA435" i="1" s="1"/>
  <c r="Q436" i="1"/>
  <c r="AA436" i="1" s="1"/>
  <c r="Q437" i="1"/>
  <c r="AA437" i="1" s="1"/>
  <c r="Q438" i="1"/>
  <c r="AA438" i="1" s="1"/>
  <c r="Q439" i="1"/>
  <c r="AA439" i="1" s="1"/>
  <c r="Q440" i="1"/>
  <c r="AA440" i="1" s="1"/>
  <c r="Q441" i="1"/>
  <c r="AA441" i="1" s="1"/>
  <c r="Q442" i="1"/>
  <c r="AA442" i="1" s="1"/>
  <c r="Q443" i="1"/>
  <c r="AA443" i="1" s="1"/>
  <c r="Q444" i="1"/>
  <c r="AA444" i="1" s="1"/>
  <c r="Q445" i="1"/>
  <c r="AA445" i="1" s="1"/>
  <c r="Q446" i="1"/>
  <c r="AA446" i="1" s="1"/>
  <c r="Q447" i="1"/>
  <c r="AA447" i="1" s="1"/>
  <c r="Q448" i="1"/>
  <c r="AA448" i="1" s="1"/>
  <c r="Q449" i="1"/>
  <c r="AA449" i="1" s="1"/>
  <c r="Q450" i="1"/>
  <c r="AA450" i="1" s="1"/>
  <c r="Q451" i="1"/>
  <c r="AA451" i="1" s="1"/>
  <c r="Q452" i="1"/>
  <c r="AA452" i="1" s="1"/>
  <c r="Q453" i="1"/>
  <c r="AA453" i="1" s="1"/>
  <c r="Q454" i="1"/>
  <c r="AA454" i="1" s="1"/>
  <c r="Q455" i="1"/>
  <c r="AA455" i="1" s="1"/>
  <c r="Q456" i="1"/>
  <c r="AA456" i="1" s="1"/>
  <c r="Q457" i="1"/>
  <c r="AA457" i="1" s="1"/>
  <c r="Q458" i="1"/>
  <c r="AA458" i="1" s="1"/>
  <c r="Q459" i="1"/>
  <c r="AA459" i="1" s="1"/>
  <c r="Q460" i="1"/>
  <c r="AA460" i="1" s="1"/>
  <c r="Q461" i="1"/>
  <c r="AA461" i="1" s="1"/>
  <c r="Q462" i="1"/>
  <c r="AA462" i="1" s="1"/>
  <c r="Q463" i="1"/>
  <c r="AA463" i="1" s="1"/>
  <c r="Q464" i="1"/>
  <c r="AA464" i="1" s="1"/>
  <c r="Q465" i="1"/>
  <c r="AA465" i="1" s="1"/>
  <c r="Q466" i="1"/>
  <c r="AA466" i="1" s="1"/>
  <c r="Q467" i="1"/>
  <c r="AA467" i="1" s="1"/>
  <c r="Q468" i="1"/>
  <c r="AA468" i="1" s="1"/>
  <c r="Q469" i="1"/>
  <c r="AA469" i="1" s="1"/>
  <c r="Q470" i="1"/>
  <c r="AA470" i="1" s="1"/>
  <c r="Q471" i="1"/>
  <c r="AA471" i="1" s="1"/>
  <c r="Q472" i="1"/>
  <c r="AA472" i="1" s="1"/>
  <c r="Q473" i="1"/>
  <c r="AA473" i="1" s="1"/>
  <c r="Q474" i="1"/>
  <c r="AA474" i="1" s="1"/>
  <c r="Q475" i="1"/>
  <c r="AA475" i="1" s="1"/>
  <c r="Q476" i="1"/>
  <c r="AA476" i="1" s="1"/>
  <c r="Q477" i="1"/>
  <c r="AA477" i="1" s="1"/>
  <c r="Q478" i="1"/>
  <c r="AA478" i="1" s="1"/>
  <c r="Q479" i="1"/>
  <c r="AA479" i="1" s="1"/>
  <c r="Q480" i="1"/>
  <c r="AA480" i="1" s="1"/>
  <c r="Q481" i="1"/>
  <c r="AA481" i="1" s="1"/>
  <c r="Q482" i="1"/>
  <c r="AA482" i="1" s="1"/>
  <c r="Q483" i="1"/>
  <c r="AA483" i="1" s="1"/>
  <c r="Q484" i="1"/>
  <c r="AA484" i="1" s="1"/>
  <c r="Q485" i="1"/>
  <c r="AA485" i="1" s="1"/>
  <c r="Q486" i="1"/>
  <c r="AA486" i="1" s="1"/>
  <c r="Q487" i="1"/>
  <c r="AA487" i="1" s="1"/>
  <c r="Q488" i="1"/>
  <c r="AA488" i="1" s="1"/>
  <c r="Q489" i="1"/>
  <c r="AA489" i="1" s="1"/>
  <c r="Q490" i="1"/>
  <c r="AA490" i="1" s="1"/>
  <c r="Q491" i="1"/>
  <c r="AA491" i="1" s="1"/>
  <c r="Q492" i="1"/>
  <c r="AA492" i="1" s="1"/>
  <c r="Q493" i="1"/>
  <c r="AA493" i="1" s="1"/>
  <c r="Q494" i="1"/>
  <c r="AA494" i="1" s="1"/>
  <c r="Q495" i="1"/>
  <c r="AA495" i="1" s="1"/>
  <c r="Q496" i="1"/>
  <c r="AA496" i="1" s="1"/>
  <c r="Q497" i="1"/>
  <c r="AA497" i="1" s="1"/>
  <c r="Q498" i="1"/>
  <c r="AA498" i="1" s="1"/>
  <c r="Q499" i="1"/>
  <c r="AA499" i="1" s="1"/>
  <c r="Q500" i="1"/>
  <c r="AA500" i="1" s="1"/>
  <c r="Q501" i="1"/>
  <c r="AA501" i="1" s="1"/>
  <c r="Q502" i="1"/>
  <c r="AA502" i="1" s="1"/>
  <c r="Q503" i="1"/>
  <c r="AA503" i="1" s="1"/>
  <c r="Q504" i="1"/>
  <c r="AA504" i="1" s="1"/>
  <c r="Q505" i="1"/>
  <c r="AA505" i="1" s="1"/>
  <c r="Q506" i="1"/>
  <c r="AA506" i="1" s="1"/>
  <c r="Q507" i="1"/>
  <c r="AA507" i="1" s="1"/>
  <c r="Q508" i="1"/>
  <c r="AA508" i="1" s="1"/>
  <c r="Q509" i="1"/>
  <c r="AA509" i="1" s="1"/>
  <c r="Q510" i="1"/>
  <c r="AA510" i="1" s="1"/>
  <c r="Q511" i="1"/>
  <c r="AA511" i="1" s="1"/>
  <c r="Q512" i="1"/>
  <c r="AA512" i="1" s="1"/>
  <c r="Q513" i="1"/>
  <c r="AA513" i="1" s="1"/>
  <c r="Q514" i="1"/>
  <c r="AA514" i="1" s="1"/>
  <c r="Q515" i="1"/>
  <c r="AA515" i="1" s="1"/>
  <c r="Q516" i="1"/>
  <c r="AA516" i="1" s="1"/>
  <c r="Q517" i="1"/>
  <c r="AA517" i="1" s="1"/>
  <c r="Q518" i="1"/>
  <c r="AA518" i="1" s="1"/>
  <c r="Q519" i="1"/>
  <c r="AA519" i="1" s="1"/>
  <c r="Q520" i="1"/>
  <c r="AA520" i="1" s="1"/>
  <c r="Q521" i="1"/>
  <c r="AA521" i="1" s="1"/>
  <c r="Q522" i="1"/>
  <c r="AA522" i="1" s="1"/>
  <c r="Q523" i="1"/>
  <c r="AA523" i="1" s="1"/>
  <c r="Q524" i="1"/>
  <c r="AA524" i="1" s="1"/>
  <c r="Q525" i="1"/>
  <c r="AA525" i="1" s="1"/>
  <c r="Q526" i="1"/>
  <c r="AA526" i="1" s="1"/>
  <c r="Q527" i="1"/>
  <c r="AA527" i="1" s="1"/>
  <c r="Q528" i="1"/>
  <c r="AA528" i="1" s="1"/>
  <c r="Q529" i="1"/>
  <c r="AA529" i="1" s="1"/>
  <c r="Q530" i="1"/>
  <c r="AA530" i="1" s="1"/>
  <c r="Q531" i="1"/>
  <c r="AA531" i="1" s="1"/>
  <c r="Q532" i="1"/>
  <c r="AA532" i="1" s="1"/>
  <c r="Q533" i="1"/>
  <c r="AA533" i="1" s="1"/>
  <c r="Q534" i="1"/>
  <c r="AA534" i="1" s="1"/>
  <c r="Q535" i="1"/>
  <c r="AA535" i="1" s="1"/>
  <c r="Q536" i="1"/>
  <c r="AA536" i="1" s="1"/>
  <c r="Q537" i="1"/>
  <c r="AA537" i="1" s="1"/>
  <c r="Q538" i="1"/>
  <c r="AA538" i="1" s="1"/>
  <c r="Q539" i="1"/>
  <c r="AA539" i="1" s="1"/>
  <c r="Q540" i="1"/>
  <c r="AA540" i="1" s="1"/>
  <c r="Q541" i="1"/>
  <c r="AA541" i="1" s="1"/>
  <c r="Q542" i="1"/>
  <c r="AA542" i="1" s="1"/>
  <c r="Q543" i="1"/>
  <c r="AA543" i="1" s="1"/>
  <c r="Q544" i="1"/>
  <c r="AA544" i="1" s="1"/>
  <c r="Q545" i="1"/>
  <c r="AA545" i="1" s="1"/>
  <c r="Q546" i="1"/>
  <c r="AA546" i="1" s="1"/>
  <c r="Q547" i="1"/>
  <c r="AA547" i="1" s="1"/>
  <c r="Q548" i="1"/>
  <c r="AA548" i="1" s="1"/>
  <c r="Q549" i="1"/>
  <c r="AA549" i="1" s="1"/>
  <c r="Q550" i="1"/>
  <c r="AA550" i="1" s="1"/>
  <c r="Q551" i="1"/>
  <c r="AA551" i="1" s="1"/>
  <c r="Q552" i="1"/>
  <c r="AA552" i="1" s="1"/>
  <c r="Q553" i="1"/>
  <c r="AA553" i="1" s="1"/>
  <c r="Q554" i="1"/>
  <c r="AA554" i="1" s="1"/>
  <c r="Q555" i="1"/>
  <c r="AA555" i="1" s="1"/>
  <c r="Q556" i="1"/>
  <c r="AA556" i="1" s="1"/>
  <c r="Q557" i="1"/>
  <c r="AA557" i="1" s="1"/>
  <c r="Q558" i="1"/>
  <c r="AA558" i="1" s="1"/>
  <c r="Q559" i="1"/>
  <c r="AA559" i="1" s="1"/>
  <c r="Q560" i="1"/>
  <c r="AA560" i="1" s="1"/>
  <c r="Q561" i="1"/>
  <c r="AA561" i="1" s="1"/>
  <c r="Q562" i="1"/>
  <c r="AA562" i="1" s="1"/>
  <c r="Q563" i="1"/>
  <c r="AA563" i="1" s="1"/>
  <c r="Q564" i="1"/>
  <c r="AA564" i="1" s="1"/>
  <c r="Q565" i="1"/>
  <c r="AA565" i="1" s="1"/>
  <c r="Q566" i="1"/>
  <c r="AA566" i="1" s="1"/>
  <c r="Q567" i="1"/>
  <c r="AA567" i="1" s="1"/>
  <c r="Q568" i="1"/>
  <c r="AA568" i="1" s="1"/>
  <c r="Q569" i="1"/>
  <c r="AA569" i="1" s="1"/>
  <c r="Q570" i="1"/>
  <c r="AA570" i="1" s="1"/>
  <c r="Q571" i="1"/>
  <c r="AA571" i="1" s="1"/>
  <c r="Q572" i="1"/>
  <c r="AA572" i="1" s="1"/>
  <c r="Q573" i="1"/>
  <c r="AA573" i="1" s="1"/>
  <c r="Q574" i="1"/>
  <c r="AA574" i="1" s="1"/>
  <c r="Q575" i="1"/>
  <c r="AA575" i="1" s="1"/>
  <c r="Q576" i="1"/>
  <c r="AA576" i="1" s="1"/>
  <c r="Q577" i="1"/>
  <c r="AA577" i="1" s="1"/>
  <c r="Q578" i="1"/>
  <c r="AA578" i="1" s="1"/>
  <c r="Q579" i="1"/>
  <c r="AA579" i="1" s="1"/>
  <c r="Q580" i="1"/>
  <c r="AA580" i="1" s="1"/>
  <c r="Q581" i="1"/>
  <c r="AA581" i="1" s="1"/>
  <c r="Q582" i="1"/>
  <c r="AA582" i="1" s="1"/>
  <c r="Q583" i="1"/>
  <c r="AA583" i="1" s="1"/>
  <c r="Q584" i="1"/>
  <c r="AA584" i="1" s="1"/>
  <c r="Q585" i="1"/>
  <c r="AA585" i="1" s="1"/>
  <c r="Q586" i="1"/>
  <c r="AA586" i="1" s="1"/>
  <c r="Q587" i="1"/>
  <c r="AA587" i="1" s="1"/>
  <c r="Q588" i="1"/>
  <c r="AA588" i="1" s="1"/>
  <c r="Q589" i="1"/>
  <c r="AA589" i="1" s="1"/>
  <c r="Q590" i="1"/>
  <c r="AA590" i="1" s="1"/>
  <c r="Q591" i="1"/>
  <c r="AA591" i="1" s="1"/>
  <c r="Q592" i="1"/>
  <c r="AA592" i="1" s="1"/>
  <c r="Q593" i="1"/>
  <c r="AA593" i="1" s="1"/>
  <c r="Q594" i="1"/>
  <c r="AA594" i="1" s="1"/>
  <c r="Q595" i="1"/>
  <c r="AA595" i="1" s="1"/>
  <c r="Q596" i="1"/>
  <c r="AA596" i="1" s="1"/>
  <c r="Q597" i="1"/>
  <c r="AA597" i="1" s="1"/>
  <c r="Q598" i="1"/>
  <c r="AA598" i="1" s="1"/>
  <c r="Q599" i="1"/>
  <c r="AA599" i="1" s="1"/>
  <c r="Q600" i="1"/>
  <c r="AA600" i="1" s="1"/>
  <c r="Q601" i="1"/>
  <c r="AA601" i="1" s="1"/>
  <c r="Q602" i="1"/>
  <c r="AA602" i="1" s="1"/>
  <c r="Q603" i="1"/>
  <c r="AA603" i="1" s="1"/>
  <c r="Q604" i="1"/>
  <c r="AA604" i="1" s="1"/>
  <c r="Q605" i="1"/>
  <c r="AA605" i="1" s="1"/>
  <c r="Q606" i="1"/>
  <c r="AA606" i="1" s="1"/>
  <c r="Q607" i="1"/>
  <c r="AA607" i="1" s="1"/>
  <c r="Q608" i="1"/>
  <c r="AA608" i="1" s="1"/>
  <c r="Q609" i="1"/>
  <c r="AA609" i="1" s="1"/>
  <c r="Q610" i="1"/>
  <c r="AA610" i="1" s="1"/>
  <c r="Q611" i="1"/>
  <c r="AA611" i="1" s="1"/>
  <c r="Q612" i="1"/>
  <c r="AA612" i="1" s="1"/>
  <c r="Q613" i="1"/>
  <c r="AA613" i="1" s="1"/>
  <c r="Q614" i="1"/>
  <c r="AA614" i="1" s="1"/>
  <c r="Q615" i="1"/>
  <c r="AA615" i="1" s="1"/>
  <c r="Q616" i="1"/>
  <c r="AA616" i="1" s="1"/>
  <c r="Q617" i="1"/>
  <c r="AA617" i="1" s="1"/>
  <c r="Q618" i="1"/>
  <c r="AA618" i="1" s="1"/>
  <c r="Q619" i="1"/>
  <c r="AA619" i="1" s="1"/>
  <c r="Q620" i="1"/>
  <c r="AA620" i="1" s="1"/>
  <c r="Q621" i="1"/>
  <c r="AA621" i="1" s="1"/>
  <c r="Q622" i="1"/>
  <c r="AA622" i="1" s="1"/>
  <c r="Q623" i="1"/>
  <c r="AA623" i="1" s="1"/>
  <c r="Q624" i="1"/>
  <c r="AA624" i="1" s="1"/>
  <c r="Q625" i="1"/>
  <c r="AA625" i="1" s="1"/>
  <c r="Q626" i="1"/>
  <c r="AA626" i="1" s="1"/>
  <c r="Q627" i="1"/>
  <c r="AA627" i="1" s="1"/>
  <c r="Q628" i="1"/>
  <c r="AA628" i="1" s="1"/>
  <c r="Q629" i="1"/>
  <c r="AA629" i="1" s="1"/>
  <c r="Q630" i="1"/>
  <c r="AA630" i="1" s="1"/>
  <c r="Q631" i="1"/>
  <c r="AA631" i="1" s="1"/>
  <c r="Q632" i="1"/>
  <c r="AA632" i="1" s="1"/>
  <c r="Q633" i="1"/>
  <c r="AA633" i="1" s="1"/>
  <c r="Q634" i="1"/>
  <c r="AA634" i="1" s="1"/>
  <c r="Q635" i="1"/>
  <c r="AA635" i="1" s="1"/>
  <c r="Q636" i="1"/>
  <c r="AA636" i="1" s="1"/>
  <c r="Q637" i="1"/>
  <c r="AA637" i="1" s="1"/>
  <c r="Q638" i="1"/>
  <c r="AA638" i="1" s="1"/>
  <c r="Q639" i="1"/>
  <c r="AA639" i="1" s="1"/>
  <c r="Q640" i="1"/>
  <c r="AA640" i="1" s="1"/>
  <c r="Q641" i="1"/>
  <c r="AA641" i="1" s="1"/>
  <c r="Q642" i="1"/>
  <c r="AA642" i="1" s="1"/>
  <c r="Q643" i="1"/>
  <c r="AA643" i="1" s="1"/>
  <c r="Q644" i="1"/>
  <c r="AA644" i="1" s="1"/>
  <c r="Q645" i="1"/>
  <c r="AA645" i="1" s="1"/>
  <c r="Q646" i="1"/>
  <c r="AA646" i="1" s="1"/>
  <c r="Q647" i="1"/>
  <c r="AA647" i="1" s="1"/>
  <c r="Q648" i="1"/>
  <c r="AA648" i="1" s="1"/>
  <c r="Q649" i="1"/>
  <c r="AA649" i="1" s="1"/>
  <c r="Q650" i="1"/>
  <c r="AA650" i="1" s="1"/>
  <c r="Q651" i="1"/>
  <c r="AA651" i="1" s="1"/>
  <c r="Q652" i="1"/>
  <c r="AA652" i="1" s="1"/>
  <c r="Q653" i="1"/>
  <c r="AA653" i="1" s="1"/>
  <c r="Q654" i="1"/>
  <c r="AA654" i="1" s="1"/>
  <c r="Q655" i="1"/>
  <c r="AA655" i="1" s="1"/>
  <c r="Q656" i="1"/>
  <c r="AA656" i="1" s="1"/>
  <c r="Q657" i="1"/>
  <c r="AA657" i="1" s="1"/>
  <c r="Q658" i="1"/>
  <c r="AA658" i="1" s="1"/>
  <c r="Q659" i="1"/>
  <c r="AA659" i="1" s="1"/>
  <c r="Q660" i="1"/>
  <c r="AA660" i="1" s="1"/>
  <c r="Q661" i="1"/>
  <c r="AA661" i="1" s="1"/>
  <c r="Q662" i="1"/>
  <c r="AA662" i="1" s="1"/>
  <c r="Q663" i="1"/>
  <c r="AA663" i="1" s="1"/>
  <c r="Q664" i="1"/>
  <c r="AA664" i="1" s="1"/>
  <c r="Q665" i="1"/>
  <c r="AA665" i="1" s="1"/>
  <c r="Q666" i="1"/>
  <c r="AA666" i="1" s="1"/>
  <c r="Q667" i="1"/>
  <c r="AA667" i="1" s="1"/>
  <c r="Q668" i="1"/>
  <c r="AA668" i="1" s="1"/>
  <c r="Q669" i="1"/>
  <c r="AA669" i="1" s="1"/>
  <c r="Q670" i="1"/>
  <c r="AA670" i="1" s="1"/>
  <c r="Q671" i="1"/>
  <c r="AA671" i="1" s="1"/>
  <c r="Q672" i="1"/>
  <c r="AA672" i="1" s="1"/>
  <c r="Q673" i="1"/>
  <c r="AA673" i="1" s="1"/>
  <c r="Q674" i="1"/>
  <c r="AA674" i="1" s="1"/>
  <c r="Q675" i="1"/>
  <c r="AA675" i="1" s="1"/>
  <c r="Q676" i="1"/>
  <c r="AA676" i="1" s="1"/>
  <c r="Q677" i="1"/>
  <c r="AA677" i="1" s="1"/>
  <c r="Q678" i="1"/>
  <c r="AA678" i="1" s="1"/>
  <c r="Q679" i="1"/>
  <c r="AA679" i="1" s="1"/>
  <c r="Q680" i="1"/>
  <c r="AA680" i="1" s="1"/>
  <c r="Q681" i="1"/>
  <c r="AA681" i="1" s="1"/>
  <c r="Q682" i="1"/>
  <c r="AA682" i="1" s="1"/>
  <c r="Q683" i="1"/>
  <c r="AA683" i="1" s="1"/>
  <c r="Q684" i="1"/>
  <c r="AA684" i="1" s="1"/>
  <c r="Q685" i="1"/>
  <c r="AA685" i="1" s="1"/>
  <c r="Q686" i="1"/>
  <c r="AA686" i="1" s="1"/>
  <c r="Q687" i="1"/>
  <c r="AA687" i="1" s="1"/>
  <c r="Q688" i="1"/>
  <c r="AA688" i="1" s="1"/>
  <c r="Q689" i="1"/>
  <c r="AA689" i="1" s="1"/>
  <c r="Q690" i="1"/>
  <c r="AA690" i="1" s="1"/>
  <c r="Q691" i="1"/>
  <c r="AA691" i="1" s="1"/>
  <c r="Q692" i="1"/>
  <c r="AA692" i="1" s="1"/>
  <c r="Q693" i="1"/>
  <c r="AA693" i="1" s="1"/>
  <c r="Q694" i="1"/>
  <c r="AA694" i="1" s="1"/>
  <c r="Q695" i="1"/>
  <c r="AA695" i="1" s="1"/>
  <c r="Q696" i="1"/>
  <c r="AA696" i="1" s="1"/>
  <c r="Q697" i="1"/>
  <c r="AA697" i="1" s="1"/>
  <c r="Q698" i="1"/>
  <c r="AA698" i="1" s="1"/>
  <c r="Q699" i="1"/>
  <c r="AA699" i="1" s="1"/>
  <c r="Q700" i="1"/>
  <c r="AA700" i="1" s="1"/>
  <c r="Q701" i="1"/>
  <c r="AA701" i="1" s="1"/>
  <c r="Q702" i="1"/>
  <c r="AA702" i="1" s="1"/>
  <c r="Q703" i="1"/>
  <c r="AA703" i="1" s="1"/>
  <c r="Q704" i="1"/>
  <c r="AA704" i="1" s="1"/>
  <c r="Q705" i="1"/>
  <c r="AA705" i="1" s="1"/>
  <c r="Q706" i="1"/>
  <c r="AA706" i="1" s="1"/>
  <c r="Q707" i="1"/>
  <c r="AA707" i="1" s="1"/>
  <c r="Q708" i="1"/>
  <c r="AA708" i="1" s="1"/>
  <c r="Q709" i="1"/>
  <c r="AA709" i="1" s="1"/>
  <c r="Q710" i="1"/>
  <c r="AA710" i="1" s="1"/>
  <c r="Q711" i="1"/>
  <c r="AA711" i="1" s="1"/>
  <c r="Q712" i="1"/>
  <c r="AA712" i="1" s="1"/>
  <c r="Q713" i="1"/>
  <c r="AA713" i="1" s="1"/>
  <c r="Q714" i="1"/>
  <c r="AA714" i="1" s="1"/>
  <c r="Q715" i="1"/>
  <c r="AA715" i="1" s="1"/>
  <c r="Q716" i="1"/>
  <c r="AA716" i="1" s="1"/>
  <c r="Q717" i="1"/>
  <c r="AA717" i="1" s="1"/>
  <c r="Q718" i="1"/>
  <c r="AA718" i="1" s="1"/>
  <c r="Q719" i="1"/>
  <c r="AA719" i="1" s="1"/>
  <c r="Q720" i="1"/>
  <c r="AA720" i="1" s="1"/>
  <c r="Q721" i="1"/>
  <c r="AA721" i="1" s="1"/>
  <c r="Q722" i="1"/>
  <c r="AA722" i="1" s="1"/>
  <c r="Q723" i="1"/>
  <c r="AA723" i="1" s="1"/>
  <c r="Q724" i="1"/>
  <c r="AA724" i="1" s="1"/>
  <c r="Q725" i="1"/>
  <c r="AA725" i="1" s="1"/>
  <c r="Q726" i="1"/>
  <c r="AA726" i="1" s="1"/>
  <c r="Q727" i="1"/>
  <c r="AA727" i="1" s="1"/>
  <c r="Q728" i="1"/>
  <c r="AA728" i="1" s="1"/>
  <c r="Q729" i="1"/>
  <c r="AA729" i="1" s="1"/>
  <c r="Q730" i="1"/>
  <c r="AA730" i="1" s="1"/>
  <c r="Q731" i="1"/>
  <c r="AA731" i="1" s="1"/>
  <c r="Q732" i="1"/>
  <c r="AA732" i="1" s="1"/>
  <c r="Q733" i="1"/>
  <c r="AA733" i="1" s="1"/>
  <c r="Q734" i="1"/>
  <c r="AA734" i="1" s="1"/>
  <c r="Q735" i="1"/>
  <c r="AA735" i="1" s="1"/>
  <c r="Q736" i="1"/>
  <c r="AA736" i="1" s="1"/>
  <c r="Q737" i="1"/>
  <c r="AA737" i="1" s="1"/>
  <c r="Q738" i="1"/>
  <c r="AA738" i="1" s="1"/>
  <c r="Q739" i="1"/>
  <c r="AA739" i="1" s="1"/>
  <c r="Q740" i="1"/>
  <c r="AA740" i="1" s="1"/>
  <c r="Q741" i="1"/>
  <c r="AA741" i="1" s="1"/>
  <c r="Q742" i="1"/>
  <c r="AA742" i="1" s="1"/>
  <c r="Q743" i="1"/>
  <c r="AA743" i="1" s="1"/>
  <c r="Q744" i="1"/>
  <c r="AA744" i="1" s="1"/>
  <c r="Q745" i="1"/>
  <c r="AA745" i="1" s="1"/>
  <c r="Q746" i="1"/>
  <c r="AA746" i="1" s="1"/>
  <c r="Q747" i="1"/>
  <c r="AA747" i="1" s="1"/>
  <c r="Q748" i="1"/>
  <c r="AA748" i="1" s="1"/>
  <c r="Q749" i="1"/>
  <c r="AA749" i="1" s="1"/>
  <c r="Q750" i="1"/>
  <c r="AA750" i="1" s="1"/>
  <c r="Q751" i="1"/>
  <c r="AA751" i="1" s="1"/>
  <c r="Q752" i="1"/>
  <c r="AA752" i="1" s="1"/>
  <c r="Q753" i="1"/>
  <c r="AA753" i="1" s="1"/>
  <c r="Q754" i="1"/>
  <c r="AA754" i="1" s="1"/>
  <c r="Q755" i="1"/>
  <c r="AA755" i="1" s="1"/>
  <c r="Q756" i="1"/>
  <c r="AA756" i="1" s="1"/>
  <c r="Q757" i="1"/>
  <c r="AA757" i="1" s="1"/>
  <c r="Q758" i="1"/>
  <c r="AA758" i="1" s="1"/>
  <c r="Q759" i="1"/>
  <c r="AA759" i="1" s="1"/>
  <c r="Q760" i="1"/>
  <c r="AA760" i="1" s="1"/>
  <c r="Q761" i="1"/>
  <c r="AA761" i="1" s="1"/>
  <c r="Q762" i="1"/>
  <c r="AA762" i="1" s="1"/>
  <c r="Q763" i="1"/>
  <c r="AA763" i="1" s="1"/>
  <c r="Q764" i="1"/>
  <c r="AA764" i="1" s="1"/>
  <c r="Q765" i="1"/>
  <c r="AA765" i="1" s="1"/>
  <c r="Q766" i="1"/>
  <c r="AA766" i="1" s="1"/>
  <c r="Q767" i="1"/>
  <c r="AA767" i="1" s="1"/>
  <c r="Q768" i="1"/>
  <c r="AA768" i="1" s="1"/>
  <c r="Q769" i="1"/>
  <c r="AA769" i="1" s="1"/>
  <c r="Q770" i="1"/>
  <c r="AA770" i="1" s="1"/>
  <c r="Q771" i="1"/>
  <c r="AA771" i="1" s="1"/>
  <c r="Q772" i="1"/>
  <c r="AA772" i="1" s="1"/>
  <c r="Q773" i="1"/>
  <c r="AA773" i="1" s="1"/>
  <c r="Q774" i="1"/>
  <c r="AA774" i="1" s="1"/>
  <c r="Q775" i="1"/>
  <c r="AA775" i="1" s="1"/>
  <c r="Q776" i="1"/>
  <c r="AA776" i="1" s="1"/>
  <c r="Q777" i="1"/>
  <c r="AA777" i="1" s="1"/>
  <c r="Q778" i="1"/>
  <c r="AA778" i="1" s="1"/>
  <c r="Q779" i="1"/>
  <c r="AA779" i="1" s="1"/>
  <c r="Q780" i="1"/>
  <c r="AA780" i="1" s="1"/>
  <c r="Q781" i="1"/>
  <c r="AA781" i="1" s="1"/>
  <c r="Q782" i="1"/>
  <c r="AA782" i="1" s="1"/>
  <c r="Q783" i="1"/>
  <c r="AA783" i="1" s="1"/>
  <c r="Q784" i="1"/>
  <c r="AA784" i="1" s="1"/>
  <c r="Q785" i="1"/>
  <c r="AA785" i="1" s="1"/>
  <c r="Q786" i="1"/>
  <c r="AA786" i="1" s="1"/>
  <c r="Q787" i="1"/>
  <c r="AA787" i="1" s="1"/>
  <c r="Q788" i="1"/>
  <c r="AA788" i="1" s="1"/>
  <c r="Q789" i="1"/>
  <c r="AA789" i="1" s="1"/>
  <c r="Q790" i="1"/>
  <c r="AA790" i="1" s="1"/>
  <c r="Q791" i="1"/>
  <c r="AA791" i="1" s="1"/>
  <c r="Q792" i="1"/>
  <c r="AA792" i="1" s="1"/>
  <c r="Q793" i="1"/>
  <c r="AA793" i="1" s="1"/>
  <c r="Q794" i="1"/>
  <c r="AA794" i="1" s="1"/>
  <c r="Q795" i="1"/>
  <c r="AA795" i="1" s="1"/>
  <c r="Q796" i="1"/>
  <c r="AA796" i="1" s="1"/>
  <c r="Q797" i="1"/>
  <c r="AA797" i="1" s="1"/>
  <c r="Q798" i="1"/>
  <c r="AA798" i="1" s="1"/>
  <c r="Q799" i="1"/>
  <c r="AA799" i="1" s="1"/>
  <c r="Q800" i="1"/>
  <c r="AA800" i="1" s="1"/>
  <c r="Q801" i="1"/>
  <c r="AA801" i="1" s="1"/>
  <c r="Q802" i="1"/>
  <c r="AA802" i="1" s="1"/>
  <c r="Q803" i="1"/>
  <c r="AA803" i="1" s="1"/>
  <c r="Q804" i="1"/>
  <c r="AA804" i="1" s="1"/>
  <c r="Q805" i="1"/>
  <c r="AA805" i="1" s="1"/>
  <c r="Q806" i="1"/>
  <c r="AA806" i="1" s="1"/>
  <c r="Q807" i="1"/>
  <c r="AA807" i="1" s="1"/>
  <c r="Q808" i="1"/>
  <c r="AA808" i="1" s="1"/>
  <c r="Q809" i="1"/>
  <c r="AA809" i="1" s="1"/>
  <c r="Q810" i="1"/>
  <c r="AA810" i="1" s="1"/>
  <c r="Q811" i="1"/>
  <c r="AA811" i="1" s="1"/>
  <c r="Q812" i="1"/>
  <c r="AA812" i="1" s="1"/>
  <c r="Q813" i="1"/>
  <c r="AA813" i="1" s="1"/>
  <c r="Q814" i="1"/>
  <c r="AA814" i="1" s="1"/>
  <c r="Q815" i="1"/>
  <c r="AA815" i="1" s="1"/>
  <c r="Q816" i="1"/>
  <c r="AA816" i="1" s="1"/>
  <c r="Q817" i="1"/>
  <c r="AA817" i="1" s="1"/>
  <c r="Q818" i="1"/>
  <c r="AA818" i="1" s="1"/>
  <c r="Q819" i="1"/>
  <c r="AA819" i="1" s="1"/>
  <c r="Q820" i="1"/>
  <c r="AA820" i="1" s="1"/>
  <c r="Q821" i="1"/>
  <c r="AA821" i="1" s="1"/>
  <c r="Q822" i="1"/>
  <c r="AA822" i="1" s="1"/>
  <c r="Q823" i="1"/>
  <c r="AA823" i="1" s="1"/>
  <c r="Q824" i="1"/>
  <c r="AA824" i="1" s="1"/>
  <c r="Q825" i="1"/>
  <c r="AA825" i="1" s="1"/>
  <c r="Q826" i="1"/>
  <c r="AA826" i="1" s="1"/>
  <c r="Q827" i="1"/>
  <c r="AA827" i="1" s="1"/>
  <c r="Q828" i="1"/>
  <c r="AA828" i="1" s="1"/>
  <c r="Q829" i="1"/>
  <c r="AA829" i="1" s="1"/>
  <c r="Q830" i="1"/>
  <c r="AA830" i="1" s="1"/>
  <c r="Q831" i="1"/>
  <c r="AA831" i="1" s="1"/>
  <c r="Q832" i="1"/>
  <c r="AA832" i="1" s="1"/>
  <c r="Q833" i="1"/>
  <c r="AA833" i="1" s="1"/>
  <c r="Q834" i="1"/>
  <c r="AA834" i="1" s="1"/>
  <c r="Q835" i="1"/>
  <c r="AA835" i="1" s="1"/>
  <c r="Q836" i="1"/>
  <c r="AA836" i="1" s="1"/>
  <c r="Q837" i="1"/>
  <c r="AA837" i="1" s="1"/>
  <c r="Q838" i="1"/>
  <c r="AA838" i="1" s="1"/>
  <c r="Q839" i="1"/>
  <c r="AA839" i="1" s="1"/>
  <c r="Q840" i="1"/>
  <c r="AA840" i="1" s="1"/>
  <c r="Q841" i="1"/>
  <c r="AA841" i="1" s="1"/>
  <c r="Q842" i="1"/>
  <c r="AA842" i="1" s="1"/>
  <c r="Q843" i="1"/>
  <c r="AA843" i="1" s="1"/>
  <c r="Q844" i="1"/>
  <c r="AA844" i="1" s="1"/>
  <c r="Q845" i="1"/>
  <c r="AA845" i="1" s="1"/>
  <c r="Q846" i="1"/>
  <c r="AA846" i="1" s="1"/>
  <c r="Q847" i="1"/>
  <c r="AA847" i="1" s="1"/>
  <c r="Q848" i="1"/>
  <c r="AA848" i="1" s="1"/>
  <c r="Q849" i="1"/>
  <c r="AA849" i="1" s="1"/>
  <c r="Q850" i="1"/>
  <c r="AA850" i="1" s="1"/>
  <c r="Q851" i="1"/>
  <c r="AA851" i="1" s="1"/>
  <c r="Q852" i="1"/>
  <c r="AA852" i="1" s="1"/>
  <c r="Q853" i="1"/>
  <c r="AA853" i="1" s="1"/>
  <c r="Q854" i="1"/>
  <c r="AA854" i="1" s="1"/>
  <c r="Q855" i="1"/>
  <c r="AA855" i="1" s="1"/>
  <c r="Q856" i="1"/>
  <c r="AA856" i="1" s="1"/>
  <c r="Q857" i="1"/>
  <c r="AA857" i="1" s="1"/>
  <c r="Q858" i="1"/>
  <c r="AA858" i="1" s="1"/>
  <c r="Q859" i="1"/>
  <c r="AA859" i="1" s="1"/>
  <c r="Q860" i="1"/>
  <c r="AA860" i="1" s="1"/>
  <c r="Q861" i="1"/>
  <c r="AA861" i="1" s="1"/>
  <c r="Q862" i="1"/>
  <c r="AA862" i="1" s="1"/>
  <c r="Q863" i="1"/>
  <c r="AA863" i="1" s="1"/>
  <c r="Q864" i="1"/>
  <c r="AA864" i="1" s="1"/>
  <c r="Q865" i="1"/>
  <c r="AA865" i="1" s="1"/>
  <c r="Q866" i="1"/>
  <c r="AA866" i="1" s="1"/>
  <c r="Q867" i="1"/>
  <c r="AA867" i="1" s="1"/>
  <c r="Q868" i="1"/>
  <c r="AA868" i="1" s="1"/>
  <c r="Q869" i="1"/>
  <c r="AA869" i="1" s="1"/>
  <c r="Q870" i="1"/>
  <c r="AA870" i="1" s="1"/>
  <c r="Q871" i="1"/>
  <c r="AA871" i="1" s="1"/>
  <c r="Q872" i="1"/>
  <c r="AA872" i="1" s="1"/>
  <c r="Q873" i="1"/>
  <c r="AA873" i="1" s="1"/>
  <c r="Q874" i="1"/>
  <c r="AA874" i="1" s="1"/>
  <c r="Q875" i="1"/>
  <c r="AA875" i="1" s="1"/>
  <c r="Q876" i="1"/>
  <c r="AA876" i="1" s="1"/>
  <c r="Q877" i="1"/>
  <c r="AA877" i="1" s="1"/>
  <c r="Q878" i="1"/>
  <c r="AA878" i="1" s="1"/>
  <c r="Q879" i="1"/>
  <c r="AA879" i="1" s="1"/>
  <c r="Q880" i="1"/>
  <c r="AA880" i="1" s="1"/>
  <c r="Q881" i="1"/>
  <c r="AA881" i="1" s="1"/>
  <c r="Q882" i="1"/>
  <c r="AA882" i="1" s="1"/>
  <c r="Q883" i="1"/>
  <c r="AA883" i="1" s="1"/>
  <c r="Q884" i="1"/>
  <c r="AA884" i="1" s="1"/>
  <c r="Q885" i="1"/>
  <c r="AA885" i="1" s="1"/>
  <c r="Q886" i="1"/>
  <c r="AA886" i="1" s="1"/>
  <c r="Q887" i="1"/>
  <c r="AA887" i="1" s="1"/>
  <c r="Q888" i="1"/>
  <c r="AA888" i="1" s="1"/>
  <c r="Q889" i="1"/>
  <c r="AA889" i="1" s="1"/>
  <c r="Q890" i="1"/>
  <c r="AA890" i="1" s="1"/>
  <c r="Q891" i="1"/>
  <c r="AA891" i="1" s="1"/>
  <c r="Q892" i="1"/>
  <c r="AA892" i="1" s="1"/>
  <c r="Q893" i="1"/>
  <c r="AA893" i="1" s="1"/>
  <c r="Q894" i="1"/>
  <c r="AA894" i="1" s="1"/>
  <c r="Q895" i="1"/>
  <c r="AA895" i="1" s="1"/>
  <c r="Q896" i="1"/>
  <c r="AA896" i="1" s="1"/>
  <c r="Q897" i="1"/>
  <c r="AA897" i="1" s="1"/>
  <c r="Q898" i="1"/>
  <c r="AA898" i="1" s="1"/>
  <c r="Q899" i="1"/>
  <c r="AA899" i="1" s="1"/>
  <c r="Q900" i="1"/>
  <c r="AA900" i="1" s="1"/>
  <c r="Q901" i="1"/>
  <c r="AA901" i="1" s="1"/>
  <c r="Q902" i="1"/>
  <c r="AA902" i="1" s="1"/>
  <c r="Q903" i="1"/>
  <c r="AA903" i="1" s="1"/>
  <c r="Q904" i="1"/>
  <c r="AA904" i="1" s="1"/>
  <c r="Q905" i="1"/>
  <c r="AA905" i="1" s="1"/>
  <c r="Q906" i="1"/>
  <c r="AA906" i="1" s="1"/>
  <c r="Q907" i="1"/>
  <c r="AA907" i="1" s="1"/>
  <c r="Q908" i="1"/>
  <c r="AA908" i="1" s="1"/>
  <c r="Q909" i="1"/>
  <c r="AA909" i="1" s="1"/>
  <c r="Q910" i="1"/>
  <c r="AA910" i="1" s="1"/>
  <c r="Q911" i="1"/>
  <c r="AA911" i="1" s="1"/>
  <c r="Q912" i="1"/>
  <c r="AA912" i="1" s="1"/>
  <c r="Q913" i="1"/>
  <c r="AA913" i="1" s="1"/>
  <c r="Q914" i="1"/>
  <c r="AA914" i="1" s="1"/>
  <c r="Q915" i="1"/>
  <c r="AA915" i="1" s="1"/>
  <c r="Q916" i="1"/>
  <c r="AA916" i="1" s="1"/>
  <c r="Q917" i="1"/>
  <c r="AA917" i="1" s="1"/>
  <c r="Q918" i="1"/>
  <c r="AA918" i="1" s="1"/>
  <c r="Q919" i="1"/>
  <c r="AA919" i="1" s="1"/>
  <c r="Q920" i="1"/>
  <c r="AA920" i="1" s="1"/>
  <c r="Q921" i="1"/>
  <c r="AA921" i="1" s="1"/>
  <c r="Q922" i="1"/>
  <c r="AA922" i="1" s="1"/>
  <c r="Q923" i="1"/>
  <c r="AA923" i="1" s="1"/>
  <c r="Q924" i="1"/>
  <c r="AA924" i="1" s="1"/>
  <c r="Q925" i="1"/>
  <c r="AA925" i="1" s="1"/>
  <c r="Q926" i="1"/>
  <c r="AA926" i="1" s="1"/>
  <c r="Q927" i="1"/>
  <c r="AA927" i="1" s="1"/>
  <c r="Q928" i="1"/>
  <c r="AA928" i="1" s="1"/>
  <c r="Q929" i="1"/>
  <c r="AA929" i="1" s="1"/>
  <c r="Q930" i="1"/>
  <c r="AA930" i="1" s="1"/>
  <c r="Q931" i="1"/>
  <c r="AA931" i="1" s="1"/>
  <c r="Q932" i="1"/>
  <c r="AA932" i="1" s="1"/>
  <c r="Q933" i="1"/>
  <c r="AA933" i="1" s="1"/>
  <c r="Q934" i="1"/>
  <c r="AA934" i="1" s="1"/>
  <c r="Q935" i="1"/>
  <c r="AA935" i="1" s="1"/>
  <c r="Q936" i="1"/>
  <c r="AA936" i="1" s="1"/>
  <c r="Q937" i="1"/>
  <c r="AA937" i="1" s="1"/>
  <c r="Q938" i="1"/>
  <c r="AA938" i="1" s="1"/>
  <c r="Q939" i="1"/>
  <c r="AA939" i="1" s="1"/>
  <c r="Q940" i="1"/>
  <c r="AA940" i="1" s="1"/>
  <c r="Q941" i="1"/>
  <c r="AA941" i="1" s="1"/>
  <c r="Q942" i="1"/>
  <c r="AA942" i="1" s="1"/>
  <c r="Q943" i="1"/>
  <c r="AA943" i="1" s="1"/>
  <c r="Q944" i="1"/>
  <c r="AA944" i="1" s="1"/>
  <c r="Q945" i="1"/>
  <c r="AA945" i="1" s="1"/>
  <c r="Q946" i="1"/>
  <c r="AA946" i="1" s="1"/>
  <c r="Q947" i="1"/>
  <c r="AA947" i="1" s="1"/>
  <c r="Q948" i="1"/>
  <c r="AA948" i="1" s="1"/>
  <c r="Q949" i="1"/>
  <c r="AA949" i="1" s="1"/>
  <c r="Q950" i="1"/>
  <c r="AA950" i="1" s="1"/>
  <c r="Q951" i="1"/>
  <c r="AA951" i="1" s="1"/>
  <c r="Q952" i="1"/>
  <c r="AA952" i="1" s="1"/>
  <c r="Q953" i="1"/>
  <c r="AA953" i="1" s="1"/>
  <c r="Q954" i="1"/>
  <c r="AA954" i="1" s="1"/>
  <c r="Q955" i="1"/>
  <c r="AA955" i="1" s="1"/>
  <c r="Q956" i="1"/>
  <c r="AA956" i="1" s="1"/>
  <c r="Q957" i="1"/>
  <c r="AA957" i="1" s="1"/>
  <c r="Q958" i="1"/>
  <c r="AA958" i="1" s="1"/>
  <c r="Q959" i="1"/>
  <c r="AA959" i="1" s="1"/>
  <c r="Q960" i="1"/>
  <c r="AA960" i="1" s="1"/>
  <c r="Q961" i="1"/>
  <c r="AA961" i="1" s="1"/>
  <c r="Q962" i="1"/>
  <c r="AA962" i="1" s="1"/>
  <c r="Q963" i="1"/>
  <c r="AA963" i="1" s="1"/>
  <c r="Q964" i="1"/>
  <c r="AA964" i="1" s="1"/>
  <c r="Q965" i="1"/>
  <c r="AA965" i="1" s="1"/>
  <c r="Q966" i="1"/>
  <c r="AA966" i="1" s="1"/>
  <c r="Q967" i="1"/>
  <c r="AA967" i="1" s="1"/>
  <c r="Q968" i="1"/>
  <c r="AA968" i="1" s="1"/>
  <c r="Q969" i="1"/>
  <c r="AA969" i="1" s="1"/>
  <c r="Q970" i="1"/>
  <c r="AA970" i="1" s="1"/>
  <c r="Q971" i="1"/>
  <c r="AA971" i="1" s="1"/>
  <c r="Q972" i="1"/>
  <c r="AA972" i="1" s="1"/>
  <c r="Q973" i="1"/>
  <c r="AA973" i="1" s="1"/>
  <c r="Q974" i="1"/>
  <c r="AA974" i="1" s="1"/>
  <c r="Q975" i="1"/>
  <c r="AA975" i="1" s="1"/>
  <c r="Q976" i="1"/>
  <c r="AA976" i="1" s="1"/>
  <c r="Q977" i="1"/>
  <c r="AA977" i="1" s="1"/>
  <c r="Q978" i="1"/>
  <c r="AA978" i="1" s="1"/>
  <c r="Q979" i="1"/>
  <c r="AA979" i="1" s="1"/>
  <c r="Q980" i="1"/>
  <c r="AA980" i="1" s="1"/>
  <c r="Q981" i="1"/>
  <c r="AA981" i="1" s="1"/>
  <c r="Q982" i="1"/>
  <c r="AA982" i="1" s="1"/>
  <c r="Q983" i="1"/>
  <c r="AA983" i="1" s="1"/>
  <c r="Q984" i="1"/>
  <c r="AA984" i="1" s="1"/>
  <c r="Q985" i="1"/>
  <c r="AA985" i="1" s="1"/>
  <c r="Q986" i="1"/>
  <c r="AA986" i="1" s="1"/>
  <c r="Q987" i="1"/>
  <c r="AA987" i="1" s="1"/>
  <c r="Q988" i="1"/>
  <c r="AA988" i="1" s="1"/>
  <c r="Q989" i="1"/>
  <c r="AA989" i="1" s="1"/>
  <c r="Q990" i="1"/>
  <c r="AA990" i="1" s="1"/>
  <c r="Q991" i="1"/>
  <c r="AA991" i="1" s="1"/>
  <c r="Q992" i="1"/>
  <c r="AA992" i="1" s="1"/>
  <c r="Q993" i="1"/>
  <c r="AA993" i="1" s="1"/>
  <c r="Q994" i="1"/>
  <c r="AA994" i="1" s="1"/>
  <c r="Q995" i="1"/>
  <c r="AA995" i="1" s="1"/>
  <c r="Q996" i="1"/>
  <c r="AA996" i="1" s="1"/>
  <c r="Q997" i="1"/>
  <c r="AA997" i="1" s="1"/>
  <c r="Q998" i="1"/>
  <c r="AA998" i="1" s="1"/>
  <c r="Q999" i="1"/>
  <c r="AA999" i="1" s="1"/>
  <c r="Q1000" i="1"/>
  <c r="AA1000" i="1" s="1"/>
  <c r="Q1001" i="1"/>
  <c r="AA1001" i="1" s="1"/>
  <c r="Q1002" i="1"/>
  <c r="AA1002" i="1" s="1"/>
  <c r="Q1003" i="1"/>
  <c r="AA1003" i="1" s="1"/>
  <c r="Q1004" i="1"/>
  <c r="AA1004" i="1" s="1"/>
  <c r="Q1005" i="1"/>
  <c r="AA1005" i="1" s="1"/>
  <c r="Q1006" i="1"/>
  <c r="AA1006" i="1" s="1"/>
  <c r="Q1007" i="1"/>
  <c r="AA1007" i="1" s="1"/>
  <c r="Q1008" i="1"/>
  <c r="AA1008" i="1" s="1"/>
  <c r="Q1009" i="1"/>
  <c r="AA1009" i="1" s="1"/>
  <c r="Q1010" i="1"/>
  <c r="AA1010" i="1" s="1"/>
  <c r="Q1011" i="1"/>
  <c r="AA1011" i="1" s="1"/>
  <c r="Q1012" i="1"/>
  <c r="AA1012" i="1" s="1"/>
  <c r="Q1013" i="1"/>
  <c r="AA1013" i="1" s="1"/>
  <c r="Q1014" i="1"/>
  <c r="AA1014" i="1" s="1"/>
  <c r="Q1015" i="1"/>
  <c r="AA1015" i="1" s="1"/>
  <c r="Q1016" i="1"/>
  <c r="AA1016" i="1" s="1"/>
  <c r="Q1017" i="1"/>
  <c r="AA1017" i="1" s="1"/>
  <c r="Q1018" i="1"/>
  <c r="AA1018" i="1" s="1"/>
  <c r="Q1019" i="1"/>
  <c r="AA1019" i="1" s="1"/>
  <c r="Q1020" i="1"/>
  <c r="AA1020" i="1" s="1"/>
  <c r="Q1021" i="1"/>
  <c r="AA1021" i="1" s="1"/>
  <c r="Q1022" i="1"/>
  <c r="AA1022" i="1" s="1"/>
  <c r="Q1023" i="1"/>
  <c r="AA1023" i="1" s="1"/>
  <c r="Q1024" i="1"/>
  <c r="AA1024" i="1" s="1"/>
  <c r="Q1025" i="1"/>
  <c r="AA1025" i="1" s="1"/>
  <c r="Q1026" i="1"/>
  <c r="AA1026" i="1" s="1"/>
  <c r="Q1027" i="1"/>
  <c r="AA1027" i="1" s="1"/>
  <c r="Q1028" i="1"/>
  <c r="AA1028" i="1" s="1"/>
  <c r="Q1029" i="1"/>
  <c r="AA1029" i="1" s="1"/>
  <c r="Q1030" i="1"/>
  <c r="AA1030" i="1" s="1"/>
  <c r="Q1031" i="1"/>
  <c r="AA1031" i="1" s="1"/>
  <c r="Q1032" i="1"/>
  <c r="AA1032" i="1" s="1"/>
  <c r="Q1033" i="1"/>
  <c r="AA1033" i="1" s="1"/>
  <c r="Q1034" i="1"/>
  <c r="AA1034" i="1" s="1"/>
  <c r="Q1035" i="1"/>
  <c r="AA1035" i="1" s="1"/>
  <c r="Q1036" i="1"/>
  <c r="AA1036" i="1" s="1"/>
  <c r="Q1037" i="1"/>
  <c r="AA1037" i="1" s="1"/>
  <c r="Q1038" i="1"/>
  <c r="AA1038" i="1" s="1"/>
  <c r="Q1039" i="1"/>
  <c r="AA1039" i="1" s="1"/>
  <c r="Q1040" i="1"/>
  <c r="AA1040" i="1" s="1"/>
  <c r="Q1041" i="1"/>
  <c r="AA1041" i="1" s="1"/>
  <c r="Q1042" i="1"/>
  <c r="AA1042" i="1" s="1"/>
  <c r="Q1043" i="1"/>
  <c r="AA1043" i="1" s="1"/>
  <c r="Q1044" i="1"/>
  <c r="AA1044" i="1" s="1"/>
  <c r="Q1045" i="1"/>
  <c r="AA1045" i="1" s="1"/>
  <c r="Q1046" i="1"/>
  <c r="AA1046" i="1" s="1"/>
  <c r="Q1047" i="1"/>
  <c r="AA1047" i="1" s="1"/>
  <c r="Q1048" i="1"/>
  <c r="AA1048" i="1" s="1"/>
  <c r="Q1049" i="1"/>
  <c r="AA1049" i="1" s="1"/>
  <c r="Q1050" i="1"/>
  <c r="AA1050" i="1" s="1"/>
  <c r="Q1051" i="1"/>
  <c r="AA1051" i="1" s="1"/>
  <c r="Q1052" i="1"/>
  <c r="AA1052" i="1" s="1"/>
  <c r="Q1053" i="1"/>
  <c r="AA1053" i="1" s="1"/>
  <c r="Q1054" i="1"/>
  <c r="AA1054" i="1" s="1"/>
  <c r="Q1055" i="1"/>
  <c r="AA1055" i="1" s="1"/>
  <c r="Q1056" i="1"/>
  <c r="AA1056" i="1" s="1"/>
  <c r="Q1057" i="1"/>
  <c r="AA1057" i="1" s="1"/>
  <c r="Q1058" i="1"/>
  <c r="AA1058" i="1" s="1"/>
  <c r="Q1059" i="1"/>
  <c r="AA1059" i="1" s="1"/>
  <c r="Q1060" i="1"/>
  <c r="AA1060" i="1" s="1"/>
  <c r="Q1061" i="1"/>
  <c r="AA1061" i="1" s="1"/>
  <c r="Q1062" i="1"/>
  <c r="AA1062" i="1" s="1"/>
  <c r="Q1063" i="1"/>
  <c r="AA1063" i="1" s="1"/>
  <c r="Q1064" i="1"/>
  <c r="AA1064" i="1" s="1"/>
  <c r="Q1065" i="1"/>
  <c r="AA1065" i="1" s="1"/>
  <c r="Q1066" i="1"/>
  <c r="AA1066" i="1" s="1"/>
  <c r="Q1067" i="1"/>
  <c r="AA1067" i="1" s="1"/>
  <c r="Q1068" i="1"/>
  <c r="AA1068" i="1" s="1"/>
  <c r="Q1069" i="1"/>
  <c r="AA1069" i="1" s="1"/>
  <c r="Q1070" i="1"/>
  <c r="AA1070" i="1" s="1"/>
  <c r="Q1071" i="1"/>
  <c r="AA1071" i="1" s="1"/>
  <c r="Q1072" i="1"/>
  <c r="AA1072" i="1" s="1"/>
  <c r="Q1073" i="1"/>
  <c r="AA1073" i="1" s="1"/>
  <c r="Q1074" i="1"/>
  <c r="AA1074" i="1" s="1"/>
  <c r="Q1075" i="1"/>
  <c r="AA1075" i="1" s="1"/>
  <c r="Q1076" i="1"/>
  <c r="AA1076" i="1" s="1"/>
  <c r="Q1077" i="1"/>
  <c r="AA1077" i="1" s="1"/>
  <c r="Q1078" i="1"/>
  <c r="AA1078" i="1" s="1"/>
  <c r="Q1079" i="1"/>
  <c r="AA1079" i="1" s="1"/>
  <c r="Q1080" i="1"/>
  <c r="AA1080" i="1" s="1"/>
  <c r="Q1081" i="1"/>
  <c r="AA1081" i="1" s="1"/>
  <c r="Q1082" i="1"/>
  <c r="AA1082" i="1" s="1"/>
  <c r="Q1083" i="1"/>
  <c r="AA1083" i="1" s="1"/>
  <c r="Q1084" i="1"/>
  <c r="AA1084" i="1" s="1"/>
  <c r="Q1085" i="1"/>
  <c r="AA1085" i="1" s="1"/>
  <c r="Q1086" i="1"/>
  <c r="AA1086" i="1" s="1"/>
  <c r="Q1087" i="1"/>
  <c r="AA1087" i="1" s="1"/>
  <c r="Q1088" i="1"/>
  <c r="AA1088" i="1" s="1"/>
  <c r="Q1089" i="1"/>
  <c r="AA1089" i="1" s="1"/>
  <c r="Q1090" i="1"/>
  <c r="AA1090" i="1" s="1"/>
  <c r="Q1091" i="1"/>
  <c r="AA1091" i="1" s="1"/>
  <c r="Q1092" i="1"/>
  <c r="AA1092" i="1" s="1"/>
  <c r="Q1093" i="1"/>
  <c r="AA1093" i="1" s="1"/>
  <c r="Q1094" i="1"/>
  <c r="AA1094" i="1" s="1"/>
  <c r="Q1095" i="1"/>
  <c r="AA1095" i="1" s="1"/>
  <c r="Q1096" i="1"/>
  <c r="AA1096" i="1" s="1"/>
  <c r="Q1097" i="1"/>
  <c r="AA1097" i="1" s="1"/>
  <c r="Q1098" i="1"/>
  <c r="AA1098" i="1" s="1"/>
  <c r="Q1099" i="1"/>
  <c r="AA1099" i="1" s="1"/>
  <c r="Q1100" i="1"/>
  <c r="AA1100" i="1" s="1"/>
  <c r="Q1101" i="1"/>
  <c r="AA1101" i="1" s="1"/>
  <c r="Q1102" i="1"/>
  <c r="AA1102" i="1" s="1"/>
  <c r="Q1103" i="1"/>
  <c r="AA1103" i="1" s="1"/>
  <c r="Q1104" i="1"/>
  <c r="AA1104" i="1" s="1"/>
  <c r="Q1105" i="1"/>
  <c r="AA1105" i="1" s="1"/>
  <c r="Q1106" i="1"/>
  <c r="AA1106" i="1" s="1"/>
  <c r="Q1107" i="1"/>
  <c r="AA1107" i="1" s="1"/>
  <c r="Q1108" i="1"/>
  <c r="AA1108" i="1" s="1"/>
  <c r="Q1109" i="1"/>
  <c r="AA1109" i="1" s="1"/>
  <c r="Q1110" i="1"/>
  <c r="AA1110" i="1" s="1"/>
  <c r="Q1111" i="1"/>
  <c r="AA1111" i="1" s="1"/>
  <c r="Q1112" i="1"/>
  <c r="AA1112" i="1" s="1"/>
  <c r="Q1113" i="1"/>
  <c r="AA1113" i="1" s="1"/>
  <c r="Q1114" i="1"/>
  <c r="AA1114" i="1" s="1"/>
  <c r="Q1115" i="1"/>
  <c r="AA1115" i="1" s="1"/>
  <c r="Q1116" i="1"/>
  <c r="AA1116" i="1" s="1"/>
  <c r="Q1117" i="1"/>
  <c r="AA1117" i="1" s="1"/>
  <c r="Q1118" i="1"/>
  <c r="AA1118" i="1" s="1"/>
  <c r="Q1119" i="1"/>
  <c r="AA1119" i="1" s="1"/>
  <c r="Q1120" i="1"/>
  <c r="AA1120" i="1" s="1"/>
  <c r="Q1121" i="1"/>
  <c r="AA1121" i="1" s="1"/>
  <c r="Q1122" i="1"/>
  <c r="AA1122" i="1" s="1"/>
  <c r="Q1123" i="1"/>
  <c r="AA1123" i="1" s="1"/>
  <c r="Q1124" i="1"/>
  <c r="AA1124" i="1" s="1"/>
  <c r="Q1125" i="1"/>
  <c r="AA1125" i="1" s="1"/>
  <c r="Q1126" i="1"/>
  <c r="AA1126" i="1" s="1"/>
  <c r="Q1127" i="1"/>
  <c r="AA1127" i="1" s="1"/>
  <c r="Q1128" i="1"/>
  <c r="AA1128" i="1" s="1"/>
  <c r="Q1129" i="1"/>
  <c r="AA1129" i="1" s="1"/>
  <c r="Q1130" i="1"/>
  <c r="AA1130" i="1" s="1"/>
  <c r="Q1131" i="1"/>
  <c r="AA1131" i="1" s="1"/>
  <c r="Q1132" i="1"/>
  <c r="AA1132" i="1" s="1"/>
  <c r="Q1133" i="1"/>
  <c r="AA1133" i="1" s="1"/>
  <c r="Q1134" i="1"/>
  <c r="AA1134" i="1" s="1"/>
  <c r="Q1135" i="1"/>
  <c r="AA1135" i="1" s="1"/>
  <c r="Q1136" i="1"/>
  <c r="AA1136" i="1" s="1"/>
  <c r="Q1137" i="1"/>
  <c r="AA1137" i="1" s="1"/>
  <c r="Q1138" i="1"/>
  <c r="AA1138" i="1" s="1"/>
  <c r="Q1139" i="1"/>
  <c r="AA1139" i="1" s="1"/>
  <c r="Q1140" i="1"/>
  <c r="AA1140" i="1" s="1"/>
  <c r="Q1141" i="1"/>
  <c r="AA1141" i="1" s="1"/>
  <c r="Q1142" i="1"/>
  <c r="AA1142" i="1" s="1"/>
  <c r="Q1143" i="1"/>
  <c r="AA1143" i="1" s="1"/>
  <c r="Q1144" i="1"/>
  <c r="AA1144" i="1" s="1"/>
  <c r="Q1145" i="1"/>
  <c r="AA1145" i="1" s="1"/>
  <c r="Q1146" i="1"/>
  <c r="AA1146" i="1" s="1"/>
  <c r="Q1147" i="1"/>
  <c r="AA1147" i="1" s="1"/>
  <c r="Q1148" i="1"/>
  <c r="AA1148" i="1" s="1"/>
  <c r="Q1149" i="1"/>
  <c r="AA1149" i="1" s="1"/>
  <c r="Q1150" i="1"/>
  <c r="AA1150" i="1" s="1"/>
  <c r="Q1151" i="1"/>
  <c r="AA1151" i="1" s="1"/>
  <c r="Q1152" i="1"/>
  <c r="AA1152" i="1" s="1"/>
  <c r="Q1153" i="1"/>
  <c r="AA1153" i="1" s="1"/>
  <c r="Q1154" i="1"/>
  <c r="AA1154" i="1" s="1"/>
  <c r="Q1155" i="1"/>
  <c r="AA1155" i="1" s="1"/>
  <c r="Q1156" i="1"/>
  <c r="AA1156" i="1" s="1"/>
  <c r="Q1157" i="1"/>
  <c r="AA1157" i="1" s="1"/>
  <c r="Q1158" i="1"/>
  <c r="AA1158" i="1" s="1"/>
  <c r="Q1159" i="1"/>
  <c r="AA1159" i="1" s="1"/>
  <c r="Q1160" i="1"/>
  <c r="AA1160" i="1" s="1"/>
  <c r="Q1161" i="1"/>
  <c r="AA1161" i="1" s="1"/>
  <c r="Q1162" i="1"/>
  <c r="AA1162" i="1" s="1"/>
  <c r="Q1163" i="1"/>
  <c r="AA1163" i="1" s="1"/>
  <c r="Q1164" i="1"/>
  <c r="AA1164" i="1" s="1"/>
  <c r="Q1165" i="1"/>
  <c r="AA1165" i="1" s="1"/>
  <c r="Q1166" i="1"/>
  <c r="AA1166" i="1" s="1"/>
  <c r="Q1167" i="1"/>
  <c r="AA1167" i="1" s="1"/>
  <c r="Q1168" i="1"/>
  <c r="AA1168" i="1" s="1"/>
  <c r="Q1169" i="1"/>
  <c r="AA1169" i="1" s="1"/>
  <c r="Q1170" i="1"/>
  <c r="AA1170" i="1" s="1"/>
  <c r="Q1171" i="1"/>
  <c r="AA1171" i="1" s="1"/>
  <c r="Q1172" i="1"/>
  <c r="AA1172" i="1" s="1"/>
  <c r="Q1173" i="1"/>
  <c r="AA1173" i="1" s="1"/>
  <c r="Q1174" i="1"/>
  <c r="AA1174" i="1" s="1"/>
  <c r="Q1175" i="1"/>
  <c r="AA1175" i="1" s="1"/>
  <c r="Q1176" i="1"/>
  <c r="AA1176" i="1" s="1"/>
  <c r="Q1177" i="1"/>
  <c r="AA1177" i="1" s="1"/>
  <c r="Q1178" i="1"/>
  <c r="AA1178" i="1" s="1"/>
  <c r="Q1179" i="1"/>
  <c r="AA1179" i="1" s="1"/>
  <c r="Q1180" i="1"/>
  <c r="AA1180" i="1" s="1"/>
  <c r="Q1181" i="1"/>
  <c r="AA1181" i="1" s="1"/>
  <c r="Q1182" i="1"/>
  <c r="AA1182" i="1" s="1"/>
  <c r="Q1183" i="1"/>
  <c r="AA1183" i="1" s="1"/>
  <c r="Q1184" i="1"/>
  <c r="AA1184" i="1" s="1"/>
  <c r="Q1185" i="1"/>
  <c r="AA1185" i="1" s="1"/>
  <c r="Q1186" i="1"/>
  <c r="AA1186" i="1" s="1"/>
  <c r="Q1187" i="1"/>
  <c r="AA1187" i="1" s="1"/>
  <c r="Q1188" i="1"/>
  <c r="AA1188" i="1" s="1"/>
  <c r="Q1189" i="1"/>
  <c r="AA1189" i="1" s="1"/>
  <c r="Q1190" i="1"/>
  <c r="AA1190" i="1" s="1"/>
  <c r="Q1191" i="1"/>
  <c r="AA1191" i="1" s="1"/>
  <c r="Q1192" i="1"/>
  <c r="AA1192" i="1" s="1"/>
  <c r="Q1193" i="1"/>
  <c r="AA1193" i="1" s="1"/>
  <c r="Q1194" i="1"/>
  <c r="AA1194" i="1" s="1"/>
  <c r="Q1195" i="1"/>
  <c r="AA1195" i="1" s="1"/>
  <c r="Q1196" i="1"/>
  <c r="AA1196" i="1" s="1"/>
  <c r="Q1197"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B3" i="3"/>
  <c r="AA1197"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Z1197" i="1"/>
  <c r="R1198" i="1"/>
  <c r="R1199" i="1"/>
  <c r="R1200" i="1"/>
  <c r="R1201" i="1"/>
  <c r="B26" i="3" l="1"/>
  <c r="B30" i="3"/>
  <c r="B29" i="3"/>
  <c r="B27" i="3"/>
  <c r="B28" i="3"/>
  <c r="B11" i="3"/>
  <c r="B12" i="3"/>
  <c r="B13" i="3"/>
  <c r="B14" i="3"/>
  <c r="B15" i="3"/>
  <c r="B10" i="3"/>
  <c r="B20" i="3"/>
  <c r="B21" i="3"/>
  <c r="B22" i="3"/>
  <c r="B19" i="3"/>
  <c r="B6" i="3"/>
  <c r="B5" i="3"/>
  <c r="B4" i="3"/>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665DDB-E396-4E6B-83E7-22882A2B97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F3FB8DE-7D7F-42A5-9DDF-1F27EF0F01BB}" name="WorksheetConnection_WORKING DATA!$A:$AA" type="102" refreshedVersion="8" minRefreshableVersion="5">
    <extLst>
      <ext xmlns:x15="http://schemas.microsoft.com/office/spreadsheetml/2010/11/main" uri="{DE250136-89BD-433C-8126-D09CA5730AF9}">
        <x15:connection id="Range" autoDelete="1">
          <x15:rangePr sourceName="_xlcn.WorksheetConnection_WORKINGDATAAAA1"/>
        </x15:connection>
      </ext>
    </extLst>
  </connection>
</connections>
</file>

<file path=xl/sharedStrings.xml><?xml version="1.0" encoding="utf-8"?>
<sst xmlns="http://schemas.openxmlformats.org/spreadsheetml/2006/main" count="25635" uniqueCount="3007">
  <si>
    <t>Transaction_ID</t>
  </si>
  <si>
    <t>Date</t>
  </si>
  <si>
    <t>Customer_ID</t>
  </si>
  <si>
    <t>Customer_Name</t>
  </si>
  <si>
    <t>Gender</t>
  </si>
  <si>
    <t>Age</t>
  </si>
  <si>
    <t>City</t>
  </si>
  <si>
    <t>Product_Category</t>
  </si>
  <si>
    <t>Product_Name</t>
  </si>
  <si>
    <t>Unit_Price</t>
  </si>
  <si>
    <t>Quantity</t>
  </si>
  <si>
    <t>Discount (%)</t>
  </si>
  <si>
    <t>Payment_Method</t>
  </si>
  <si>
    <t>Salesperson</t>
  </si>
  <si>
    <t>Branch</t>
  </si>
  <si>
    <t>Customer_Rating</t>
  </si>
  <si>
    <t>T100002</t>
  </si>
  <si>
    <t>2025-10-06</t>
  </si>
  <si>
    <t>C9114</t>
  </si>
  <si>
    <t>Peter</t>
  </si>
  <si>
    <t>Male</t>
  </si>
  <si>
    <t>lagos</t>
  </si>
  <si>
    <t>Fashion</t>
  </si>
  <si>
    <t>Shirt</t>
  </si>
  <si>
    <t>POS</t>
  </si>
  <si>
    <t>Dan</t>
  </si>
  <si>
    <t>North</t>
  </si>
  <si>
    <t>T100003</t>
  </si>
  <si>
    <t>2025-02-22</t>
  </si>
  <si>
    <t>C7218</t>
  </si>
  <si>
    <t>LAGOS</t>
  </si>
  <si>
    <t>Sports</t>
  </si>
  <si>
    <t>Ball</t>
  </si>
  <si>
    <t>West</t>
  </si>
  <si>
    <t>T100004</t>
  </si>
  <si>
    <t>2026-04-20</t>
  </si>
  <si>
    <t>C9957</t>
  </si>
  <si>
    <t>Aisha</t>
  </si>
  <si>
    <t>PH</t>
  </si>
  <si>
    <t>Electronics</t>
  </si>
  <si>
    <t>Phone</t>
  </si>
  <si>
    <t>Chi</t>
  </si>
  <si>
    <t>T100005</t>
  </si>
  <si>
    <t>2026-02-21</t>
  </si>
  <si>
    <t>C1077</t>
  </si>
  <si>
    <t xml:space="preserve">  James </t>
  </si>
  <si>
    <t>Female</t>
  </si>
  <si>
    <t>Enugu</t>
  </si>
  <si>
    <t>Groceries</t>
  </si>
  <si>
    <t>Rice</t>
  </si>
  <si>
    <t>T100006</t>
  </si>
  <si>
    <t>2025-10-13</t>
  </si>
  <si>
    <t>C6441</t>
  </si>
  <si>
    <t>Lagos</t>
  </si>
  <si>
    <t>Home</t>
  </si>
  <si>
    <t>Chair</t>
  </si>
  <si>
    <t>T100007</t>
  </si>
  <si>
    <t>10/11/2025</t>
  </si>
  <si>
    <t>C6943</t>
  </si>
  <si>
    <t>Mobile Money</t>
  </si>
  <si>
    <t>T100008</t>
  </si>
  <si>
    <t>2025-08-17</t>
  </si>
  <si>
    <t>C1101</t>
  </si>
  <si>
    <t>John</t>
  </si>
  <si>
    <t>Transfer</t>
  </si>
  <si>
    <t>South</t>
  </si>
  <si>
    <t>T100009</t>
  </si>
  <si>
    <t>2025-04-07</t>
  </si>
  <si>
    <t>C8179</t>
  </si>
  <si>
    <t>Mary</t>
  </si>
  <si>
    <t>Abuja</t>
  </si>
  <si>
    <t>T100010</t>
  </si>
  <si>
    <t>2025-04-01</t>
  </si>
  <si>
    <t>C2862</t>
  </si>
  <si>
    <t>T100011</t>
  </si>
  <si>
    <t>2025-09-10</t>
  </si>
  <si>
    <t>C4724</t>
  </si>
  <si>
    <t>Cash</t>
  </si>
  <si>
    <t>T100012</t>
  </si>
  <si>
    <t>2025-02-07</t>
  </si>
  <si>
    <t>C2129</t>
  </si>
  <si>
    <t>Ada</t>
  </si>
  <si>
    <t>East</t>
  </si>
  <si>
    <t>T100013</t>
  </si>
  <si>
    <t>2025-06-09</t>
  </si>
  <si>
    <t>C4291</t>
  </si>
  <si>
    <t>Kano</t>
  </si>
  <si>
    <t>groceris</t>
  </si>
  <si>
    <t>T100014</t>
  </si>
  <si>
    <t>12/04/2025</t>
  </si>
  <si>
    <t>C1596</t>
  </si>
  <si>
    <t>Ben</t>
  </si>
  <si>
    <t>T100015</t>
  </si>
  <si>
    <t>2025-10-21</t>
  </si>
  <si>
    <t>C1752</t>
  </si>
  <si>
    <t>T100016</t>
  </si>
  <si>
    <t>2025-05-25</t>
  </si>
  <si>
    <t>C5577</t>
  </si>
  <si>
    <t>T100017</t>
  </si>
  <si>
    <t>2025-01-24</t>
  </si>
  <si>
    <t>C8070</t>
  </si>
  <si>
    <t>Grace</t>
  </si>
  <si>
    <t>T100018</t>
  </si>
  <si>
    <t>2026-02-22</t>
  </si>
  <si>
    <t>C3714</t>
  </si>
  <si>
    <t>T100019</t>
  </si>
  <si>
    <t>2025-07-11</t>
  </si>
  <si>
    <t>C4372</t>
  </si>
  <si>
    <t>T100020</t>
  </si>
  <si>
    <t>2026-02-25</t>
  </si>
  <si>
    <t>C1826</t>
  </si>
  <si>
    <t>T100021</t>
  </si>
  <si>
    <t>02/07/2025</t>
  </si>
  <si>
    <t>C8532</t>
  </si>
  <si>
    <t>T100022</t>
  </si>
  <si>
    <t>2025-10-19</t>
  </si>
  <si>
    <t>C1462</t>
  </si>
  <si>
    <t>David</t>
  </si>
  <si>
    <t>T100023</t>
  </si>
  <si>
    <t>2025-08-16</t>
  </si>
  <si>
    <t>C6481</t>
  </si>
  <si>
    <t>Beauty</t>
  </si>
  <si>
    <t>Cream</t>
  </si>
  <si>
    <t>T100024</t>
  </si>
  <si>
    <t>2025-09-24</t>
  </si>
  <si>
    <t>C2962</t>
  </si>
  <si>
    <t>T100025</t>
  </si>
  <si>
    <t>2025-06-10</t>
  </si>
  <si>
    <t>C3575</t>
  </si>
  <si>
    <t>T100026</t>
  </si>
  <si>
    <t>2025-05-26</t>
  </si>
  <si>
    <t>C5211</t>
  </si>
  <si>
    <t>T100027</t>
  </si>
  <si>
    <t>2025-05-27</t>
  </si>
  <si>
    <t>C5215</t>
  </si>
  <si>
    <t>T100028</t>
  </si>
  <si>
    <t>07/01/2025</t>
  </si>
  <si>
    <t>C8821</t>
  </si>
  <si>
    <t>T100029</t>
  </si>
  <si>
    <t>C2182</t>
  </si>
  <si>
    <t>T100030</t>
  </si>
  <si>
    <t>2026-01-06</t>
  </si>
  <si>
    <t>C5052</t>
  </si>
  <si>
    <t>T100031</t>
  </si>
  <si>
    <t>2026-02-16</t>
  </si>
  <si>
    <t>C6457</t>
  </si>
  <si>
    <t>T100032</t>
  </si>
  <si>
    <t>2025-03-23</t>
  </si>
  <si>
    <t>C8802</t>
  </si>
  <si>
    <t>T100033</t>
  </si>
  <si>
    <t>2025-10-09</t>
  </si>
  <si>
    <t>C7652</t>
  </si>
  <si>
    <t>T100034</t>
  </si>
  <si>
    <t>C9293</t>
  </si>
  <si>
    <t>T100035</t>
  </si>
  <si>
    <t>13/03/2026</t>
  </si>
  <si>
    <t>C2683</t>
  </si>
  <si>
    <t>T100036</t>
  </si>
  <si>
    <t>2025-12-30</t>
  </si>
  <si>
    <t>C1794</t>
  </si>
  <si>
    <t>T100037</t>
  </si>
  <si>
    <t>2025-11-16</t>
  </si>
  <si>
    <t>C3074</t>
  </si>
  <si>
    <t>T100038</t>
  </si>
  <si>
    <t>2025-07-10</t>
  </si>
  <si>
    <t>C2121</t>
  </si>
  <si>
    <t>T100039</t>
  </si>
  <si>
    <t>2025-12-11</t>
  </si>
  <si>
    <t>C5675</t>
  </si>
  <si>
    <t>T100040</t>
  </si>
  <si>
    <t>2025-01-28</t>
  </si>
  <si>
    <t>C5040</t>
  </si>
  <si>
    <t>T100041</t>
  </si>
  <si>
    <t>C4744</t>
  </si>
  <si>
    <t>T100042</t>
  </si>
  <si>
    <t>25/11/2025</t>
  </si>
  <si>
    <t>C8128</t>
  </si>
  <si>
    <t>T100043</t>
  </si>
  <si>
    <t>2025-09-16</t>
  </si>
  <si>
    <t>C1992</t>
  </si>
  <si>
    <t>T100044</t>
  </si>
  <si>
    <t>2025-03-19</t>
  </si>
  <si>
    <t>C2864</t>
  </si>
  <si>
    <t>T100045</t>
  </si>
  <si>
    <t>2025-05-03</t>
  </si>
  <si>
    <t>C5546</t>
  </si>
  <si>
    <t>T100046</t>
  </si>
  <si>
    <t>2025-06-23</t>
  </si>
  <si>
    <t>C5447</t>
  </si>
  <si>
    <t>T100047</t>
  </si>
  <si>
    <t>2025-12-09</t>
  </si>
  <si>
    <t>C4617</t>
  </si>
  <si>
    <t>T100048</t>
  </si>
  <si>
    <t>2025-08-10</t>
  </si>
  <si>
    <t>C8875</t>
  </si>
  <si>
    <t>T100049</t>
  </si>
  <si>
    <t>08/03/2025</t>
  </si>
  <si>
    <t>C9888</t>
  </si>
  <si>
    <t>T100050</t>
  </si>
  <si>
    <t>2026-05-13</t>
  </si>
  <si>
    <t>C1503</t>
  </si>
  <si>
    <t>T100051</t>
  </si>
  <si>
    <t>2025-10-08</t>
  </si>
  <si>
    <t>C3078</t>
  </si>
  <si>
    <t>T100052</t>
  </si>
  <si>
    <t>2026-01-16</t>
  </si>
  <si>
    <t>C5288</t>
  </si>
  <si>
    <t>T100053</t>
  </si>
  <si>
    <t>2025-06-13</t>
  </si>
  <si>
    <t>C6608</t>
  </si>
  <si>
    <t>T100054</t>
  </si>
  <si>
    <t>2025-07-03</t>
  </si>
  <si>
    <t>C4525</t>
  </si>
  <si>
    <t>T100055</t>
  </si>
  <si>
    <t>2025-01-11</t>
  </si>
  <si>
    <t>C7424</t>
  </si>
  <si>
    <t>T100056</t>
  </si>
  <si>
    <t>14/05/2026</t>
  </si>
  <si>
    <t>C2827</t>
  </si>
  <si>
    <t>T100057</t>
  </si>
  <si>
    <t>2025-04-17</t>
  </si>
  <si>
    <t>C1406</t>
  </si>
  <si>
    <t>T100058</t>
  </si>
  <si>
    <t>2025-06-19</t>
  </si>
  <si>
    <t>C5616</t>
  </si>
  <si>
    <t>T100059</t>
  </si>
  <si>
    <t>2025-04-08</t>
  </si>
  <si>
    <t>C3581</t>
  </si>
  <si>
    <t>T100060</t>
  </si>
  <si>
    <t>2026-04-17</t>
  </si>
  <si>
    <t>C7298</t>
  </si>
  <si>
    <t>T100061</t>
  </si>
  <si>
    <t>2026-05-21</t>
  </si>
  <si>
    <t>C2137</t>
  </si>
  <si>
    <t>T100062</t>
  </si>
  <si>
    <t>2025-11-28</t>
  </si>
  <si>
    <t>C5849</t>
  </si>
  <si>
    <t>T100063</t>
  </si>
  <si>
    <t>C7933</t>
  </si>
  <si>
    <t>T100064</t>
  </si>
  <si>
    <t>2025-06-16</t>
  </si>
  <si>
    <t>C3249</t>
  </si>
  <si>
    <t>T100065</t>
  </si>
  <si>
    <t>2025-07-21</t>
  </si>
  <si>
    <t>C3400</t>
  </si>
  <si>
    <t>T100066</t>
  </si>
  <si>
    <t>2025-06-20</t>
  </si>
  <si>
    <t>C7913</t>
  </si>
  <si>
    <t>T100067</t>
  </si>
  <si>
    <t>2026-06-23</t>
  </si>
  <si>
    <t>C2685</t>
  </si>
  <si>
    <t>T100068</t>
  </si>
  <si>
    <t>2026-01-19</t>
  </si>
  <si>
    <t>C6284</t>
  </si>
  <si>
    <t>T100069</t>
  </si>
  <si>
    <t>2026-06-03</t>
  </si>
  <si>
    <t>C5459</t>
  </si>
  <si>
    <t>T100070</t>
  </si>
  <si>
    <t>27/10/2025</t>
  </si>
  <si>
    <t>C3034</t>
  </si>
  <si>
    <t>T100071</t>
  </si>
  <si>
    <t>2025-07-19</t>
  </si>
  <si>
    <t>C9830</t>
  </si>
  <si>
    <t>T100072</t>
  </si>
  <si>
    <t>2025-01-20</t>
  </si>
  <si>
    <t>C4142</t>
  </si>
  <si>
    <t>T100073</t>
  </si>
  <si>
    <t>2025-09-29</t>
  </si>
  <si>
    <t>C7135</t>
  </si>
  <si>
    <t>T100074</t>
  </si>
  <si>
    <t>2025-03-20</t>
  </si>
  <si>
    <t>C9233</t>
  </si>
  <si>
    <t>T100075</t>
  </si>
  <si>
    <t>2025-11-09</t>
  </si>
  <si>
    <t>C7805</t>
  </si>
  <si>
    <t>T100076</t>
  </si>
  <si>
    <t>2025-05-13</t>
  </si>
  <si>
    <t>C2098</t>
  </si>
  <si>
    <t>T100077</t>
  </si>
  <si>
    <t>29/12/2025</t>
  </si>
  <si>
    <t>C2806</t>
  </si>
  <si>
    <t>T100078</t>
  </si>
  <si>
    <t>2025-04-06</t>
  </si>
  <si>
    <t>C2788</t>
  </si>
  <si>
    <t>T100079</t>
  </si>
  <si>
    <t>2026-01-21</t>
  </si>
  <si>
    <t>C6728</t>
  </si>
  <si>
    <t>T100080</t>
  </si>
  <si>
    <t>2025-04-23</t>
  </si>
  <si>
    <t>C8672</t>
  </si>
  <si>
    <t>T100081</t>
  </si>
  <si>
    <t>2025-08-19</t>
  </si>
  <si>
    <t>C9970</t>
  </si>
  <si>
    <t>T100082</t>
  </si>
  <si>
    <t>2025-11-08</t>
  </si>
  <si>
    <t>C4583</t>
  </si>
  <si>
    <t>T100083</t>
  </si>
  <si>
    <t>2026-05-30</t>
  </si>
  <si>
    <t>C9000</t>
  </si>
  <si>
    <t>T100084</t>
  </si>
  <si>
    <t>28/06/2025</t>
  </si>
  <si>
    <t>C5862</t>
  </si>
  <si>
    <t>T100085</t>
  </si>
  <si>
    <t>2026-04-05</t>
  </si>
  <si>
    <t>C8114</t>
  </si>
  <si>
    <t>T100086</t>
  </si>
  <si>
    <t>2025-06-03</t>
  </si>
  <si>
    <t>C2837</t>
  </si>
  <si>
    <t>T100087</t>
  </si>
  <si>
    <t>2025-08-26</t>
  </si>
  <si>
    <t>C8641</t>
  </si>
  <si>
    <t>T100088</t>
  </si>
  <si>
    <t>2026-05-18</t>
  </si>
  <si>
    <t>C1455</t>
  </si>
  <si>
    <t>T100089</t>
  </si>
  <si>
    <t>2025-11-17</t>
  </si>
  <si>
    <t>C9562</t>
  </si>
  <si>
    <t>T100090</t>
  </si>
  <si>
    <t>C5842</t>
  </si>
  <si>
    <t>T100091</t>
  </si>
  <si>
    <t>08/06/2025</t>
  </si>
  <si>
    <t>C5213</t>
  </si>
  <si>
    <t>T100092</t>
  </si>
  <si>
    <t>2025-05-30</t>
  </si>
  <si>
    <t>C5086</t>
  </si>
  <si>
    <t>T100093</t>
  </si>
  <si>
    <t>2025-11-24</t>
  </si>
  <si>
    <t>C7239</t>
  </si>
  <si>
    <t>T100094</t>
  </si>
  <si>
    <t>2025-06-11</t>
  </si>
  <si>
    <t>C1489</t>
  </si>
  <si>
    <t>T100095</t>
  </si>
  <si>
    <t>C4488</t>
  </si>
  <si>
    <t>T100096</t>
  </si>
  <si>
    <t>C9757</t>
  </si>
  <si>
    <t>T100097</t>
  </si>
  <si>
    <t>C9462</t>
  </si>
  <si>
    <t>T100098</t>
  </si>
  <si>
    <t>17/07/2025</t>
  </si>
  <si>
    <t>C4611</t>
  </si>
  <si>
    <t>T100099</t>
  </si>
  <si>
    <t>2025-12-03</t>
  </si>
  <si>
    <t>C6147</t>
  </si>
  <si>
    <t>T100100</t>
  </si>
  <si>
    <t>2026-04-21</t>
  </si>
  <si>
    <t>C7371</t>
  </si>
  <si>
    <t>T100101</t>
  </si>
  <si>
    <t>2025-08-23</t>
  </si>
  <si>
    <t>C7489</t>
  </si>
  <si>
    <t>T100102</t>
  </si>
  <si>
    <t>C9515</t>
  </si>
  <si>
    <t>T100103</t>
  </si>
  <si>
    <t>C3710</t>
  </si>
  <si>
    <t>T100104</t>
  </si>
  <si>
    <t>2025-02-13</t>
  </si>
  <si>
    <t>C2671</t>
  </si>
  <si>
    <t>T100105</t>
  </si>
  <si>
    <t>11/07/2025</t>
  </si>
  <si>
    <t>C3337</t>
  </si>
  <si>
    <t>T100106</t>
  </si>
  <si>
    <t>2026-05-03</t>
  </si>
  <si>
    <t>C7887</t>
  </si>
  <si>
    <t>T100107</t>
  </si>
  <si>
    <t>2025-04-22</t>
  </si>
  <si>
    <t>C8749</t>
  </si>
  <si>
    <t>T100108</t>
  </si>
  <si>
    <t>2025-02-06</t>
  </si>
  <si>
    <t>C8072</t>
  </si>
  <si>
    <t>T100109</t>
  </si>
  <si>
    <t>2025-08-02</t>
  </si>
  <si>
    <t>C2810</t>
  </si>
  <si>
    <t>T100110</t>
  </si>
  <si>
    <t>2025-01-16</t>
  </si>
  <si>
    <t>C7654</t>
  </si>
  <si>
    <t>T100111</t>
  </si>
  <si>
    <t>2025-12-25</t>
  </si>
  <si>
    <t>C4848</t>
  </si>
  <si>
    <t>T100112</t>
  </si>
  <si>
    <t>27/04/2026</t>
  </si>
  <si>
    <t>C3748</t>
  </si>
  <si>
    <t>T100113</t>
  </si>
  <si>
    <t>2025-10-26</t>
  </si>
  <si>
    <t>C8565</t>
  </si>
  <si>
    <t>T100114</t>
  </si>
  <si>
    <t>C2600</t>
  </si>
  <si>
    <t>T100115</t>
  </si>
  <si>
    <t>2025-10-02</t>
  </si>
  <si>
    <t>C2258</t>
  </si>
  <si>
    <t>T100116</t>
  </si>
  <si>
    <t>2026-03-01</t>
  </si>
  <si>
    <t>C5035</t>
  </si>
  <si>
    <t>T100117</t>
  </si>
  <si>
    <t>C9755</t>
  </si>
  <si>
    <t>T100118</t>
  </si>
  <si>
    <t>2026-03-20</t>
  </si>
  <si>
    <t>C8586</t>
  </si>
  <si>
    <t>T100119</t>
  </si>
  <si>
    <t>05/04/2026</t>
  </si>
  <si>
    <t>C7326</t>
  </si>
  <si>
    <t>T100120</t>
  </si>
  <si>
    <t>2026-06-05</t>
  </si>
  <si>
    <t>C3695</t>
  </si>
  <si>
    <t>T100121</t>
  </si>
  <si>
    <t>2025-04-02</t>
  </si>
  <si>
    <t>C6744</t>
  </si>
  <si>
    <t>T100122</t>
  </si>
  <si>
    <t>2026-03-18</t>
  </si>
  <si>
    <t>C1585</t>
  </si>
  <si>
    <t>T100123</t>
  </si>
  <si>
    <t>2025-06-14</t>
  </si>
  <si>
    <t>C8361</t>
  </si>
  <si>
    <t>T100124</t>
  </si>
  <si>
    <t>2026-05-02</t>
  </si>
  <si>
    <t>C1157</t>
  </si>
  <si>
    <t>T100125</t>
  </si>
  <si>
    <t>2025-04-29</t>
  </si>
  <si>
    <t>C5232</t>
  </si>
  <si>
    <t>T100126</t>
  </si>
  <si>
    <t>28/03/2025</t>
  </si>
  <si>
    <t>C1758</t>
  </si>
  <si>
    <t>T100127</t>
  </si>
  <si>
    <t>2026-01-01</t>
  </si>
  <si>
    <t>C6754</t>
  </si>
  <si>
    <t>T100128</t>
  </si>
  <si>
    <t>2025-03-09</t>
  </si>
  <si>
    <t>C1678</t>
  </si>
  <si>
    <t>T100129</t>
  </si>
  <si>
    <t>2026-06-01</t>
  </si>
  <si>
    <t>T100130</t>
  </si>
  <si>
    <t>2025-10-10</t>
  </si>
  <si>
    <t>C3753</t>
  </si>
  <si>
    <t>T100131</t>
  </si>
  <si>
    <t>C1843</t>
  </si>
  <si>
    <t>T100132</t>
  </si>
  <si>
    <t>2025-08-03</t>
  </si>
  <si>
    <t>C3434</t>
  </si>
  <si>
    <t>T100133</t>
  </si>
  <si>
    <t>31/05/2026</t>
  </si>
  <si>
    <t>C8400</t>
  </si>
  <si>
    <t>T100134</t>
  </si>
  <si>
    <t>2025-09-21</t>
  </si>
  <si>
    <t>C9579</t>
  </si>
  <si>
    <t>T100135</t>
  </si>
  <si>
    <t>2025-05-04</t>
  </si>
  <si>
    <t>C7200</t>
  </si>
  <si>
    <t>T100136</t>
  </si>
  <si>
    <t>2025-11-10</t>
  </si>
  <si>
    <t>C9373</t>
  </si>
  <si>
    <t>T100137</t>
  </si>
  <si>
    <t>2026-06-14</t>
  </si>
  <si>
    <t>C9420</t>
  </si>
  <si>
    <t>T100138</t>
  </si>
  <si>
    <t>2026-05-29</t>
  </si>
  <si>
    <t>C3350</t>
  </si>
  <si>
    <t>T100139</t>
  </si>
  <si>
    <t>2025-02-27</t>
  </si>
  <si>
    <t>C4522</t>
  </si>
  <si>
    <t>T100140</t>
  </si>
  <si>
    <t>21/02/2026</t>
  </si>
  <si>
    <t>C9808</t>
  </si>
  <si>
    <t>T100141</t>
  </si>
  <si>
    <t>2025-08-20</t>
  </si>
  <si>
    <t>C8528</t>
  </si>
  <si>
    <t>T100142</t>
  </si>
  <si>
    <t>2025-12-20</t>
  </si>
  <si>
    <t>C8657</t>
  </si>
  <si>
    <t>T100143</t>
  </si>
  <si>
    <t>2025-10-07</t>
  </si>
  <si>
    <t>C3100</t>
  </si>
  <si>
    <t>T100144</t>
  </si>
  <si>
    <t>2026-01-09</t>
  </si>
  <si>
    <t>C9665</t>
  </si>
  <si>
    <t>T100145</t>
  </si>
  <si>
    <t>2025-02-20</t>
  </si>
  <si>
    <t>C4806</t>
  </si>
  <si>
    <t>T100146</t>
  </si>
  <si>
    <t>2025-02-01</t>
  </si>
  <si>
    <t>C4176</t>
  </si>
  <si>
    <t>T100147</t>
  </si>
  <si>
    <t>02/04/2025</t>
  </si>
  <si>
    <t>C6172</t>
  </si>
  <si>
    <t>T100148</t>
  </si>
  <si>
    <t>T100149</t>
  </si>
  <si>
    <t>2025-01-21</t>
  </si>
  <si>
    <t>C7533</t>
  </si>
  <si>
    <t>T100150</t>
  </si>
  <si>
    <t>2025-04-19</t>
  </si>
  <si>
    <t>C4468</t>
  </si>
  <si>
    <t>T100151</t>
  </si>
  <si>
    <t>2025-10-12</t>
  </si>
  <si>
    <t>C9164</t>
  </si>
  <si>
    <t>T100152</t>
  </si>
  <si>
    <t>2025-04-14</t>
  </si>
  <si>
    <t>C6431</t>
  </si>
  <si>
    <t>T100153</t>
  </si>
  <si>
    <t>C2433</t>
  </si>
  <si>
    <t>T100154</t>
  </si>
  <si>
    <t>05/03/2025</t>
  </si>
  <si>
    <t>C9863</t>
  </si>
  <si>
    <t>T100155</t>
  </si>
  <si>
    <t>2026-04-28</t>
  </si>
  <si>
    <t>C8601</t>
  </si>
  <si>
    <t>T100156</t>
  </si>
  <si>
    <t>C1169</t>
  </si>
  <si>
    <t>T100157</t>
  </si>
  <si>
    <t>C8722</t>
  </si>
  <si>
    <t>T100158</t>
  </si>
  <si>
    <t>2025-01-13</t>
  </si>
  <si>
    <t>C2928</t>
  </si>
  <si>
    <t>T100159</t>
  </si>
  <si>
    <t>C5843</t>
  </si>
  <si>
    <t>T100160</t>
  </si>
  <si>
    <t>C2622</t>
  </si>
  <si>
    <t>T100161</t>
  </si>
  <si>
    <t>31/01/2025</t>
  </si>
  <si>
    <t>C9402</t>
  </si>
  <si>
    <t>T100162</t>
  </si>
  <si>
    <t>2025-04-30</t>
  </si>
  <si>
    <t>C4564</t>
  </si>
  <si>
    <t>T100163</t>
  </si>
  <si>
    <t>2025-02-21</t>
  </si>
  <si>
    <t>C4242</t>
  </si>
  <si>
    <t>T100164</t>
  </si>
  <si>
    <t>2025-12-16</t>
  </si>
  <si>
    <t>T100165</t>
  </si>
  <si>
    <t>C6617</t>
  </si>
  <si>
    <t>T100166</t>
  </si>
  <si>
    <t>2025-03-26</t>
  </si>
  <si>
    <t>C8406</t>
  </si>
  <si>
    <t>T100167</t>
  </si>
  <si>
    <t>2026-04-08</t>
  </si>
  <si>
    <t>C4413</t>
  </si>
  <si>
    <t>T100168</t>
  </si>
  <si>
    <t>10/01/2026</t>
  </si>
  <si>
    <t>C2909</t>
  </si>
  <si>
    <t>T100169</t>
  </si>
  <si>
    <t>2025-05-01</t>
  </si>
  <si>
    <t>C7044</t>
  </si>
  <si>
    <t>T100170</t>
  </si>
  <si>
    <t>C4917</t>
  </si>
  <si>
    <t>T100171</t>
  </si>
  <si>
    <t>C3767</t>
  </si>
  <si>
    <t>T100172</t>
  </si>
  <si>
    <t>2026-01-23</t>
  </si>
  <si>
    <t>C9664</t>
  </si>
  <si>
    <t>T100173</t>
  </si>
  <si>
    <t>C4423</t>
  </si>
  <si>
    <t>T100174</t>
  </si>
  <si>
    <t>2026-04-26</t>
  </si>
  <si>
    <t>C9088</t>
  </si>
  <si>
    <t>T100175</t>
  </si>
  <si>
    <t>08/06/2026</t>
  </si>
  <si>
    <t>C6900</t>
  </si>
  <si>
    <t>T100176</t>
  </si>
  <si>
    <t>2025-03-18</t>
  </si>
  <si>
    <t>C4434</t>
  </si>
  <si>
    <t>T100177</t>
  </si>
  <si>
    <t>C1586</t>
  </si>
  <si>
    <t>T100178</t>
  </si>
  <si>
    <t>2025-12-02</t>
  </si>
  <si>
    <t>C7048</t>
  </si>
  <si>
    <t>T100179</t>
  </si>
  <si>
    <t>2026-05-17</t>
  </si>
  <si>
    <t>C6064</t>
  </si>
  <si>
    <t>T100180</t>
  </si>
  <si>
    <t>2026-06-17</t>
  </si>
  <si>
    <t>C9866</t>
  </si>
  <si>
    <t>T100181</t>
  </si>
  <si>
    <t>2025-10-31</t>
  </si>
  <si>
    <t>C2430</t>
  </si>
  <si>
    <t>T100182</t>
  </si>
  <si>
    <t>30/08/2025</t>
  </si>
  <si>
    <t>C7535</t>
  </si>
  <si>
    <t>T100183</t>
  </si>
  <si>
    <t>2025-01-08</t>
  </si>
  <si>
    <t>C2325</t>
  </si>
  <si>
    <t>T100184</t>
  </si>
  <si>
    <t>C1461</t>
  </si>
  <si>
    <t>T100185</t>
  </si>
  <si>
    <t>C7432</t>
  </si>
  <si>
    <t>T100186</t>
  </si>
  <si>
    <t>2025-04-27</t>
  </si>
  <si>
    <t>C8428</t>
  </si>
  <si>
    <t>T100187</t>
  </si>
  <si>
    <t>2026-05-06</t>
  </si>
  <si>
    <t>C8348</t>
  </si>
  <si>
    <t>T100188</t>
  </si>
  <si>
    <t>2025-04-24</t>
  </si>
  <si>
    <t>C1623</t>
  </si>
  <si>
    <t>T100189</t>
  </si>
  <si>
    <t>25/01/2025</t>
  </si>
  <si>
    <t>C5953</t>
  </si>
  <si>
    <t>T100190</t>
  </si>
  <si>
    <t>2025-02-05</t>
  </si>
  <si>
    <t>C5229</t>
  </si>
  <si>
    <t>T100191</t>
  </si>
  <si>
    <t>2025-08-09</t>
  </si>
  <si>
    <t>C3859</t>
  </si>
  <si>
    <t>T100192</t>
  </si>
  <si>
    <t>C8031</t>
  </si>
  <si>
    <t>T100193</t>
  </si>
  <si>
    <t>2026-04-01</t>
  </si>
  <si>
    <t>C6270</t>
  </si>
  <si>
    <t>T100194</t>
  </si>
  <si>
    <t>2026-06-15</t>
  </si>
  <si>
    <t>C3889</t>
  </si>
  <si>
    <t>T100195</t>
  </si>
  <si>
    <t>2025-08-05</t>
  </si>
  <si>
    <t>C3683</t>
  </si>
  <si>
    <t>T100196</t>
  </si>
  <si>
    <t>01/05/2025</t>
  </si>
  <si>
    <t>C6603</t>
  </si>
  <si>
    <t>T100197</t>
  </si>
  <si>
    <t>2026-03-16</t>
  </si>
  <si>
    <t>C1933</t>
  </si>
  <si>
    <t>T100198</t>
  </si>
  <si>
    <t>C2906</t>
  </si>
  <si>
    <t>T100199</t>
  </si>
  <si>
    <t>2025-01-06</t>
  </si>
  <si>
    <t>C8713</t>
  </si>
  <si>
    <t>T100200</t>
  </si>
  <si>
    <t>C3292</t>
  </si>
  <si>
    <t>T100201</t>
  </si>
  <si>
    <t>C5776</t>
  </si>
  <si>
    <t>T100202</t>
  </si>
  <si>
    <t>2026-06-22</t>
  </si>
  <si>
    <t>C2105</t>
  </si>
  <si>
    <t>T100203</t>
  </si>
  <si>
    <t>03/12/2025</t>
  </si>
  <si>
    <t>C6801</t>
  </si>
  <si>
    <t>T100204</t>
  </si>
  <si>
    <t>2025-12-18</t>
  </si>
  <si>
    <t>C4306</t>
  </si>
  <si>
    <t>T100205</t>
  </si>
  <si>
    <t>C2489</t>
  </si>
  <si>
    <t>T100206</t>
  </si>
  <si>
    <t>C8837</t>
  </si>
  <si>
    <t>T100207</t>
  </si>
  <si>
    <t>2025-06-22</t>
  </si>
  <si>
    <t>C9280</t>
  </si>
  <si>
    <t>T100208</t>
  </si>
  <si>
    <t>2025-03-24</t>
  </si>
  <si>
    <t>C2263</t>
  </si>
  <si>
    <t>T100209</t>
  </si>
  <si>
    <t>2026-03-09</t>
  </si>
  <si>
    <t>C8552</t>
  </si>
  <si>
    <t>T100210</t>
  </si>
  <si>
    <t>03/03/2025</t>
  </si>
  <si>
    <t>C5892</t>
  </si>
  <si>
    <t>T100211</t>
  </si>
  <si>
    <t>2025-01-10</t>
  </si>
  <si>
    <t>C4000</t>
  </si>
  <si>
    <t>T100212</t>
  </si>
  <si>
    <t>2026-03-26</t>
  </si>
  <si>
    <t>C7370</t>
  </si>
  <si>
    <t>T100213</t>
  </si>
  <si>
    <t>2026-02-08</t>
  </si>
  <si>
    <t>C7131</t>
  </si>
  <si>
    <t>T100214</t>
  </si>
  <si>
    <t>2025-06-05</t>
  </si>
  <si>
    <t>C3971</t>
  </si>
  <si>
    <t>T100215</t>
  </si>
  <si>
    <t>2025-06-24</t>
  </si>
  <si>
    <t>C7931</t>
  </si>
  <si>
    <t>T100216</t>
  </si>
  <si>
    <t>2025-01-25</t>
  </si>
  <si>
    <t>C5410</t>
  </si>
  <si>
    <t>T100217</t>
  </si>
  <si>
    <t>19/04/2025</t>
  </si>
  <si>
    <t>C4756</t>
  </si>
  <si>
    <t>T100218</t>
  </si>
  <si>
    <t>2025-08-18</t>
  </si>
  <si>
    <t>C3338</t>
  </si>
  <si>
    <t>T100219</t>
  </si>
  <si>
    <t>2026-03-29</t>
  </si>
  <si>
    <t>C2376</t>
  </si>
  <si>
    <t>T100220</t>
  </si>
  <si>
    <t>2025-11-06</t>
  </si>
  <si>
    <t>C6925</t>
  </si>
  <si>
    <t>T100221</t>
  </si>
  <si>
    <t>C3473</t>
  </si>
  <si>
    <t>T100222</t>
  </si>
  <si>
    <t>2025-06-25</t>
  </si>
  <si>
    <t>C4324</t>
  </si>
  <si>
    <t>T100223</t>
  </si>
  <si>
    <t>C2445</t>
  </si>
  <si>
    <t>T100224</t>
  </si>
  <si>
    <t>10/10/2025</t>
  </si>
  <si>
    <t>C9157</t>
  </si>
  <si>
    <t>T100225</t>
  </si>
  <si>
    <t>C9089</t>
  </si>
  <si>
    <t>T100226</t>
  </si>
  <si>
    <t>2025-02-24</t>
  </si>
  <si>
    <t>C8707</t>
  </si>
  <si>
    <t>T100227</t>
  </si>
  <si>
    <t>2026-01-14</t>
  </si>
  <si>
    <t>C8188</t>
  </si>
  <si>
    <t>T100228</t>
  </si>
  <si>
    <t>2025-09-09</t>
  </si>
  <si>
    <t>C4533</t>
  </si>
  <si>
    <t>T100229</t>
  </si>
  <si>
    <t>C1988</t>
  </si>
  <si>
    <t>T100230</t>
  </si>
  <si>
    <t>2026-01-13</t>
  </si>
  <si>
    <t>C2672</t>
  </si>
  <si>
    <t>T100231</t>
  </si>
  <si>
    <t>C6680</t>
  </si>
  <si>
    <t>T100232</t>
  </si>
  <si>
    <t>2026-03-28</t>
  </si>
  <si>
    <t>C2357</t>
  </si>
  <si>
    <t>T100233</t>
  </si>
  <si>
    <t>2026-04-13</t>
  </si>
  <si>
    <t>C3882</t>
  </si>
  <si>
    <t>T100234</t>
  </si>
  <si>
    <t>C6844</t>
  </si>
  <si>
    <t>T100235</t>
  </si>
  <si>
    <t>T100236</t>
  </si>
  <si>
    <t>C5676</t>
  </si>
  <si>
    <t>T100237</t>
  </si>
  <si>
    <t>2025-05-20</t>
  </si>
  <si>
    <t>C4941</t>
  </si>
  <si>
    <t>T100238</t>
  </si>
  <si>
    <t>24/02/2025</t>
  </si>
  <si>
    <t>C7316</t>
  </si>
  <si>
    <t>T100239</t>
  </si>
  <si>
    <t>2026-03-03</t>
  </si>
  <si>
    <t>C5660</t>
  </si>
  <si>
    <t>T100240</t>
  </si>
  <si>
    <t>2025-09-20</t>
  </si>
  <si>
    <t>C7355</t>
  </si>
  <si>
    <t>T100241</t>
  </si>
  <si>
    <t>C8504</t>
  </si>
  <si>
    <t>T100242</t>
  </si>
  <si>
    <t>2025-12-07</t>
  </si>
  <si>
    <t>C3256</t>
  </si>
  <si>
    <t>T100243</t>
  </si>
  <si>
    <t>2026-05-23</t>
  </si>
  <si>
    <t>C2918</t>
  </si>
  <si>
    <t>T100244</t>
  </si>
  <si>
    <t>C2830</t>
  </si>
  <si>
    <t>T100245</t>
  </si>
  <si>
    <t>15/04/2025</t>
  </si>
  <si>
    <t>C8892</t>
  </si>
  <si>
    <t>T100246</t>
  </si>
  <si>
    <t>2025-09-18</t>
  </si>
  <si>
    <t>C2060</t>
  </si>
  <si>
    <t>T100247</t>
  </si>
  <si>
    <t>C7852</t>
  </si>
  <si>
    <t>T100248</t>
  </si>
  <si>
    <t>2026-01-08</t>
  </si>
  <si>
    <t>C7890</t>
  </si>
  <si>
    <t>T100249</t>
  </si>
  <si>
    <t>2025-08-12</t>
  </si>
  <si>
    <t>C8541</t>
  </si>
  <si>
    <t>2025-02-14</t>
  </si>
  <si>
    <t>C3487</t>
  </si>
  <si>
    <t>T100251</t>
  </si>
  <si>
    <t>2025-08-27</t>
  </si>
  <si>
    <t>C3948</t>
  </si>
  <si>
    <t>T100252</t>
  </si>
  <si>
    <t>24/04/2025</t>
  </si>
  <si>
    <t>C2712</t>
  </si>
  <si>
    <t>T100253</t>
  </si>
  <si>
    <t>2025-12-10</t>
  </si>
  <si>
    <t>C8624</t>
  </si>
  <si>
    <t>T100254</t>
  </si>
  <si>
    <t>C9216</t>
  </si>
  <si>
    <t>T100255</t>
  </si>
  <si>
    <t>2025-02-04</t>
  </si>
  <si>
    <t>C4836</t>
  </si>
  <si>
    <t>T100256</t>
  </si>
  <si>
    <t>2025-11-20</t>
  </si>
  <si>
    <t>C4576</t>
  </si>
  <si>
    <t>T100257</t>
  </si>
  <si>
    <t>2025-03-31</t>
  </si>
  <si>
    <t>C5642</t>
  </si>
  <si>
    <t>T100258</t>
  </si>
  <si>
    <t>2025-03-01</t>
  </si>
  <si>
    <t>C9260</t>
  </si>
  <si>
    <t>T100259</t>
  </si>
  <si>
    <t>19/10/2025</t>
  </si>
  <si>
    <t>C7046</t>
  </si>
  <si>
    <t>T100260</t>
  </si>
  <si>
    <t>2026-04-23</t>
  </si>
  <si>
    <t>T100261</t>
  </si>
  <si>
    <t>2025-04-05</t>
  </si>
  <si>
    <t>C6397</t>
  </si>
  <si>
    <t>T100262</t>
  </si>
  <si>
    <t>2025-12-31</t>
  </si>
  <si>
    <t>C4427</t>
  </si>
  <si>
    <t>T100263</t>
  </si>
  <si>
    <t>2025-06-29</t>
  </si>
  <si>
    <t>C5464</t>
  </si>
  <si>
    <t>T100264</t>
  </si>
  <si>
    <t>2025-06-26</t>
  </si>
  <si>
    <t>C3173</t>
  </si>
  <si>
    <t>T100265</t>
  </si>
  <si>
    <t>C8482</t>
  </si>
  <si>
    <t>T100266</t>
  </si>
  <si>
    <t>26/04/2025</t>
  </si>
  <si>
    <t>C8909</t>
  </si>
  <si>
    <t>T100267</t>
  </si>
  <si>
    <t>2025-05-14</t>
  </si>
  <si>
    <t>C5732</t>
  </si>
  <si>
    <t>T100268</t>
  </si>
  <si>
    <t>C3305</t>
  </si>
  <si>
    <t>T100269</t>
  </si>
  <si>
    <t>2026-01-17</t>
  </si>
  <si>
    <t>C5259</t>
  </si>
  <si>
    <t>T100270</t>
  </si>
  <si>
    <t>2025-04-21</t>
  </si>
  <si>
    <t>C2181</t>
  </si>
  <si>
    <t>T100271</t>
  </si>
  <si>
    <t>C9081</t>
  </si>
  <si>
    <t>T100272</t>
  </si>
  <si>
    <t>C3913</t>
  </si>
  <si>
    <t>T100273</t>
  </si>
  <si>
    <t>29/03/2026</t>
  </si>
  <si>
    <t>C2700</t>
  </si>
  <si>
    <t>T100274</t>
  </si>
  <si>
    <t>2025-03-27</t>
  </si>
  <si>
    <t>C4194</t>
  </si>
  <si>
    <t>T100275</t>
  </si>
  <si>
    <t>C6822</t>
  </si>
  <si>
    <t>T100276</t>
  </si>
  <si>
    <t>2026-02-10</t>
  </si>
  <si>
    <t>C2359</t>
  </si>
  <si>
    <t>T100277</t>
  </si>
  <si>
    <t>2026-05-11</t>
  </si>
  <si>
    <t>C6590</t>
  </si>
  <si>
    <t>T100278</t>
  </si>
  <si>
    <t>2026-01-25</t>
  </si>
  <si>
    <t>C1091</t>
  </si>
  <si>
    <t>T100279</t>
  </si>
  <si>
    <t>C4799</t>
  </si>
  <si>
    <t>T100280</t>
  </si>
  <si>
    <t>13/08/2025</t>
  </si>
  <si>
    <t>C9222</t>
  </si>
  <si>
    <t>T100281</t>
  </si>
  <si>
    <t>C4457</t>
  </si>
  <si>
    <t>T100282</t>
  </si>
  <si>
    <t>2026-05-28</t>
  </si>
  <si>
    <t>C3907</t>
  </si>
  <si>
    <t>T100283</t>
  </si>
  <si>
    <t>2025-07-02</t>
  </si>
  <si>
    <t>C3908</t>
  </si>
  <si>
    <t>T100284</t>
  </si>
  <si>
    <t>C7992</t>
  </si>
  <si>
    <t>T100285</t>
  </si>
  <si>
    <t>2026-06-13</t>
  </si>
  <si>
    <t>C7040</t>
  </si>
  <si>
    <t>T100286</t>
  </si>
  <si>
    <t>2026-01-05</t>
  </si>
  <si>
    <t>C9438</t>
  </si>
  <si>
    <t>T100287</t>
  </si>
  <si>
    <t>19/03/2026</t>
  </si>
  <si>
    <t>C6490</t>
  </si>
  <si>
    <t>T100288</t>
  </si>
  <si>
    <t>C1512</t>
  </si>
  <si>
    <t>T100289</t>
  </si>
  <si>
    <t>C4072</t>
  </si>
  <si>
    <t>T100290</t>
  </si>
  <si>
    <t>C4200</t>
  </si>
  <si>
    <t>T100291</t>
  </si>
  <si>
    <t>2025-08-08</t>
  </si>
  <si>
    <t>T100292</t>
  </si>
  <si>
    <t>2025-02-17</t>
  </si>
  <si>
    <t>C1292</t>
  </si>
  <si>
    <t>T100293</t>
  </si>
  <si>
    <t>C4223</t>
  </si>
  <si>
    <t>T100294</t>
  </si>
  <si>
    <t>12/11/2025</t>
  </si>
  <si>
    <t>C5688</t>
  </si>
  <si>
    <t>T100295</t>
  </si>
  <si>
    <t>2026-04-16</t>
  </si>
  <si>
    <t>C2896</t>
  </si>
  <si>
    <t>T100296</t>
  </si>
  <si>
    <t>C8382</t>
  </si>
  <si>
    <t>T100297</t>
  </si>
  <si>
    <t>2025-07-26</t>
  </si>
  <si>
    <t>C5315</t>
  </si>
  <si>
    <t>T100298</t>
  </si>
  <si>
    <t>C2719</t>
  </si>
  <si>
    <t>T100299</t>
  </si>
  <si>
    <t>2025-05-29</t>
  </si>
  <si>
    <t>C2201</t>
  </si>
  <si>
    <t>T100300</t>
  </si>
  <si>
    <t>2025-10-22</t>
  </si>
  <si>
    <t>C1383</t>
  </si>
  <si>
    <t>T100301</t>
  </si>
  <si>
    <t>22/04/2025</t>
  </si>
  <si>
    <t>C7551</t>
  </si>
  <si>
    <t>T100302</t>
  </si>
  <si>
    <t>2025-04-28</t>
  </si>
  <si>
    <t>C3517</t>
  </si>
  <si>
    <t>T100303</t>
  </si>
  <si>
    <t>2025-11-15</t>
  </si>
  <si>
    <t>C8984</t>
  </si>
  <si>
    <t>T100304</t>
  </si>
  <si>
    <t>C5961</t>
  </si>
  <si>
    <t>T100305</t>
  </si>
  <si>
    <t>C3868</t>
  </si>
  <si>
    <t>T100306</t>
  </si>
  <si>
    <t>2025-12-22</t>
  </si>
  <si>
    <t>C9301</t>
  </si>
  <si>
    <t>T100307</t>
  </si>
  <si>
    <t>C7453</t>
  </si>
  <si>
    <t>T100308</t>
  </si>
  <si>
    <t>05/01/2026</t>
  </si>
  <si>
    <t>C9106</t>
  </si>
  <si>
    <t>T100309</t>
  </si>
  <si>
    <t>2025-07-06</t>
  </si>
  <si>
    <t>C9771</t>
  </si>
  <si>
    <t>T100310</t>
  </si>
  <si>
    <t>2025-09-03</t>
  </si>
  <si>
    <t>C6319</t>
  </si>
  <si>
    <t>T100311</t>
  </si>
  <si>
    <t>2026-02-11</t>
  </si>
  <si>
    <t>C1571</t>
  </si>
  <si>
    <t>T100312</t>
  </si>
  <si>
    <t>C5326</t>
  </si>
  <si>
    <t>T100313</t>
  </si>
  <si>
    <t>C6647</t>
  </si>
  <si>
    <t>T100314</t>
  </si>
  <si>
    <t>C3524</t>
  </si>
  <si>
    <t>T100315</t>
  </si>
  <si>
    <t>10/02/2026</t>
  </si>
  <si>
    <t>C9699</t>
  </si>
  <si>
    <t>T100316</t>
  </si>
  <si>
    <t>2025-06-18</t>
  </si>
  <si>
    <t>C9177</t>
  </si>
  <si>
    <t>T100317</t>
  </si>
  <si>
    <t>2026-02-20</t>
  </si>
  <si>
    <t>C4885</t>
  </si>
  <si>
    <t>T100318</t>
  </si>
  <si>
    <t>2025-07-20</t>
  </si>
  <si>
    <t>C5331</t>
  </si>
  <si>
    <t>T100319</t>
  </si>
  <si>
    <t>2025-09-23</t>
  </si>
  <si>
    <t>C1622</t>
  </si>
  <si>
    <t>T100320</t>
  </si>
  <si>
    <t>C4169</t>
  </si>
  <si>
    <t>T100321</t>
  </si>
  <si>
    <t>2026-02-27</t>
  </si>
  <si>
    <t>C5300</t>
  </si>
  <si>
    <t>T100322</t>
  </si>
  <si>
    <t>C3824</t>
  </si>
  <si>
    <t>T100323</t>
  </si>
  <si>
    <t>2026-06-02</t>
  </si>
  <si>
    <t>C8949</t>
  </si>
  <si>
    <t>T100324</t>
  </si>
  <si>
    <t>2025-01-22</t>
  </si>
  <si>
    <t>C2413</t>
  </si>
  <si>
    <t>T100325</t>
  </si>
  <si>
    <t>C3732</t>
  </si>
  <si>
    <t>T100326</t>
  </si>
  <si>
    <t>2025-10-23</t>
  </si>
  <si>
    <t>C2980</t>
  </si>
  <si>
    <t>T100327</t>
  </si>
  <si>
    <t>C1597</t>
  </si>
  <si>
    <t>T100328</t>
  </si>
  <si>
    <t>2025-06-04</t>
  </si>
  <si>
    <t>C5927</t>
  </si>
  <si>
    <t>T100329</t>
  </si>
  <si>
    <t>16/06/2025</t>
  </si>
  <si>
    <t>C3259</t>
  </si>
  <si>
    <t>T100330</t>
  </si>
  <si>
    <t>2025-08-29</t>
  </si>
  <si>
    <t>C8537</t>
  </si>
  <si>
    <t>T100331</t>
  </si>
  <si>
    <t>C7246</t>
  </si>
  <si>
    <t>T100332</t>
  </si>
  <si>
    <t>C4698</t>
  </si>
  <si>
    <t>T100333</t>
  </si>
  <si>
    <t>2026-04-25</t>
  </si>
  <si>
    <t>C4579</t>
  </si>
  <si>
    <t>T100334</t>
  </si>
  <si>
    <t>C7300</t>
  </si>
  <si>
    <t>T100335</t>
  </si>
  <si>
    <t>2025-08-28</t>
  </si>
  <si>
    <t>C1017</t>
  </si>
  <si>
    <t>T100336</t>
  </si>
  <si>
    <t>23/06/2025</t>
  </si>
  <si>
    <t>C9219</t>
  </si>
  <si>
    <t>T100337</t>
  </si>
  <si>
    <t>2025-05-05</t>
  </si>
  <si>
    <t>C4375</t>
  </si>
  <si>
    <t>T100338</t>
  </si>
  <si>
    <t>2025-09-12</t>
  </si>
  <si>
    <t>C7387</t>
  </si>
  <si>
    <t>T100339</t>
  </si>
  <si>
    <t>2025-07-08</t>
  </si>
  <si>
    <t>C1790</t>
  </si>
  <si>
    <t>T100340</t>
  </si>
  <si>
    <t>C7287</t>
  </si>
  <si>
    <t>T100341</t>
  </si>
  <si>
    <t>C9407</t>
  </si>
  <si>
    <t>T100342</t>
  </si>
  <si>
    <t>T100343</t>
  </si>
  <si>
    <t>08/05/2025</t>
  </si>
  <si>
    <t>T100344</t>
  </si>
  <si>
    <t>2025-11-03</t>
  </si>
  <si>
    <t>C1695</t>
  </si>
  <si>
    <t>T100345</t>
  </si>
  <si>
    <t>2025-10-25</t>
  </si>
  <si>
    <t>C6070</t>
  </si>
  <si>
    <t>T100346</t>
  </si>
  <si>
    <t>C8437</t>
  </si>
  <si>
    <t>T100347</t>
  </si>
  <si>
    <t>2026-01-12</t>
  </si>
  <si>
    <t>C9893</t>
  </si>
  <si>
    <t>T100348</t>
  </si>
  <si>
    <t>2026-06-07</t>
  </si>
  <si>
    <t>C6169</t>
  </si>
  <si>
    <t>T100349</t>
  </si>
  <si>
    <t>C5228</t>
  </si>
  <si>
    <t>T100350</t>
  </si>
  <si>
    <t>11/04/2025</t>
  </si>
  <si>
    <t>C7096</t>
  </si>
  <si>
    <t>T100351</t>
  </si>
  <si>
    <t>2025-09-13</t>
  </si>
  <si>
    <t>C7475</t>
  </si>
  <si>
    <t>T100352</t>
  </si>
  <si>
    <t>C3826</t>
  </si>
  <si>
    <t>T100353</t>
  </si>
  <si>
    <t>C5126</t>
  </si>
  <si>
    <t>T100354</t>
  </si>
  <si>
    <t>C6531</t>
  </si>
  <si>
    <t>T100355</t>
  </si>
  <si>
    <t>C7841</t>
  </si>
  <si>
    <t>T100356</t>
  </si>
  <si>
    <t>C7282</t>
  </si>
  <si>
    <t>T100357</t>
  </si>
  <si>
    <t>C3198</t>
  </si>
  <si>
    <t>T100358</t>
  </si>
  <si>
    <t>C4013</t>
  </si>
  <si>
    <t>T100359</t>
  </si>
  <si>
    <t>C7967</t>
  </si>
  <si>
    <t>T100360</t>
  </si>
  <si>
    <t>2025-05-06</t>
  </si>
  <si>
    <t>C4147</t>
  </si>
  <si>
    <t>T100361</t>
  </si>
  <si>
    <t>2025-09-05</t>
  </si>
  <si>
    <t>T100362</t>
  </si>
  <si>
    <t>C7340</t>
  </si>
  <si>
    <t>T100363</t>
  </si>
  <si>
    <t>2025-03-15</t>
  </si>
  <si>
    <t>C2266</t>
  </si>
  <si>
    <t>T100364</t>
  </si>
  <si>
    <t>04/05/2025</t>
  </si>
  <si>
    <t>C8461</t>
  </si>
  <si>
    <t>T100365</t>
  </si>
  <si>
    <t>C9589</t>
  </si>
  <si>
    <t>T100366</t>
  </si>
  <si>
    <t>2025-08-24</t>
  </si>
  <si>
    <t>C9215</t>
  </si>
  <si>
    <t>T100367</t>
  </si>
  <si>
    <t>C1316</t>
  </si>
  <si>
    <t>T100368</t>
  </si>
  <si>
    <t>C3521</t>
  </si>
  <si>
    <t>T100369</t>
  </si>
  <si>
    <t>2025-09-04</t>
  </si>
  <si>
    <t>C7381</t>
  </si>
  <si>
    <t>T100370</t>
  </si>
  <si>
    <t>2026-05-12</t>
  </si>
  <si>
    <t>T100371</t>
  </si>
  <si>
    <t>27/03/2025</t>
  </si>
  <si>
    <t>C3354</t>
  </si>
  <si>
    <t>T100372</t>
  </si>
  <si>
    <t>C2859</t>
  </si>
  <si>
    <t>T100373</t>
  </si>
  <si>
    <t>C9730</t>
  </si>
  <si>
    <t>T100374</t>
  </si>
  <si>
    <t>2025-08-30</t>
  </si>
  <si>
    <t>C3823</t>
  </si>
  <si>
    <t>T100375</t>
  </si>
  <si>
    <t>C7442</t>
  </si>
  <si>
    <t>T100376</t>
  </si>
  <si>
    <t>C2287</t>
  </si>
  <si>
    <t>T100377</t>
  </si>
  <si>
    <t>2026-03-31</t>
  </si>
  <si>
    <t>C3612</t>
  </si>
  <si>
    <t>T100378</t>
  </si>
  <si>
    <t>07/05/2025</t>
  </si>
  <si>
    <t>C5393</t>
  </si>
  <si>
    <t>T100379</t>
  </si>
  <si>
    <t>2025-11-25</t>
  </si>
  <si>
    <t>C3260</t>
  </si>
  <si>
    <t>T100380</t>
  </si>
  <si>
    <t>2025-09-01</t>
  </si>
  <si>
    <t>C9287</t>
  </si>
  <si>
    <t>T100381</t>
  </si>
  <si>
    <t>2026-01-29</t>
  </si>
  <si>
    <t>C7455</t>
  </si>
  <si>
    <t>T100382</t>
  </si>
  <si>
    <t>2025-01-15</t>
  </si>
  <si>
    <t>C3679</t>
  </si>
  <si>
    <t>T100383</t>
  </si>
  <si>
    <t>2026-05-15</t>
  </si>
  <si>
    <t>C5521</t>
  </si>
  <si>
    <t>T100384</t>
  </si>
  <si>
    <t>C2346</t>
  </si>
  <si>
    <t>T100385</t>
  </si>
  <si>
    <t>11/01/2026</t>
  </si>
  <si>
    <t>C5579</t>
  </si>
  <si>
    <t>T100386</t>
  </si>
  <si>
    <t>C9551</t>
  </si>
  <si>
    <t>T100387</t>
  </si>
  <si>
    <t>C9414</t>
  </si>
  <si>
    <t>T100388</t>
  </si>
  <si>
    <t>C9456</t>
  </si>
  <si>
    <t>T100389</t>
  </si>
  <si>
    <t>C3681</t>
  </si>
  <si>
    <t>T100390</t>
  </si>
  <si>
    <t>2025-05-08</t>
  </si>
  <si>
    <t>C6492</t>
  </si>
  <si>
    <t>T100391</t>
  </si>
  <si>
    <t>2026-03-04</t>
  </si>
  <si>
    <t>C3776</t>
  </si>
  <si>
    <t>T100392</t>
  </si>
  <si>
    <t>30/03/2025</t>
  </si>
  <si>
    <t>C4600</t>
  </si>
  <si>
    <t>T100393</t>
  </si>
  <si>
    <t>C2608</t>
  </si>
  <si>
    <t>T100394</t>
  </si>
  <si>
    <t>C3015</t>
  </si>
  <si>
    <t>T100395</t>
  </si>
  <si>
    <t>2025-03-16</t>
  </si>
  <si>
    <t>C1278</t>
  </si>
  <si>
    <t>T100396</t>
  </si>
  <si>
    <t>2025-04-03</t>
  </si>
  <si>
    <t>C9795</t>
  </si>
  <si>
    <t>T100397</t>
  </si>
  <si>
    <t>C8207</t>
  </si>
  <si>
    <t>T100398</t>
  </si>
  <si>
    <t>2025-03-03</t>
  </si>
  <si>
    <t>T100399</t>
  </si>
  <si>
    <t>14/12/2025</t>
  </si>
  <si>
    <t>C3101</t>
  </si>
  <si>
    <t>T100400</t>
  </si>
  <si>
    <t>C3680</t>
  </si>
  <si>
    <t>T100401</t>
  </si>
  <si>
    <t>2025-04-26</t>
  </si>
  <si>
    <t>C3115</t>
  </si>
  <si>
    <t>T100402</t>
  </si>
  <si>
    <t>C3196</t>
  </si>
  <si>
    <t>T100403</t>
  </si>
  <si>
    <t>C2045</t>
  </si>
  <si>
    <t>T100404</t>
  </si>
  <si>
    <t>2025-05-17</t>
  </si>
  <si>
    <t>C6436</t>
  </si>
  <si>
    <t>T100405</t>
  </si>
  <si>
    <t>C4824</t>
  </si>
  <si>
    <t>T100406</t>
  </si>
  <si>
    <t>25/02/2025</t>
  </si>
  <si>
    <t>C4056</t>
  </si>
  <si>
    <t>T100407</t>
  </si>
  <si>
    <t>C8080</t>
  </si>
  <si>
    <t>T100408</t>
  </si>
  <si>
    <t>2025-11-07</t>
  </si>
  <si>
    <t>C9367</t>
  </si>
  <si>
    <t>T100409</t>
  </si>
  <si>
    <t>2025-01-14</t>
  </si>
  <si>
    <t>C4918</t>
  </si>
  <si>
    <t>T100410</t>
  </si>
  <si>
    <t>2025-07-29</t>
  </si>
  <si>
    <t>C8523</t>
  </si>
  <si>
    <t>T100411</t>
  </si>
  <si>
    <t>C9142</t>
  </si>
  <si>
    <t>T100412</t>
  </si>
  <si>
    <t>2025-10-18</t>
  </si>
  <si>
    <t>C1553</t>
  </si>
  <si>
    <t>T100413</t>
  </si>
  <si>
    <t>19/05/2025</t>
  </si>
  <si>
    <t>C1620</t>
  </si>
  <si>
    <t>T100414</t>
  </si>
  <si>
    <t>C3033</t>
  </si>
  <si>
    <t>T100415</t>
  </si>
  <si>
    <t>C9658</t>
  </si>
  <si>
    <t>T100416</t>
  </si>
  <si>
    <t>C4697</t>
  </si>
  <si>
    <t>T100417</t>
  </si>
  <si>
    <t>2025-05-22</t>
  </si>
  <si>
    <t>C4121</t>
  </si>
  <si>
    <t>T100418</t>
  </si>
  <si>
    <t>T100419</t>
  </si>
  <si>
    <t>2026-01-03</t>
  </si>
  <si>
    <t>T100420</t>
  </si>
  <si>
    <t>09/01/2025</t>
  </si>
  <si>
    <t>C3906</t>
  </si>
  <si>
    <t>T100421</t>
  </si>
  <si>
    <t>2025-10-17</t>
  </si>
  <si>
    <t>C1410</t>
  </si>
  <si>
    <t>T100422</t>
  </si>
  <si>
    <t>2025-05-09</t>
  </si>
  <si>
    <t>C2868</t>
  </si>
  <si>
    <t>T100423</t>
  </si>
  <si>
    <t>C9548</t>
  </si>
  <si>
    <t>T100424</t>
  </si>
  <si>
    <t>2026-02-14</t>
  </si>
  <si>
    <t>C7585</t>
  </si>
  <si>
    <t>T100425</t>
  </si>
  <si>
    <t>2026-04-24</t>
  </si>
  <si>
    <t>C2149</t>
  </si>
  <si>
    <t>T100426</t>
  </si>
  <si>
    <t>2026-04-19</t>
  </si>
  <si>
    <t>C9124</t>
  </si>
  <si>
    <t>T100427</t>
  </si>
  <si>
    <t>13/11/2025</t>
  </si>
  <si>
    <t>C2992</t>
  </si>
  <si>
    <t>T100428</t>
  </si>
  <si>
    <t>2025-03-14</t>
  </si>
  <si>
    <t>C5070</t>
  </si>
  <si>
    <t>T100429</t>
  </si>
  <si>
    <t>2025-12-24</t>
  </si>
  <si>
    <t>C8037</t>
  </si>
  <si>
    <t>T100430</t>
  </si>
  <si>
    <t>2025-07-05</t>
  </si>
  <si>
    <t>C2162</t>
  </si>
  <si>
    <t>T100431</t>
  </si>
  <si>
    <t>2026-01-20</t>
  </si>
  <si>
    <t>C3740</t>
  </si>
  <si>
    <t>T100432</t>
  </si>
  <si>
    <t>2025-07-18</t>
  </si>
  <si>
    <t>C4497</t>
  </si>
  <si>
    <t>T100433</t>
  </si>
  <si>
    <t>2026-02-07</t>
  </si>
  <si>
    <t>C9604</t>
  </si>
  <si>
    <t>T100434</t>
  </si>
  <si>
    <t>29/11/2025</t>
  </si>
  <si>
    <t>C4888</t>
  </si>
  <si>
    <t>T100435</t>
  </si>
  <si>
    <t>C8866</t>
  </si>
  <si>
    <t>T100436</t>
  </si>
  <si>
    <t>2026-01-04</t>
  </si>
  <si>
    <t>C1442</t>
  </si>
  <si>
    <t>T100437</t>
  </si>
  <si>
    <t>C3312</t>
  </si>
  <si>
    <t>T100438</t>
  </si>
  <si>
    <t>C3374</t>
  </si>
  <si>
    <t>T100439</t>
  </si>
  <si>
    <t>C2641</t>
  </si>
  <si>
    <t>T100440</t>
  </si>
  <si>
    <t>C5304</t>
  </si>
  <si>
    <t>T100441</t>
  </si>
  <si>
    <t>25/02/2026</t>
  </si>
  <si>
    <t>C2306</t>
  </si>
  <si>
    <t>T100442</t>
  </si>
  <si>
    <t>C5623</t>
  </si>
  <si>
    <t>T100443</t>
  </si>
  <si>
    <t>C9325</t>
  </si>
  <si>
    <t>T100444</t>
  </si>
  <si>
    <t>2025-10-28</t>
  </si>
  <si>
    <t>C8028</t>
  </si>
  <si>
    <t>T100445</t>
  </si>
  <si>
    <t>2026-06-16</t>
  </si>
  <si>
    <t>C8413</t>
  </si>
  <si>
    <t>T100446</t>
  </si>
  <si>
    <t>2026-04-15</t>
  </si>
  <si>
    <t>C7397</t>
  </si>
  <si>
    <t>T100447</t>
  </si>
  <si>
    <t>2026-03-06</t>
  </si>
  <si>
    <t>C5107</t>
  </si>
  <si>
    <t>T100448</t>
  </si>
  <si>
    <t>19/11/2025</t>
  </si>
  <si>
    <t>C8381</t>
  </si>
  <si>
    <t>T100449</t>
  </si>
  <si>
    <t>C8408</t>
  </si>
  <si>
    <t>T100450</t>
  </si>
  <si>
    <t>2025-12-13</t>
  </si>
  <si>
    <t>C9192</t>
  </si>
  <si>
    <t>T100451</t>
  </si>
  <si>
    <t>2026-02-09</t>
  </si>
  <si>
    <t>C4656</t>
  </si>
  <si>
    <t>T100452</t>
  </si>
  <si>
    <t>C2563</t>
  </si>
  <si>
    <t>T100453</t>
  </si>
  <si>
    <t>2025-12-26</t>
  </si>
  <si>
    <t>C2084</t>
  </si>
  <si>
    <t>T100454</t>
  </si>
  <si>
    <t>2025-05-31</t>
  </si>
  <si>
    <t>C7703</t>
  </si>
  <si>
    <t>T100455</t>
  </si>
  <si>
    <t>C4024</t>
  </si>
  <si>
    <t>T100456</t>
  </si>
  <si>
    <t>2025-12-27</t>
  </si>
  <si>
    <t>C9820</t>
  </si>
  <si>
    <t>T100457</t>
  </si>
  <si>
    <t>C8201</t>
  </si>
  <si>
    <t>T100458</t>
  </si>
  <si>
    <t>C6719</t>
  </si>
  <si>
    <t>T100459</t>
  </si>
  <si>
    <t>2025-08-13</t>
  </si>
  <si>
    <t>C2790</t>
  </si>
  <si>
    <t>T100460</t>
  </si>
  <si>
    <t>2025-07-27</t>
  </si>
  <si>
    <t>C7858</t>
  </si>
  <si>
    <t>T100461</t>
  </si>
  <si>
    <t>C5552</t>
  </si>
  <si>
    <t>T100462</t>
  </si>
  <si>
    <t>C7634</t>
  </si>
  <si>
    <t>T100463</t>
  </si>
  <si>
    <t>C4508</t>
  </si>
  <si>
    <t>T100464</t>
  </si>
  <si>
    <t>2026-01-24</t>
  </si>
  <si>
    <t>C5219</t>
  </si>
  <si>
    <t>T100465</t>
  </si>
  <si>
    <t>C2749</t>
  </si>
  <si>
    <t>T100466</t>
  </si>
  <si>
    <t>2026-02-13</t>
  </si>
  <si>
    <t>C7126</t>
  </si>
  <si>
    <t>T100467</t>
  </si>
  <si>
    <t>2026-05-04</t>
  </si>
  <si>
    <t>C2993</t>
  </si>
  <si>
    <t>T100468</t>
  </si>
  <si>
    <t>2025-09-06</t>
  </si>
  <si>
    <t>C5024</t>
  </si>
  <si>
    <t>T100469</t>
  </si>
  <si>
    <t>26/04/2026</t>
  </si>
  <si>
    <t>C3641</t>
  </si>
  <si>
    <t>T100470</t>
  </si>
  <si>
    <t>2026-05-07</t>
  </si>
  <si>
    <t>C3771</t>
  </si>
  <si>
    <t>T100471</t>
  </si>
  <si>
    <t>2025-04-11</t>
  </si>
  <si>
    <t>C3648</t>
  </si>
  <si>
    <t>T100472</t>
  </si>
  <si>
    <t>2026-03-05</t>
  </si>
  <si>
    <t>T100473</t>
  </si>
  <si>
    <t>C5197</t>
  </si>
  <si>
    <t>T100474</t>
  </si>
  <si>
    <t>C5619</t>
  </si>
  <si>
    <t>T100475</t>
  </si>
  <si>
    <t>2026-05-01</t>
  </si>
  <si>
    <t>C9739</t>
  </si>
  <si>
    <t>T100476</t>
  </si>
  <si>
    <t>22/03/2025</t>
  </si>
  <si>
    <t>C9977</t>
  </si>
  <si>
    <t>T100477</t>
  </si>
  <si>
    <t>2025-06-21</t>
  </si>
  <si>
    <t>C6887</t>
  </si>
  <si>
    <t>T100478</t>
  </si>
  <si>
    <t>2025-05-11</t>
  </si>
  <si>
    <t>T100479</t>
  </si>
  <si>
    <t>C2771</t>
  </si>
  <si>
    <t>T100480</t>
  </si>
  <si>
    <t>2025-11-05</t>
  </si>
  <si>
    <t>C9649</t>
  </si>
  <si>
    <t>T100481</t>
  </si>
  <si>
    <t>2026-06-18</t>
  </si>
  <si>
    <t>C9983</t>
  </si>
  <si>
    <t>T100482</t>
  </si>
  <si>
    <t>2025-12-01</t>
  </si>
  <si>
    <t>C3313</t>
  </si>
  <si>
    <t>T100483</t>
  </si>
  <si>
    <t>03/10/2025</t>
  </si>
  <si>
    <t>C9780</t>
  </si>
  <si>
    <t>T100484</t>
  </si>
  <si>
    <t>C5609</t>
  </si>
  <si>
    <t>T100485</t>
  </si>
  <si>
    <t>2026-02-05</t>
  </si>
  <si>
    <t>C5330</t>
  </si>
  <si>
    <t>T100486</t>
  </si>
  <si>
    <t>2025-02-11</t>
  </si>
  <si>
    <t>C8309</t>
  </si>
  <si>
    <t>T100487</t>
  </si>
  <si>
    <t>C7815</t>
  </si>
  <si>
    <t>T100488</t>
  </si>
  <si>
    <t>C7758</t>
  </si>
  <si>
    <t>T100489</t>
  </si>
  <si>
    <t>C1967</t>
  </si>
  <si>
    <t>T100490</t>
  </si>
  <si>
    <t>25/05/2026</t>
  </si>
  <si>
    <t>T100491</t>
  </si>
  <si>
    <t>2025-11-13</t>
  </si>
  <si>
    <t>C1706</t>
  </si>
  <si>
    <t>T100492</t>
  </si>
  <si>
    <t>2026-06-20</t>
  </si>
  <si>
    <t>C2803</t>
  </si>
  <si>
    <t>T100493</t>
  </si>
  <si>
    <t>2025-05-19</t>
  </si>
  <si>
    <t>C2395</t>
  </si>
  <si>
    <t>T100494</t>
  </si>
  <si>
    <t>C5852</t>
  </si>
  <si>
    <t>T100495</t>
  </si>
  <si>
    <t>C2165</t>
  </si>
  <si>
    <t>T100496</t>
  </si>
  <si>
    <t>C4059</t>
  </si>
  <si>
    <t>T100497</t>
  </si>
  <si>
    <t>21/03/2026</t>
  </si>
  <si>
    <t>C4015</t>
  </si>
  <si>
    <t>T100498</t>
  </si>
  <si>
    <t>C5319</t>
  </si>
  <si>
    <t>T100499</t>
  </si>
  <si>
    <t>C7447</t>
  </si>
  <si>
    <t>2025-04-20</t>
  </si>
  <si>
    <t>C3421</t>
  </si>
  <si>
    <t>T100501</t>
  </si>
  <si>
    <t>2026-06-06</t>
  </si>
  <si>
    <t>C4792</t>
  </si>
  <si>
    <t>T100502</t>
  </si>
  <si>
    <t>C1096</t>
  </si>
  <si>
    <t>T100503</t>
  </si>
  <si>
    <t>C4604</t>
  </si>
  <si>
    <t>T100504</t>
  </si>
  <si>
    <t>07/02/2026</t>
  </si>
  <si>
    <t>C7317</t>
  </si>
  <si>
    <t>T100505</t>
  </si>
  <si>
    <t>C8199</t>
  </si>
  <si>
    <t>T100506</t>
  </si>
  <si>
    <t>C3057</t>
  </si>
  <si>
    <t>T100507</t>
  </si>
  <si>
    <t>2026-04-18</t>
  </si>
  <si>
    <t>C8205</t>
  </si>
  <si>
    <t>T100508</t>
  </si>
  <si>
    <t>C2937</t>
  </si>
  <si>
    <t>T100509</t>
  </si>
  <si>
    <t>2026-04-11</t>
  </si>
  <si>
    <t>C7781</t>
  </si>
  <si>
    <t>T100510</t>
  </si>
  <si>
    <t>C5606</t>
  </si>
  <si>
    <t>T100511</t>
  </si>
  <si>
    <t>17/03/2026</t>
  </si>
  <si>
    <t>C1369</t>
  </si>
  <si>
    <t>T100512</t>
  </si>
  <si>
    <t>C6574</t>
  </si>
  <si>
    <t>T100513</t>
  </si>
  <si>
    <t>2026-05-09</t>
  </si>
  <si>
    <t>C9488</t>
  </si>
  <si>
    <t>T100514</t>
  </si>
  <si>
    <t>C3777</t>
  </si>
  <si>
    <t>T100515</t>
  </si>
  <si>
    <t>2025-11-01</t>
  </si>
  <si>
    <t>C2140</t>
  </si>
  <si>
    <t>T100516</t>
  </si>
  <si>
    <t>C2000</t>
  </si>
  <si>
    <t>T100517</t>
  </si>
  <si>
    <t>2025-11-04</t>
  </si>
  <si>
    <t>C7241</t>
  </si>
  <si>
    <t>T100518</t>
  </si>
  <si>
    <t>19/01/2026</t>
  </si>
  <si>
    <t>C9745</t>
  </si>
  <si>
    <t>T100519</t>
  </si>
  <si>
    <t>C8409</t>
  </si>
  <si>
    <t>T100520</t>
  </si>
  <si>
    <t>C3161</t>
  </si>
  <si>
    <t>T100521</t>
  </si>
  <si>
    <t>C3415</t>
  </si>
  <si>
    <t>T100522</t>
  </si>
  <si>
    <t>C9348</t>
  </si>
  <si>
    <t>T100523</t>
  </si>
  <si>
    <t>2025-11-30</t>
  </si>
  <si>
    <t>C5505</t>
  </si>
  <si>
    <t>T100524</t>
  </si>
  <si>
    <t>C5936</t>
  </si>
  <si>
    <t>T100525</t>
  </si>
  <si>
    <t>C5696</t>
  </si>
  <si>
    <t>T100526</t>
  </si>
  <si>
    <t>C2254</t>
  </si>
  <si>
    <t>T100527</t>
  </si>
  <si>
    <t>2026-01-27</t>
  </si>
  <si>
    <t>C6251</t>
  </si>
  <si>
    <t>T100528</t>
  </si>
  <si>
    <t>C5502</t>
  </si>
  <si>
    <t>T100529</t>
  </si>
  <si>
    <t>2025-07-25</t>
  </si>
  <si>
    <t>C8871</t>
  </si>
  <si>
    <t>T100530</t>
  </si>
  <si>
    <t>2025-10-04</t>
  </si>
  <si>
    <t>C6283</t>
  </si>
  <si>
    <t>T100531</t>
  </si>
  <si>
    <t>2026-01-15</t>
  </si>
  <si>
    <t>C5292</t>
  </si>
  <si>
    <t>T100532</t>
  </si>
  <si>
    <t>13/02/2025</t>
  </si>
  <si>
    <t>C3217</t>
  </si>
  <si>
    <t>T100533</t>
  </si>
  <si>
    <t>C8975</t>
  </si>
  <si>
    <t>T100534</t>
  </si>
  <si>
    <t>C4153</t>
  </si>
  <si>
    <t>T100535</t>
  </si>
  <si>
    <t>2026-06-19</t>
  </si>
  <si>
    <t>C8861</t>
  </si>
  <si>
    <t>T100536</t>
  </si>
  <si>
    <t>C9703</t>
  </si>
  <si>
    <t>T100537</t>
  </si>
  <si>
    <t>2025-04-18</t>
  </si>
  <si>
    <t>C5013</t>
  </si>
  <si>
    <t>T100538</t>
  </si>
  <si>
    <t>C8773</t>
  </si>
  <si>
    <t>T100539</t>
  </si>
  <si>
    <t>24/06/2025</t>
  </si>
  <si>
    <t>C5753</t>
  </si>
  <si>
    <t>T100540</t>
  </si>
  <si>
    <t>C8385</t>
  </si>
  <si>
    <t>T100541</t>
  </si>
  <si>
    <t>C1997</t>
  </si>
  <si>
    <t>T100542</t>
  </si>
  <si>
    <t>C4140</t>
  </si>
  <si>
    <t>T100543</t>
  </si>
  <si>
    <t>C2289</t>
  </si>
  <si>
    <t>T100544</t>
  </si>
  <si>
    <t>C6875</t>
  </si>
  <si>
    <t>T100545</t>
  </si>
  <si>
    <t>2025-12-08</t>
  </si>
  <si>
    <t>C5630</t>
  </si>
  <si>
    <t>T100546</t>
  </si>
  <si>
    <t>20/05/2025</t>
  </si>
  <si>
    <t>T100547</t>
  </si>
  <si>
    <t>2025-02-09</t>
  </si>
  <si>
    <t>C4057</t>
  </si>
  <si>
    <t>T100548</t>
  </si>
  <si>
    <t>2025-11-11</t>
  </si>
  <si>
    <t>C3071</t>
  </si>
  <si>
    <t>T100549</t>
  </si>
  <si>
    <t>C6737</t>
  </si>
  <si>
    <t>T100550</t>
  </si>
  <si>
    <t>2026-05-14</t>
  </si>
  <si>
    <t>C2183</t>
  </si>
  <si>
    <t>T100551</t>
  </si>
  <si>
    <t>C7138</t>
  </si>
  <si>
    <t>T100552</t>
  </si>
  <si>
    <t>C7384</t>
  </si>
  <si>
    <t>T100553</t>
  </si>
  <si>
    <t>20/03/2025</t>
  </si>
  <si>
    <t>C8373</t>
  </si>
  <si>
    <t>T100554</t>
  </si>
  <si>
    <t>C2570</t>
  </si>
  <si>
    <t>T100555</t>
  </si>
  <si>
    <t>2025-09-02</t>
  </si>
  <si>
    <t>C9728</t>
  </si>
  <si>
    <t>T100556</t>
  </si>
  <si>
    <t>C8261</t>
  </si>
  <si>
    <t>T100557</t>
  </si>
  <si>
    <t>C7188</t>
  </si>
  <si>
    <t>T100558</t>
  </si>
  <si>
    <t>C1808</t>
  </si>
  <si>
    <t>T100559</t>
  </si>
  <si>
    <t>C8157</t>
  </si>
  <si>
    <t>T100560</t>
  </si>
  <si>
    <t>14/09/2025</t>
  </si>
  <si>
    <t>C5915</t>
  </si>
  <si>
    <t>T100561</t>
  </si>
  <si>
    <t>C4048</t>
  </si>
  <si>
    <t>T100562</t>
  </si>
  <si>
    <t>C6044</t>
  </si>
  <si>
    <t>T100563</t>
  </si>
  <si>
    <t>2025-07-14</t>
  </si>
  <si>
    <t>C2922</t>
  </si>
  <si>
    <t>T100564</t>
  </si>
  <si>
    <t>T100565</t>
  </si>
  <si>
    <t>2026-04-09</t>
  </si>
  <si>
    <t>C8930</t>
  </si>
  <si>
    <t>T100566</t>
  </si>
  <si>
    <t>C8807</t>
  </si>
  <si>
    <t>T100567</t>
  </si>
  <si>
    <t>04/08/2025</t>
  </si>
  <si>
    <t>C1242</t>
  </si>
  <si>
    <t>T100568</t>
  </si>
  <si>
    <t>C4703</t>
  </si>
  <si>
    <t>T100569</t>
  </si>
  <si>
    <t>C6106</t>
  </si>
  <si>
    <t>T100570</t>
  </si>
  <si>
    <t>C1476</t>
  </si>
  <si>
    <t>T100571</t>
  </si>
  <si>
    <t>C4663</t>
  </si>
  <si>
    <t>T100572</t>
  </si>
  <si>
    <t>C7796</t>
  </si>
  <si>
    <t>T100573</t>
  </si>
  <si>
    <t>C8077</t>
  </si>
  <si>
    <t>T100574</t>
  </si>
  <si>
    <t>C7899</t>
  </si>
  <si>
    <t>T100575</t>
  </si>
  <si>
    <t>C3341</t>
  </si>
  <si>
    <t>T100576</t>
  </si>
  <si>
    <t>C7883</t>
  </si>
  <si>
    <t>T100577</t>
  </si>
  <si>
    <t>C3766</t>
  </si>
  <si>
    <t>T100578</t>
  </si>
  <si>
    <t>2025-03-06</t>
  </si>
  <si>
    <t>C5378</t>
  </si>
  <si>
    <t>T100579</t>
  </si>
  <si>
    <t>C6939</t>
  </si>
  <si>
    <t>T100580</t>
  </si>
  <si>
    <t>C1896</t>
  </si>
  <si>
    <t>T100581</t>
  </si>
  <si>
    <t>27/06/2025</t>
  </si>
  <si>
    <t>C9842</t>
  </si>
  <si>
    <t>T100582</t>
  </si>
  <si>
    <t>2025-07-04</t>
  </si>
  <si>
    <t>C7537</t>
  </si>
  <si>
    <t>T100583</t>
  </si>
  <si>
    <t>2025-10-14</t>
  </si>
  <si>
    <t>C9035</t>
  </si>
  <si>
    <t>T100584</t>
  </si>
  <si>
    <t>C4678</t>
  </si>
  <si>
    <t>T100585</t>
  </si>
  <si>
    <t>C9279</t>
  </si>
  <si>
    <t>T100586</t>
  </si>
  <si>
    <t>T100587</t>
  </si>
  <si>
    <t>2025-01-31</t>
  </si>
  <si>
    <t>C4273</t>
  </si>
  <si>
    <t>T100588</t>
  </si>
  <si>
    <t>16/07/2025</t>
  </si>
  <si>
    <t>T100589</t>
  </si>
  <si>
    <t>C3708</t>
  </si>
  <si>
    <t>T100590</t>
  </si>
  <si>
    <t>2025-07-23</t>
  </si>
  <si>
    <t>C7740</t>
  </si>
  <si>
    <t>T100591</t>
  </si>
  <si>
    <t>C4114</t>
  </si>
  <si>
    <t>T100592</t>
  </si>
  <si>
    <t>2025-10-29</t>
  </si>
  <si>
    <t>C9661</t>
  </si>
  <si>
    <t>T100593</t>
  </si>
  <si>
    <t>2025-11-27</t>
  </si>
  <si>
    <t>C6825</t>
  </si>
  <si>
    <t>T100594</t>
  </si>
  <si>
    <t>2025-08-06</t>
  </si>
  <si>
    <t>C4955</t>
  </si>
  <si>
    <t>T100595</t>
  </si>
  <si>
    <t>C7232</t>
  </si>
  <si>
    <t>T100596</t>
  </si>
  <si>
    <t>C9263</t>
  </si>
  <si>
    <t>T100597</t>
  </si>
  <si>
    <t>2025-02-10</t>
  </si>
  <si>
    <t>C4259</t>
  </si>
  <si>
    <t>T100598</t>
  </si>
  <si>
    <t>2025-10-30</t>
  </si>
  <si>
    <t>C2975</t>
  </si>
  <si>
    <t>T100599</t>
  </si>
  <si>
    <t>C2223</t>
  </si>
  <si>
    <t>T100600</t>
  </si>
  <si>
    <t>2025-03-02</t>
  </si>
  <si>
    <t>T100601</t>
  </si>
  <si>
    <t>2026-03-11</t>
  </si>
  <si>
    <t>C5176</t>
  </si>
  <si>
    <t>T100602</t>
  </si>
  <si>
    <t>03/06/2025</t>
  </si>
  <si>
    <t>C4826</t>
  </si>
  <si>
    <t>T100603</t>
  </si>
  <si>
    <t>2025-03-30</t>
  </si>
  <si>
    <t>C5517</t>
  </si>
  <si>
    <t>T100604</t>
  </si>
  <si>
    <t>C5266</t>
  </si>
  <si>
    <t>T100605</t>
  </si>
  <si>
    <t>C1401</t>
  </si>
  <si>
    <t>T100606</t>
  </si>
  <si>
    <t>2026-02-01</t>
  </si>
  <si>
    <t>T100607</t>
  </si>
  <si>
    <t>C8978</t>
  </si>
  <si>
    <t>T100608</t>
  </si>
  <si>
    <t>2026-06-12</t>
  </si>
  <si>
    <t>C8709</t>
  </si>
  <si>
    <t>T100609</t>
  </si>
  <si>
    <t>19/08/2025</t>
  </si>
  <si>
    <t>C8575</t>
  </si>
  <si>
    <t>T100610</t>
  </si>
  <si>
    <t>2025-10-20</t>
  </si>
  <si>
    <t>C9474</t>
  </si>
  <si>
    <t>T100611</t>
  </si>
  <si>
    <t>C7836</t>
  </si>
  <si>
    <t>T100612</t>
  </si>
  <si>
    <t>C1360</t>
  </si>
  <si>
    <t>T100613</t>
  </si>
  <si>
    <t>2025-06-28</t>
  </si>
  <si>
    <t>C7979</t>
  </si>
  <si>
    <t>T100614</t>
  </si>
  <si>
    <t>C3512</t>
  </si>
  <si>
    <t>T100615</t>
  </si>
  <si>
    <t>C4805</t>
  </si>
  <si>
    <t>T100616</t>
  </si>
  <si>
    <t>29/08/2025</t>
  </si>
  <si>
    <t>C4529</t>
  </si>
  <si>
    <t>T100617</t>
  </si>
  <si>
    <t>C6910</t>
  </si>
  <si>
    <t>T100618</t>
  </si>
  <si>
    <t>C2436</t>
  </si>
  <si>
    <t>T100619</t>
  </si>
  <si>
    <t>2026-04-22</t>
  </si>
  <si>
    <t>C9971</t>
  </si>
  <si>
    <t>T100620</t>
  </si>
  <si>
    <t>2026-03-15</t>
  </si>
  <si>
    <t>C1892</t>
  </si>
  <si>
    <t>T100621</t>
  </si>
  <si>
    <t>C2753</t>
  </si>
  <si>
    <t>T100622</t>
  </si>
  <si>
    <t>C7704</t>
  </si>
  <si>
    <t>T100623</t>
  </si>
  <si>
    <t>03/08/2025</t>
  </si>
  <si>
    <t>C5485</t>
  </si>
  <si>
    <t>T100624</t>
  </si>
  <si>
    <t>C2509</t>
  </si>
  <si>
    <t>T100625</t>
  </si>
  <si>
    <t>C2858</t>
  </si>
  <si>
    <t>T100626</t>
  </si>
  <si>
    <t>2025-05-02</t>
  </si>
  <si>
    <t>C4528</t>
  </si>
  <si>
    <t>T100627</t>
  </si>
  <si>
    <t>2026-01-02</t>
  </si>
  <si>
    <t>C1803</t>
  </si>
  <si>
    <t>T100628</t>
  </si>
  <si>
    <t>2025-01-05</t>
  </si>
  <si>
    <t>C5982</t>
  </si>
  <si>
    <t>T100629</t>
  </si>
  <si>
    <t>2025-01-07</t>
  </si>
  <si>
    <t>C2453</t>
  </si>
  <si>
    <t>T100630</t>
  </si>
  <si>
    <t>12/05/2026</t>
  </si>
  <si>
    <t>C4449</t>
  </si>
  <si>
    <t>T100631</t>
  </si>
  <si>
    <t>T100632</t>
  </si>
  <si>
    <t>C6839</t>
  </si>
  <si>
    <t>T100633</t>
  </si>
  <si>
    <t>2026-01-28</t>
  </si>
  <si>
    <t>C3900</t>
  </si>
  <si>
    <t>T100634</t>
  </si>
  <si>
    <t>2025-03-12</t>
  </si>
  <si>
    <t>C5263</t>
  </si>
  <si>
    <t>T100635</t>
  </si>
  <si>
    <t>C7989</t>
  </si>
  <si>
    <t>T100636</t>
  </si>
  <si>
    <t>2025-07-24</t>
  </si>
  <si>
    <t>C6707</t>
  </si>
  <si>
    <t>T100637</t>
  </si>
  <si>
    <t>07/06/2026</t>
  </si>
  <si>
    <t>C2331</t>
  </si>
  <si>
    <t>T100638</t>
  </si>
  <si>
    <t>T100639</t>
  </si>
  <si>
    <t>2025-10-24</t>
  </si>
  <si>
    <t>C7132</t>
  </si>
  <si>
    <t>T100640</t>
  </si>
  <si>
    <t>C8466</t>
  </si>
  <si>
    <t>T100641</t>
  </si>
  <si>
    <t>C4895</t>
  </si>
  <si>
    <t>T100642</t>
  </si>
  <si>
    <t>C4686</t>
  </si>
  <si>
    <t>T100643</t>
  </si>
  <si>
    <t>C4284</t>
  </si>
  <si>
    <t>T100644</t>
  </si>
  <si>
    <t>02/11/2025</t>
  </si>
  <si>
    <t>C6348</t>
  </si>
  <si>
    <t>T100645</t>
  </si>
  <si>
    <t>2025-04-12</t>
  </si>
  <si>
    <t>C6597</t>
  </si>
  <si>
    <t>T100646</t>
  </si>
  <si>
    <t>2025-10-01</t>
  </si>
  <si>
    <t>C8608</t>
  </si>
  <si>
    <t>T100647</t>
  </si>
  <si>
    <t>C4044</t>
  </si>
  <si>
    <t>T100648</t>
  </si>
  <si>
    <t>C7869</t>
  </si>
  <si>
    <t>T100649</t>
  </si>
  <si>
    <t>C7886</t>
  </si>
  <si>
    <t>T100650</t>
  </si>
  <si>
    <t>T100651</t>
  </si>
  <si>
    <t>26/12/2025</t>
  </si>
  <si>
    <t>C6792</t>
  </si>
  <si>
    <t>T100652</t>
  </si>
  <si>
    <t>2026-02-06</t>
  </si>
  <si>
    <t>C4739</t>
  </si>
  <si>
    <t>T100653</t>
  </si>
  <si>
    <t>2025-05-07</t>
  </si>
  <si>
    <t>C4636</t>
  </si>
  <si>
    <t>T100654</t>
  </si>
  <si>
    <t>2025-09-22</t>
  </si>
  <si>
    <t>C1908</t>
  </si>
  <si>
    <t>T100655</t>
  </si>
  <si>
    <t>2025-01-09</t>
  </si>
  <si>
    <t>C5938</t>
  </si>
  <si>
    <t>T100656</t>
  </si>
  <si>
    <t>C7949</t>
  </si>
  <si>
    <t>T100657</t>
  </si>
  <si>
    <t>2025-05-23</t>
  </si>
  <si>
    <t>C1598</t>
  </si>
  <si>
    <t>T100658</t>
  </si>
  <si>
    <t>01/09/2025</t>
  </si>
  <si>
    <t>C7185</t>
  </si>
  <si>
    <t>T100659</t>
  </si>
  <si>
    <t>2026-02-15</t>
  </si>
  <si>
    <t>T100660</t>
  </si>
  <si>
    <t>C7269</t>
  </si>
  <si>
    <t>T100661</t>
  </si>
  <si>
    <t>2025-02-03</t>
  </si>
  <si>
    <t>C7284</t>
  </si>
  <si>
    <t>T100662</t>
  </si>
  <si>
    <t>2026-03-12</t>
  </si>
  <si>
    <t>C6995</t>
  </si>
  <si>
    <t>T100663</t>
  </si>
  <si>
    <t>2025-09-11</t>
  </si>
  <si>
    <t>C4750</t>
  </si>
  <si>
    <t>T100664</t>
  </si>
  <si>
    <t>C1312</t>
  </si>
  <si>
    <t>T100665</t>
  </si>
  <si>
    <t>09/10/2025</t>
  </si>
  <si>
    <t>C5599</t>
  </si>
  <si>
    <t>T100666</t>
  </si>
  <si>
    <t>C8314</t>
  </si>
  <si>
    <t>T100667</t>
  </si>
  <si>
    <t>C5838</t>
  </si>
  <si>
    <t>T100668</t>
  </si>
  <si>
    <t>2026-02-03</t>
  </si>
  <si>
    <t>C2073</t>
  </si>
  <si>
    <t>T100669</t>
  </si>
  <si>
    <t>C7604</t>
  </si>
  <si>
    <t>T100670</t>
  </si>
  <si>
    <t>2026-04-12</t>
  </si>
  <si>
    <t>C3510</t>
  </si>
  <si>
    <t>T100671</t>
  </si>
  <si>
    <t>C6267</t>
  </si>
  <si>
    <t>T100672</t>
  </si>
  <si>
    <t>C9001</t>
  </si>
  <si>
    <t>T100673</t>
  </si>
  <si>
    <t>2026-05-25</t>
  </si>
  <si>
    <t>C1279</t>
  </si>
  <si>
    <t>T100674</t>
  </si>
  <si>
    <t>C2697</t>
  </si>
  <si>
    <t>T100675</t>
  </si>
  <si>
    <t>C2531</t>
  </si>
  <si>
    <t>T100676</t>
  </si>
  <si>
    <t>2025-08-01</t>
  </si>
  <si>
    <t>C6282</t>
  </si>
  <si>
    <t>T100677</t>
  </si>
  <si>
    <t>C3005</t>
  </si>
  <si>
    <t>T100678</t>
  </si>
  <si>
    <t>2026-02-17</t>
  </si>
  <si>
    <t>C9292</t>
  </si>
  <si>
    <t>T100679</t>
  </si>
  <si>
    <t>C1385</t>
  </si>
  <si>
    <t>T100680</t>
  </si>
  <si>
    <t>C7445</t>
  </si>
  <si>
    <t>T100681</t>
  </si>
  <si>
    <t>2026-05-20</t>
  </si>
  <si>
    <t>C9195</t>
  </si>
  <si>
    <t>T100682</t>
  </si>
  <si>
    <t>C4184</t>
  </si>
  <si>
    <t>T100683</t>
  </si>
  <si>
    <t>C5385</t>
  </si>
  <si>
    <t>T100684</t>
  </si>
  <si>
    <t>C7849</t>
  </si>
  <si>
    <t>T100685</t>
  </si>
  <si>
    <t>C8753</t>
  </si>
  <si>
    <t>T100686</t>
  </si>
  <si>
    <t>30/07/2025</t>
  </si>
  <si>
    <t>C2503</t>
  </si>
  <si>
    <t>T100687</t>
  </si>
  <si>
    <t>2026-04-03</t>
  </si>
  <si>
    <t>C4298</t>
  </si>
  <si>
    <t>T100688</t>
  </si>
  <si>
    <t>C1273</t>
  </si>
  <si>
    <t>T100689</t>
  </si>
  <si>
    <t>2026-01-07</t>
  </si>
  <si>
    <t>C2905</t>
  </si>
  <si>
    <t>T100690</t>
  </si>
  <si>
    <t>C1154</t>
  </si>
  <si>
    <t>T100691</t>
  </si>
  <si>
    <t>C9598</t>
  </si>
  <si>
    <t>T100692</t>
  </si>
  <si>
    <t>C8233</t>
  </si>
  <si>
    <t>T100693</t>
  </si>
  <si>
    <t>24/05/2026</t>
  </si>
  <si>
    <t>C2795</t>
  </si>
  <si>
    <t>T100694</t>
  </si>
  <si>
    <t>C8677</t>
  </si>
  <si>
    <t>T100695</t>
  </si>
  <si>
    <t>2025-08-15</t>
  </si>
  <si>
    <t>C7752</t>
  </si>
  <si>
    <t>T100696</t>
  </si>
  <si>
    <t>C3088</t>
  </si>
  <si>
    <t>T100697</t>
  </si>
  <si>
    <t>C1527</t>
  </si>
  <si>
    <t>T100698</t>
  </si>
  <si>
    <t>C1514</t>
  </si>
  <si>
    <t>T100699</t>
  </si>
  <si>
    <t>C3981</t>
  </si>
  <si>
    <t>T100700</t>
  </si>
  <si>
    <t>07/09/2025</t>
  </si>
  <si>
    <t>C4516</t>
  </si>
  <si>
    <t>T100701</t>
  </si>
  <si>
    <t>C3375</t>
  </si>
  <si>
    <t>T100702</t>
  </si>
  <si>
    <t>C5600</t>
  </si>
  <si>
    <t>T100703</t>
  </si>
  <si>
    <t>2025-12-04</t>
  </si>
  <si>
    <t>C8961</t>
  </si>
  <si>
    <t>T100704</t>
  </si>
  <si>
    <t>C1958</t>
  </si>
  <si>
    <t>T100705</t>
  </si>
  <si>
    <t>C1402</t>
  </si>
  <si>
    <t>T100706</t>
  </si>
  <si>
    <t>C8401</t>
  </si>
  <si>
    <t>T100707</t>
  </si>
  <si>
    <t>26/02/2026</t>
  </si>
  <si>
    <t>C1917</t>
  </si>
  <si>
    <t>T100708</t>
  </si>
  <si>
    <t>2025-11-26</t>
  </si>
  <si>
    <t>C6972</t>
  </si>
  <si>
    <t>T100709</t>
  </si>
  <si>
    <t>C6714</t>
  </si>
  <si>
    <t>T100710</t>
  </si>
  <si>
    <t>2025-04-25</t>
  </si>
  <si>
    <t>C3318</t>
  </si>
  <si>
    <t>T100711</t>
  </si>
  <si>
    <t>C1275</t>
  </si>
  <si>
    <t>T100712</t>
  </si>
  <si>
    <t>C8631</t>
  </si>
  <si>
    <t>T100713</t>
  </si>
  <si>
    <t>C5044</t>
  </si>
  <si>
    <t>T100714</t>
  </si>
  <si>
    <t>11/03/2025</t>
  </si>
  <si>
    <t>C9789</t>
  </si>
  <si>
    <t>T100715</t>
  </si>
  <si>
    <t>C9518</t>
  </si>
  <si>
    <t>T100716</t>
  </si>
  <si>
    <t>C8092</t>
  </si>
  <si>
    <t>T100717</t>
  </si>
  <si>
    <t>C8451</t>
  </si>
  <si>
    <t>T100718</t>
  </si>
  <si>
    <t>C8305</t>
  </si>
  <si>
    <t>T100719</t>
  </si>
  <si>
    <t>C7117</t>
  </si>
  <si>
    <t>T100720</t>
  </si>
  <si>
    <t>T100721</t>
  </si>
  <si>
    <t>18/03/2026</t>
  </si>
  <si>
    <t>C2323</t>
  </si>
  <si>
    <t>T100722</t>
  </si>
  <si>
    <t>C8321</t>
  </si>
  <si>
    <t>T100723</t>
  </si>
  <si>
    <t>C2888</t>
  </si>
  <si>
    <t>T100724</t>
  </si>
  <si>
    <t>C2260</t>
  </si>
  <si>
    <t>T100725</t>
  </si>
  <si>
    <t>2025-07-28</t>
  </si>
  <si>
    <t>C6563</t>
  </si>
  <si>
    <t>T100726</t>
  </si>
  <si>
    <t>2025-05-21</t>
  </si>
  <si>
    <t>C7392</t>
  </si>
  <si>
    <t>T100727</t>
  </si>
  <si>
    <t>2025-03-07</t>
  </si>
  <si>
    <t>T100728</t>
  </si>
  <si>
    <t>10/02/2025</t>
  </si>
  <si>
    <t>C7491</t>
  </si>
  <si>
    <t>T100729</t>
  </si>
  <si>
    <t>C6956</t>
  </si>
  <si>
    <t>T100730</t>
  </si>
  <si>
    <t>C4627</t>
  </si>
  <si>
    <t>T100731</t>
  </si>
  <si>
    <t>C1497</t>
  </si>
  <si>
    <t>T100732</t>
  </si>
  <si>
    <t>2026-01-31</t>
  </si>
  <si>
    <t>C6411</t>
  </si>
  <si>
    <t>T100733</t>
  </si>
  <si>
    <t>C6829</t>
  </si>
  <si>
    <t>T100734</t>
  </si>
  <si>
    <t>2026-04-07</t>
  </si>
  <si>
    <t>C4249</t>
  </si>
  <si>
    <t>T100735</t>
  </si>
  <si>
    <t>C3506</t>
  </si>
  <si>
    <t>T100736</t>
  </si>
  <si>
    <t>C4060</t>
  </si>
  <si>
    <t>T100737</t>
  </si>
  <si>
    <t>C2752</t>
  </si>
  <si>
    <t>T100738</t>
  </si>
  <si>
    <t>C5657</t>
  </si>
  <si>
    <t>T100739</t>
  </si>
  <si>
    <t>C7767</t>
  </si>
  <si>
    <t>T100740</t>
  </si>
  <si>
    <t>2025-03-28</t>
  </si>
  <si>
    <t>C3549</t>
  </si>
  <si>
    <t>T100741</t>
  </si>
  <si>
    <t>C9949</t>
  </si>
  <si>
    <t>T100742</t>
  </si>
  <si>
    <t>14/02/2026</t>
  </si>
  <si>
    <t>C1730</t>
  </si>
  <si>
    <t>T100743</t>
  </si>
  <si>
    <t>C5512</t>
  </si>
  <si>
    <t>T100744</t>
  </si>
  <si>
    <t>C5438</t>
  </si>
  <si>
    <t>T100745</t>
  </si>
  <si>
    <t>2026-03-13</t>
  </si>
  <si>
    <t>C8093</t>
  </si>
  <si>
    <t>T100746</t>
  </si>
  <si>
    <t>2026-06-24</t>
  </si>
  <si>
    <t>C8002</t>
  </si>
  <si>
    <t>T100747</t>
  </si>
  <si>
    <t>T100748</t>
  </si>
  <si>
    <t>C2111</t>
  </si>
  <si>
    <t>T100749</t>
  </si>
  <si>
    <t>C1183</t>
  </si>
  <si>
    <t>T100751</t>
  </si>
  <si>
    <t>C6738</t>
  </si>
  <si>
    <t>T100752</t>
  </si>
  <si>
    <t>C5680</t>
  </si>
  <si>
    <t>T100753</t>
  </si>
  <si>
    <t>C2049</t>
  </si>
  <si>
    <t>T100754</t>
  </si>
  <si>
    <t>2025-06-07</t>
  </si>
  <si>
    <t>C4144</t>
  </si>
  <si>
    <t>T100755</t>
  </si>
  <si>
    <t>T100756</t>
  </si>
  <si>
    <t>28/10/2025</t>
  </si>
  <si>
    <t>C9960</t>
  </si>
  <si>
    <t>T100757</t>
  </si>
  <si>
    <t>C4285</t>
  </si>
  <si>
    <t>T100758</t>
  </si>
  <si>
    <t>2025-09-26</t>
  </si>
  <si>
    <t>C3496</t>
  </si>
  <si>
    <t>T100759</t>
  </si>
  <si>
    <t>C4691</t>
  </si>
  <si>
    <t>T100760</t>
  </si>
  <si>
    <t>C8756</t>
  </si>
  <si>
    <t>T100761</t>
  </si>
  <si>
    <t>2025-03-13</t>
  </si>
  <si>
    <t>C7256</t>
  </si>
  <si>
    <t>T100762</t>
  </si>
  <si>
    <t>C1162</t>
  </si>
  <si>
    <t>T100763</t>
  </si>
  <si>
    <t>C8018</t>
  </si>
  <si>
    <t>T100764</t>
  </si>
  <si>
    <t>C5207</t>
  </si>
  <si>
    <t>T100765</t>
  </si>
  <si>
    <t>2025-12-23</t>
  </si>
  <si>
    <t>C1122</t>
  </si>
  <si>
    <t>T100766</t>
  </si>
  <si>
    <t>C7150</t>
  </si>
  <si>
    <t>T100767</t>
  </si>
  <si>
    <t>C7688</t>
  </si>
  <si>
    <t>T100768</t>
  </si>
  <si>
    <t>2025-11-23</t>
  </si>
  <si>
    <t>C5662</t>
  </si>
  <si>
    <t>T100769</t>
  </si>
  <si>
    <t>C5627</t>
  </si>
  <si>
    <t>T100770</t>
  </si>
  <si>
    <t>27/12/2025</t>
  </si>
  <si>
    <t>C7756</t>
  </si>
  <si>
    <t>T100771</t>
  </si>
  <si>
    <t>C5408</t>
  </si>
  <si>
    <t>T100772</t>
  </si>
  <si>
    <t>C7325</t>
  </si>
  <si>
    <t>T100773</t>
  </si>
  <si>
    <t>2025-03-08</t>
  </si>
  <si>
    <t>C7252</t>
  </si>
  <si>
    <t>T100774</t>
  </si>
  <si>
    <t>C2846</t>
  </si>
  <si>
    <t>T100775</t>
  </si>
  <si>
    <t>C3779</t>
  </si>
  <si>
    <t>T100776</t>
  </si>
  <si>
    <t>2025-09-14</t>
  </si>
  <si>
    <t>C8139</t>
  </si>
  <si>
    <t>T100777</t>
  </si>
  <si>
    <t>24/04/2026</t>
  </si>
  <si>
    <t>C5749</t>
  </si>
  <si>
    <t>T100778</t>
  </si>
  <si>
    <t>2025-01-02</t>
  </si>
  <si>
    <t>C9770</t>
  </si>
  <si>
    <t>T100779</t>
  </si>
  <si>
    <t>2026-04-10</t>
  </si>
  <si>
    <t>T100780</t>
  </si>
  <si>
    <t>2026-02-23</t>
  </si>
  <si>
    <t>C8396</t>
  </si>
  <si>
    <t>T100781</t>
  </si>
  <si>
    <t>C1081</t>
  </si>
  <si>
    <t>T100782</t>
  </si>
  <si>
    <t>C1465</t>
  </si>
  <si>
    <t>T100783</t>
  </si>
  <si>
    <t>C1961</t>
  </si>
  <si>
    <t>T100784</t>
  </si>
  <si>
    <t>12/06/2025</t>
  </si>
  <si>
    <t>C7819</t>
  </si>
  <si>
    <t>T100785</t>
  </si>
  <si>
    <t>2025-10-15</t>
  </si>
  <si>
    <t>C6462</t>
  </si>
  <si>
    <t>T100786</t>
  </si>
  <si>
    <t>2026-06-04</t>
  </si>
  <si>
    <t>C1492</t>
  </si>
  <si>
    <t>T100787</t>
  </si>
  <si>
    <t>C6609</t>
  </si>
  <si>
    <t>T100788</t>
  </si>
  <si>
    <t>C8452</t>
  </si>
  <si>
    <t>T100789</t>
  </si>
  <si>
    <t>2025-12-05</t>
  </si>
  <si>
    <t>C2025</t>
  </si>
  <si>
    <t>T100790</t>
  </si>
  <si>
    <t>C7573</t>
  </si>
  <si>
    <t>T100791</t>
  </si>
  <si>
    <t>27/01/2025</t>
  </si>
  <si>
    <t>C6429</t>
  </si>
  <si>
    <t>T100792</t>
  </si>
  <si>
    <t>2025-12-19</t>
  </si>
  <si>
    <t>C1309</t>
  </si>
  <si>
    <t>T100793</t>
  </si>
  <si>
    <t>C9238</t>
  </si>
  <si>
    <t>T100794</t>
  </si>
  <si>
    <t>C1786</t>
  </si>
  <si>
    <t>T100795</t>
  </si>
  <si>
    <t>C4187</t>
  </si>
  <si>
    <t>T100796</t>
  </si>
  <si>
    <t>C1543</t>
  </si>
  <si>
    <t>T100797</t>
  </si>
  <si>
    <t>2025-01-23</t>
  </si>
  <si>
    <t>C2467</t>
  </si>
  <si>
    <t>T100798</t>
  </si>
  <si>
    <t>29/04/2025</t>
  </si>
  <si>
    <t>T100799</t>
  </si>
  <si>
    <t>2025-02-26</t>
  </si>
  <si>
    <t>T100800</t>
  </si>
  <si>
    <t>C9307</t>
  </si>
  <si>
    <t>T100801</t>
  </si>
  <si>
    <t>C2950</t>
  </si>
  <si>
    <t>T100802</t>
  </si>
  <si>
    <t>C5034</t>
  </si>
  <si>
    <t>T100803</t>
  </si>
  <si>
    <t>C9715</t>
  </si>
  <si>
    <t>T100804</t>
  </si>
  <si>
    <t>C8854</t>
  </si>
  <si>
    <t>T100805</t>
  </si>
  <si>
    <t>15/05/2025</t>
  </si>
  <si>
    <t>C8149</t>
  </si>
  <si>
    <t>T100806</t>
  </si>
  <si>
    <t>2025-10-03</t>
  </si>
  <si>
    <t>C5782</t>
  </si>
  <si>
    <t>T100807</t>
  </si>
  <si>
    <t>C1302</t>
  </si>
  <si>
    <t>T100808</t>
  </si>
  <si>
    <t>C4922</t>
  </si>
  <si>
    <t>T100809</t>
  </si>
  <si>
    <t>C8883</t>
  </si>
  <si>
    <t>T100810</t>
  </si>
  <si>
    <t>C2315</t>
  </si>
  <si>
    <t>T100811</t>
  </si>
  <si>
    <t>T100812</t>
  </si>
  <si>
    <t>C6110</t>
  </si>
  <si>
    <t>T100813</t>
  </si>
  <si>
    <t>2025-01-26</t>
  </si>
  <si>
    <t>C4963</t>
  </si>
  <si>
    <t>T100814</t>
  </si>
  <si>
    <t>2025-01-30</t>
  </si>
  <si>
    <t>C1573</t>
  </si>
  <si>
    <t>T100815</t>
  </si>
  <si>
    <t>C5695</t>
  </si>
  <si>
    <t>T100816</t>
  </si>
  <si>
    <t>C1016</t>
  </si>
  <si>
    <t>T100817</t>
  </si>
  <si>
    <t>C2501</t>
  </si>
  <si>
    <t>T100818</t>
  </si>
  <si>
    <t>2025-12-12</t>
  </si>
  <si>
    <t>C3357</t>
  </si>
  <si>
    <t>T100819</t>
  </si>
  <si>
    <t>17/09/2025</t>
  </si>
  <si>
    <t>C4355</t>
  </si>
  <si>
    <t>T100820</t>
  </si>
  <si>
    <t>C7474</t>
  </si>
  <si>
    <t>T100821</t>
  </si>
  <si>
    <t>C3592</t>
  </si>
  <si>
    <t>T100822</t>
  </si>
  <si>
    <t>C3674</t>
  </si>
  <si>
    <t>T100823</t>
  </si>
  <si>
    <t>C2931</t>
  </si>
  <si>
    <t>T100824</t>
  </si>
  <si>
    <t>C3152</t>
  </si>
  <si>
    <t>T100825</t>
  </si>
  <si>
    <t>2026-05-16</t>
  </si>
  <si>
    <t>C8172</t>
  </si>
  <si>
    <t>T100826</t>
  </si>
  <si>
    <t>11/01/2025</t>
  </si>
  <si>
    <t>C8100</t>
  </si>
  <si>
    <t>T100827</t>
  </si>
  <si>
    <t>T100828</t>
  </si>
  <si>
    <t>C9572</t>
  </si>
  <si>
    <t>T100829</t>
  </si>
  <si>
    <t>C8446</t>
  </si>
  <si>
    <t>T100830</t>
  </si>
  <si>
    <t>2025-11-14</t>
  </si>
  <si>
    <t>C2645</t>
  </si>
  <si>
    <t>T100831</t>
  </si>
  <si>
    <t>2025-07-13</t>
  </si>
  <si>
    <t>C4489</t>
  </si>
  <si>
    <t>T100832</t>
  </si>
  <si>
    <t>2026-01-26</t>
  </si>
  <si>
    <t>C3507</t>
  </si>
  <si>
    <t>T100833</t>
  </si>
  <si>
    <t>09/12/2025</t>
  </si>
  <si>
    <t>C4689</t>
  </si>
  <si>
    <t>T100834</t>
  </si>
  <si>
    <t>C3950</t>
  </si>
  <si>
    <t>T100835</t>
  </si>
  <si>
    <t>C1014</t>
  </si>
  <si>
    <t>T100836</t>
  </si>
  <si>
    <t>2025-04-10</t>
  </si>
  <si>
    <t>C9026</t>
  </si>
  <si>
    <t>T100837</t>
  </si>
  <si>
    <t>C3170</t>
  </si>
  <si>
    <t>T100838</t>
  </si>
  <si>
    <t>C3899</t>
  </si>
  <si>
    <t>T100839</t>
  </si>
  <si>
    <t>C9080</t>
  </si>
  <si>
    <t>T100840</t>
  </si>
  <si>
    <t>05/06/2025</t>
  </si>
  <si>
    <t>T100841</t>
  </si>
  <si>
    <t>C3316</t>
  </si>
  <si>
    <t>T100842</t>
  </si>
  <si>
    <t>C1276</t>
  </si>
  <si>
    <t>T100843</t>
  </si>
  <si>
    <t>C8529</t>
  </si>
  <si>
    <t>T100844</t>
  </si>
  <si>
    <t>C1691</t>
  </si>
  <si>
    <t>T100845</t>
  </si>
  <si>
    <t>C6137</t>
  </si>
  <si>
    <t>T100846</t>
  </si>
  <si>
    <t>C3079</t>
  </si>
  <si>
    <t>T100847</t>
  </si>
  <si>
    <t>T100848</t>
  </si>
  <si>
    <t>C8712</t>
  </si>
  <si>
    <t>T100849</t>
  </si>
  <si>
    <t>C2839</t>
  </si>
  <si>
    <t>T100850</t>
  </si>
  <si>
    <t>C4443</t>
  </si>
  <si>
    <t>T100851</t>
  </si>
  <si>
    <t>C3550</t>
  </si>
  <si>
    <t>T100852</t>
  </si>
  <si>
    <t>2026-03-23</t>
  </si>
  <si>
    <t>C3494</t>
  </si>
  <si>
    <t>T100853</t>
  </si>
  <si>
    <t>C2631</t>
  </si>
  <si>
    <t>T100854</t>
  </si>
  <si>
    <t>16/12/2025</t>
  </si>
  <si>
    <t>C5621</t>
  </si>
  <si>
    <t>T100855</t>
  </si>
  <si>
    <t>2026-02-12</t>
  </si>
  <si>
    <t>C1531</t>
  </si>
  <si>
    <t>T100856</t>
  </si>
  <si>
    <t>C9798</t>
  </si>
  <si>
    <t>T100857</t>
  </si>
  <si>
    <t>2025-04-09</t>
  </si>
  <si>
    <t>C1190</t>
  </si>
  <si>
    <t>T100858</t>
  </si>
  <si>
    <t>C7411</t>
  </si>
  <si>
    <t>T100859</t>
  </si>
  <si>
    <t>C4693</t>
  </si>
  <si>
    <t>T100860</t>
  </si>
  <si>
    <t>C3853</t>
  </si>
  <si>
    <t>T100861</t>
  </si>
  <si>
    <t>11/04/2026</t>
  </si>
  <si>
    <t>C5996</t>
  </si>
  <si>
    <t>T100862</t>
  </si>
  <si>
    <t>2025-07-22</t>
  </si>
  <si>
    <t>C2368</t>
  </si>
  <si>
    <t>T100863</t>
  </si>
  <si>
    <t>C5018</t>
  </si>
  <si>
    <t>T100864</t>
  </si>
  <si>
    <t>C6752</t>
  </si>
  <si>
    <t>T100865</t>
  </si>
  <si>
    <t>T100866</t>
  </si>
  <si>
    <t>C3516</t>
  </si>
  <si>
    <t>T100867</t>
  </si>
  <si>
    <t>C3910</t>
  </si>
  <si>
    <t>T100868</t>
  </si>
  <si>
    <t>11/05/2026</t>
  </si>
  <si>
    <t>T100869</t>
  </si>
  <si>
    <t>2025-06-30</t>
  </si>
  <si>
    <t>C5041</t>
  </si>
  <si>
    <t>T100870</t>
  </si>
  <si>
    <t>C5663</t>
  </si>
  <si>
    <t>T100871</t>
  </si>
  <si>
    <t>C4934</t>
  </si>
  <si>
    <t>T100872</t>
  </si>
  <si>
    <t>C5130</t>
  </si>
  <si>
    <t>T100873</t>
  </si>
  <si>
    <t>C2970</t>
  </si>
  <si>
    <t>T100874</t>
  </si>
  <si>
    <t>C5984</t>
  </si>
  <si>
    <t>T100875</t>
  </si>
  <si>
    <t>C7854</t>
  </si>
  <si>
    <t>T100876</t>
  </si>
  <si>
    <t>2025-06-01</t>
  </si>
  <si>
    <t>C8659</t>
  </si>
  <si>
    <t>T100877</t>
  </si>
  <si>
    <t>C2877</t>
  </si>
  <si>
    <t>T100878</t>
  </si>
  <si>
    <t>2025-11-22</t>
  </si>
  <si>
    <t>C5432</t>
  </si>
  <si>
    <t>T100879</t>
  </si>
  <si>
    <t>2025-01-19</t>
  </si>
  <si>
    <t>C9446</t>
  </si>
  <si>
    <t>T100880</t>
  </si>
  <si>
    <t>2025-10-27</t>
  </si>
  <si>
    <t>C4906</t>
  </si>
  <si>
    <t>T100881</t>
  </si>
  <si>
    <t>C1766</t>
  </si>
  <si>
    <t>T100882</t>
  </si>
  <si>
    <t>25/05/2025</t>
  </si>
  <si>
    <t>C3125</t>
  </si>
  <si>
    <t>T100883</t>
  </si>
  <si>
    <t>2026-06-21</t>
  </si>
  <si>
    <t>C6225</t>
  </si>
  <si>
    <t>T100884</t>
  </si>
  <si>
    <t>C7467</t>
  </si>
  <si>
    <t>T100885</t>
  </si>
  <si>
    <t>T100886</t>
  </si>
  <si>
    <t>C4179</t>
  </si>
  <si>
    <t>T100887</t>
  </si>
  <si>
    <t>C7098</t>
  </si>
  <si>
    <t>T100888</t>
  </si>
  <si>
    <t>C5604</t>
  </si>
  <si>
    <t>T100889</t>
  </si>
  <si>
    <t>07/02/2025</t>
  </si>
  <si>
    <t>C9916</t>
  </si>
  <si>
    <t>T100890</t>
  </si>
  <si>
    <t>C6351</t>
  </si>
  <si>
    <t>T100891</t>
  </si>
  <si>
    <t>C9322</t>
  </si>
  <si>
    <t>T100892</t>
  </si>
  <si>
    <t>C3958</t>
  </si>
  <si>
    <t>T100893</t>
  </si>
  <si>
    <t>C4300</t>
  </si>
  <si>
    <t>T100894</t>
  </si>
  <si>
    <t>C3582</t>
  </si>
  <si>
    <t>T100895</t>
  </si>
  <si>
    <t>C6989</t>
  </si>
  <si>
    <t>T100896</t>
  </si>
  <si>
    <t>C5937</t>
  </si>
  <si>
    <t>T100897</t>
  </si>
  <si>
    <t>C6970</t>
  </si>
  <si>
    <t>T100898</t>
  </si>
  <si>
    <t>C2756</t>
  </si>
  <si>
    <t>T100899</t>
  </si>
  <si>
    <t>C4045</t>
  </si>
  <si>
    <t>T100900</t>
  </si>
  <si>
    <t>2025-07-15</t>
  </si>
  <si>
    <t>C3772</t>
  </si>
  <si>
    <t>T100901</t>
  </si>
  <si>
    <t>C8966</t>
  </si>
  <si>
    <t>T100902</t>
  </si>
  <si>
    <t>2025-09-28</t>
  </si>
  <si>
    <t>C4873</t>
  </si>
  <si>
    <t>T100903</t>
  </si>
  <si>
    <t>15/12/2025</t>
  </si>
  <si>
    <t>C8878</t>
  </si>
  <si>
    <t>T100904</t>
  </si>
  <si>
    <t>C5614</t>
  </si>
  <si>
    <t>T100905</t>
  </si>
  <si>
    <t>2025-12-14</t>
  </si>
  <si>
    <t>T100906</t>
  </si>
  <si>
    <t>2025-11-19</t>
  </si>
  <si>
    <t>C6308</t>
  </si>
  <si>
    <t>T100907</t>
  </si>
  <si>
    <t>C9429</t>
  </si>
  <si>
    <t>T100908</t>
  </si>
  <si>
    <t>C4127</t>
  </si>
  <si>
    <t>T100909</t>
  </si>
  <si>
    <t>C7530</t>
  </si>
  <si>
    <t>T100910</t>
  </si>
  <si>
    <t>20/01/2026</t>
  </si>
  <si>
    <t>C3070</t>
  </si>
  <si>
    <t>T100911</t>
  </si>
  <si>
    <t>2025-05-15</t>
  </si>
  <si>
    <t>C2411</t>
  </si>
  <si>
    <t>T100912</t>
  </si>
  <si>
    <t>C4834</t>
  </si>
  <si>
    <t>T100913</t>
  </si>
  <si>
    <t>2026-06-11</t>
  </si>
  <si>
    <t>C4277</t>
  </si>
  <si>
    <t>T100914</t>
  </si>
  <si>
    <t>2026-03-02</t>
  </si>
  <si>
    <t>T100915</t>
  </si>
  <si>
    <t>C1072</t>
  </si>
  <si>
    <t>T100916</t>
  </si>
  <si>
    <t>C7719</t>
  </si>
  <si>
    <t>T100917</t>
  </si>
  <si>
    <t>12/01/2025</t>
  </si>
  <si>
    <t>C5868</t>
  </si>
  <si>
    <t>T100918</t>
  </si>
  <si>
    <t>C1733</t>
  </si>
  <si>
    <t>T100919</t>
  </si>
  <si>
    <t>C1652</t>
  </si>
  <si>
    <t>T100920</t>
  </si>
  <si>
    <t>C6460</t>
  </si>
  <si>
    <t>T100921</t>
  </si>
  <si>
    <t>C1354</t>
  </si>
  <si>
    <t>T100922</t>
  </si>
  <si>
    <t>C5202</t>
  </si>
  <si>
    <t>T100923</t>
  </si>
  <si>
    <t>C7481</t>
  </si>
  <si>
    <t>T100924</t>
  </si>
  <si>
    <t>19/12/2025</t>
  </si>
  <si>
    <t>C3183</t>
  </si>
  <si>
    <t>T100925</t>
  </si>
  <si>
    <t>2025-02-25</t>
  </si>
  <si>
    <t>C6183</t>
  </si>
  <si>
    <t>T100926</t>
  </si>
  <si>
    <t>C2450</t>
  </si>
  <si>
    <t>T100927</t>
  </si>
  <si>
    <t>C4275</t>
  </si>
  <si>
    <t>T100928</t>
  </si>
  <si>
    <t>C6779</t>
  </si>
  <si>
    <t>T100929</t>
  </si>
  <si>
    <t>C7099</t>
  </si>
  <si>
    <t>T100930</t>
  </si>
  <si>
    <t>C4714</t>
  </si>
  <si>
    <t>T100931</t>
  </si>
  <si>
    <t>12/06/2026</t>
  </si>
  <si>
    <t>C6036</t>
  </si>
  <si>
    <t>T100932</t>
  </si>
  <si>
    <t>2026-05-31</t>
  </si>
  <si>
    <t>C4638</t>
  </si>
  <si>
    <t>T100933</t>
  </si>
  <si>
    <t>C3531</t>
  </si>
  <si>
    <t>T100934</t>
  </si>
  <si>
    <t>C3399</t>
  </si>
  <si>
    <t>T100935</t>
  </si>
  <si>
    <t>C3624</t>
  </si>
  <si>
    <t>T100936</t>
  </si>
  <si>
    <t>C3432</t>
  </si>
  <si>
    <t>T100937</t>
  </si>
  <si>
    <t>C7101</t>
  </si>
  <si>
    <t>T100938</t>
  </si>
  <si>
    <t>21/06/2025</t>
  </si>
  <si>
    <t>C9833</t>
  </si>
  <si>
    <t>T100939</t>
  </si>
  <si>
    <t>2025-04-15</t>
  </si>
  <si>
    <t>C4654</t>
  </si>
  <si>
    <t>T100940</t>
  </si>
  <si>
    <t>C1319</t>
  </si>
  <si>
    <t>T100941</t>
  </si>
  <si>
    <t>2025-06-08</t>
  </si>
  <si>
    <t>T100942</t>
  </si>
  <si>
    <t>2025-11-21</t>
  </si>
  <si>
    <t>C9718</t>
  </si>
  <si>
    <t>T100943</t>
  </si>
  <si>
    <t>C6303</t>
  </si>
  <si>
    <t>T100944</t>
  </si>
  <si>
    <t>C5478</t>
  </si>
  <si>
    <t>T100945</t>
  </si>
  <si>
    <t>25/08/2025</t>
  </si>
  <si>
    <t>C7689</t>
  </si>
  <si>
    <t>T100946</t>
  </si>
  <si>
    <t>C1734</t>
  </si>
  <si>
    <t>T100947</t>
  </si>
  <si>
    <t>2025-05-12</t>
  </si>
  <si>
    <t>C5724</t>
  </si>
  <si>
    <t>T100948</t>
  </si>
  <si>
    <t>C1268</t>
  </si>
  <si>
    <t>T100949</t>
  </si>
  <si>
    <t>2025-01-27</t>
  </si>
  <si>
    <t>C7751</t>
  </si>
  <si>
    <t>T100950</t>
  </si>
  <si>
    <t>C7178</t>
  </si>
  <si>
    <t>T100951</t>
  </si>
  <si>
    <t>C5952</t>
  </si>
  <si>
    <t>T100952</t>
  </si>
  <si>
    <t>C1044</t>
  </si>
  <si>
    <t>T100953</t>
  </si>
  <si>
    <t>C1332</t>
  </si>
  <si>
    <t>T100954</t>
  </si>
  <si>
    <t>T100955</t>
  </si>
  <si>
    <t>2025-12-21</t>
  </si>
  <si>
    <t>C7207</t>
  </si>
  <si>
    <t>T100956</t>
  </si>
  <si>
    <t>C5656</t>
  </si>
  <si>
    <t>T100957</t>
  </si>
  <si>
    <t>2025-07-30</t>
  </si>
  <si>
    <t>C9918</t>
  </si>
  <si>
    <t>T100958</t>
  </si>
  <si>
    <t>C8226</t>
  </si>
  <si>
    <t>T100959</t>
  </si>
  <si>
    <t>07/04/2026</t>
  </si>
  <si>
    <t>T100960</t>
  </si>
  <si>
    <t>C8096</t>
  </si>
  <si>
    <t>T100961</t>
  </si>
  <si>
    <t>C4754</t>
  </si>
  <si>
    <t>T100962</t>
  </si>
  <si>
    <t>C1617</t>
  </si>
  <si>
    <t>T100963</t>
  </si>
  <si>
    <t>C6628</t>
  </si>
  <si>
    <t>T100964</t>
  </si>
  <si>
    <t>C6847</t>
  </si>
  <si>
    <t>T100965</t>
  </si>
  <si>
    <t>C3551</t>
  </si>
  <si>
    <t>T100966</t>
  </si>
  <si>
    <t>17/03/2025</t>
  </si>
  <si>
    <t>C7486</t>
  </si>
  <si>
    <t>T100967</t>
  </si>
  <si>
    <t>2025-03-05</t>
  </si>
  <si>
    <t>C6479</t>
  </si>
  <si>
    <t>T100968</t>
  </si>
  <si>
    <t>C4859</t>
  </si>
  <si>
    <t>T100969</t>
  </si>
  <si>
    <t>C8770</t>
  </si>
  <si>
    <t>T100970</t>
  </si>
  <si>
    <t>2026-03-22</t>
  </si>
  <si>
    <t>C9923</t>
  </si>
  <si>
    <t>T100971</t>
  </si>
  <si>
    <t>2025-09-30</t>
  </si>
  <si>
    <t>C7439</t>
  </si>
  <si>
    <t>T100972</t>
  </si>
  <si>
    <t>C5367</t>
  </si>
  <si>
    <t>T100973</t>
  </si>
  <si>
    <t>12/02/2026</t>
  </si>
  <si>
    <t>C1226</t>
  </si>
  <si>
    <t>T100974</t>
  </si>
  <si>
    <t>C7715</t>
  </si>
  <si>
    <t>T100975</t>
  </si>
  <si>
    <t>C9047</t>
  </si>
  <si>
    <t>T100976</t>
  </si>
  <si>
    <t>2025-03-21</t>
  </si>
  <si>
    <t>C1201</t>
  </si>
  <si>
    <t>T100977</t>
  </si>
  <si>
    <t>C8263</t>
  </si>
  <si>
    <t>T100978</t>
  </si>
  <si>
    <t>C9986</t>
  </si>
  <si>
    <t>T100979</t>
  </si>
  <si>
    <t>C5336</t>
  </si>
  <si>
    <t>T100980</t>
  </si>
  <si>
    <t>C5348</t>
  </si>
  <si>
    <t>T100981</t>
  </si>
  <si>
    <t>C6545</t>
  </si>
  <si>
    <t>T100982</t>
  </si>
  <si>
    <t>C4555</t>
  </si>
  <si>
    <t>T100983</t>
  </si>
  <si>
    <t>C1627</t>
  </si>
  <si>
    <t>T100984</t>
  </si>
  <si>
    <t>C1662</t>
  </si>
  <si>
    <t>T100985</t>
  </si>
  <si>
    <t>C2607</t>
  </si>
  <si>
    <t>T100986</t>
  </si>
  <si>
    <t>C9749</t>
  </si>
  <si>
    <t>T100987</t>
  </si>
  <si>
    <t>17/05/2026</t>
  </si>
  <si>
    <t>C9020</t>
  </si>
  <si>
    <t>T100988</t>
  </si>
  <si>
    <t>2025-06-17</t>
  </si>
  <si>
    <t>C4403</t>
  </si>
  <si>
    <t>T100989</t>
  </si>
  <si>
    <t>2025-08-14</t>
  </si>
  <si>
    <t>C8674</t>
  </si>
  <si>
    <t>T100990</t>
  </si>
  <si>
    <t>C8818</t>
  </si>
  <si>
    <t>T100991</t>
  </si>
  <si>
    <t>C4726</t>
  </si>
  <si>
    <t>T100992</t>
  </si>
  <si>
    <t>C5993</t>
  </si>
  <si>
    <t>T100993</t>
  </si>
  <si>
    <t>C1525</t>
  </si>
  <si>
    <t>T100994</t>
  </si>
  <si>
    <t>T100995</t>
  </si>
  <si>
    <t>T100996</t>
  </si>
  <si>
    <t>C1038</t>
  </si>
  <si>
    <t>T100997</t>
  </si>
  <si>
    <t>C3527</t>
  </si>
  <si>
    <t>T100998</t>
  </si>
  <si>
    <t>C2159</t>
  </si>
  <si>
    <t>T100999</t>
  </si>
  <si>
    <t>C5369</t>
  </si>
  <si>
    <t>C1209</t>
  </si>
  <si>
    <t>T101001</t>
  </si>
  <si>
    <t>C6736</t>
  </si>
  <si>
    <t>T101002</t>
  </si>
  <si>
    <t>C7359</t>
  </si>
  <si>
    <t>T101003</t>
  </si>
  <si>
    <t>C6133</t>
  </si>
  <si>
    <t>T101004</t>
  </si>
  <si>
    <t>T101005</t>
  </si>
  <si>
    <t>T101006</t>
  </si>
  <si>
    <t>C1578</t>
  </si>
  <si>
    <t>T101007</t>
  </si>
  <si>
    <t>C1748</t>
  </si>
  <si>
    <t>T101008</t>
  </si>
  <si>
    <t>21/04/2025</t>
  </si>
  <si>
    <t>C1358</t>
  </si>
  <si>
    <t>T101009</t>
  </si>
  <si>
    <t>C4486</t>
  </si>
  <si>
    <t>T101010</t>
  </si>
  <si>
    <t>2026-02-19</t>
  </si>
  <si>
    <t>C8576</t>
  </si>
  <si>
    <t>T101011</t>
  </si>
  <si>
    <t>2025-02-08</t>
  </si>
  <si>
    <t>T101012</t>
  </si>
  <si>
    <t>C7272</t>
  </si>
  <si>
    <t>T101013</t>
  </si>
  <si>
    <t>C8372</t>
  </si>
  <si>
    <t>T101014</t>
  </si>
  <si>
    <t>C8780</t>
  </si>
  <si>
    <t>T101015</t>
  </si>
  <si>
    <t>24/03/2025</t>
  </si>
  <si>
    <t>C7017</t>
  </si>
  <si>
    <t>T101016</t>
  </si>
  <si>
    <t>C8311</t>
  </si>
  <si>
    <t>T101017</t>
  </si>
  <si>
    <t>T101018</t>
  </si>
  <si>
    <t>2025-03-25</t>
  </si>
  <si>
    <t>C8524</t>
  </si>
  <si>
    <t>T101019</t>
  </si>
  <si>
    <t>C6216</t>
  </si>
  <si>
    <t>T101020</t>
  </si>
  <si>
    <t>C2214</t>
  </si>
  <si>
    <t>T101021</t>
  </si>
  <si>
    <t>C4205</t>
  </si>
  <si>
    <t>T101022</t>
  </si>
  <si>
    <t>T101023</t>
  </si>
  <si>
    <t>C7343</t>
  </si>
  <si>
    <t>T101024</t>
  </si>
  <si>
    <t>C8423</t>
  </si>
  <si>
    <t>T101025</t>
  </si>
  <si>
    <t>C6338</t>
  </si>
  <si>
    <t>T101026</t>
  </si>
  <si>
    <t>C9424</t>
  </si>
  <si>
    <t>T101027</t>
  </si>
  <si>
    <t>2026-05-08</t>
  </si>
  <si>
    <t>C4997</t>
  </si>
  <si>
    <t>T101028</t>
  </si>
  <si>
    <t>C3983</t>
  </si>
  <si>
    <t>T101029</t>
  </si>
  <si>
    <t>23/01/2025</t>
  </si>
  <si>
    <t>C1070</t>
  </si>
  <si>
    <t>T101030</t>
  </si>
  <si>
    <t>C4612</t>
  </si>
  <si>
    <t>T101031</t>
  </si>
  <si>
    <t>C3661</t>
  </si>
  <si>
    <t>T101032</t>
  </si>
  <si>
    <t>2025-06-06</t>
  </si>
  <si>
    <t>C3847</t>
  </si>
  <si>
    <t>T101033</t>
  </si>
  <si>
    <t>C5889</t>
  </si>
  <si>
    <t>T101034</t>
  </si>
  <si>
    <t>C1446</t>
  </si>
  <si>
    <t>T101035</t>
  </si>
  <si>
    <t>2025-07-09</t>
  </si>
  <si>
    <t>C6345</t>
  </si>
  <si>
    <t>T101036</t>
  </si>
  <si>
    <t>26/11/2025</t>
  </si>
  <si>
    <t>T101037</t>
  </si>
  <si>
    <t>T101038</t>
  </si>
  <si>
    <t>C7087</t>
  </si>
  <si>
    <t>T101039</t>
  </si>
  <si>
    <t>C6823</t>
  </si>
  <si>
    <t>T101040</t>
  </si>
  <si>
    <t>C9860</t>
  </si>
  <si>
    <t>T101041</t>
  </si>
  <si>
    <t>C8778</t>
  </si>
  <si>
    <t>T101042</t>
  </si>
  <si>
    <t>C2716</t>
  </si>
  <si>
    <t>T101043</t>
  </si>
  <si>
    <t>C7777</t>
  </si>
  <si>
    <t>T101044</t>
  </si>
  <si>
    <t>2026-01-10</t>
  </si>
  <si>
    <t>C6562</t>
  </si>
  <si>
    <t>T101045</t>
  </si>
  <si>
    <t>C5396</t>
  </si>
  <si>
    <t>T101046</t>
  </si>
  <si>
    <t>C3309</t>
  </si>
  <si>
    <t>T101047</t>
  </si>
  <si>
    <t>C8916</t>
  </si>
  <si>
    <t>T101048</t>
  </si>
  <si>
    <t>T101049</t>
  </si>
  <si>
    <t>C1239</t>
  </si>
  <si>
    <t>T101050</t>
  </si>
  <si>
    <t>C1830</t>
  </si>
  <si>
    <t>T101051</t>
  </si>
  <si>
    <t>C4520</t>
  </si>
  <si>
    <t>T101052</t>
  </si>
  <si>
    <t>C2226</t>
  </si>
  <si>
    <t>T101053</t>
  </si>
  <si>
    <t>C8017</t>
  </si>
  <si>
    <t>T101054</t>
  </si>
  <si>
    <t>2025-01-04</t>
  </si>
  <si>
    <t>C4433</t>
  </si>
  <si>
    <t>T101055</t>
  </si>
  <si>
    <t>T101056</t>
  </si>
  <si>
    <t>C5683</t>
  </si>
  <si>
    <t>T101057</t>
  </si>
  <si>
    <t>C7085</t>
  </si>
  <si>
    <t>T101058</t>
  </si>
  <si>
    <t>C2387</t>
  </si>
  <si>
    <t>T101059</t>
  </si>
  <si>
    <t>C2442</t>
  </si>
  <si>
    <t>T101060</t>
  </si>
  <si>
    <t>2025-02-02</t>
  </si>
  <si>
    <t>C7554</t>
  </si>
  <si>
    <t>T101061</t>
  </si>
  <si>
    <t>C4807</t>
  </si>
  <si>
    <t>T101062</t>
  </si>
  <si>
    <t>C9394</t>
  </si>
  <si>
    <t>T101063</t>
  </si>
  <si>
    <t>C3888</t>
  </si>
  <si>
    <t>T101064</t>
  </si>
  <si>
    <t>T101065</t>
  </si>
  <si>
    <t>2025-05-28</t>
  </si>
  <si>
    <t>C8834</t>
  </si>
  <si>
    <t>T101066</t>
  </si>
  <si>
    <t>2026-03-24</t>
  </si>
  <si>
    <t>C1357</t>
  </si>
  <si>
    <t>T101067</t>
  </si>
  <si>
    <t>C2558</t>
  </si>
  <si>
    <t>T101068</t>
  </si>
  <si>
    <t>C9048</t>
  </si>
  <si>
    <t>T101069</t>
  </si>
  <si>
    <t>2026-05-19</t>
  </si>
  <si>
    <t>T101070</t>
  </si>
  <si>
    <t>T101071</t>
  </si>
  <si>
    <t>16/05/2026</t>
  </si>
  <si>
    <t>C3058</t>
  </si>
  <si>
    <t>T101072</t>
  </si>
  <si>
    <t>C5225</t>
  </si>
  <si>
    <t>T101073</t>
  </si>
  <si>
    <t>C3819</t>
  </si>
  <si>
    <t>T101074</t>
  </si>
  <si>
    <t>C2866</t>
  </si>
  <si>
    <t>T101075</t>
  </si>
  <si>
    <t>C5074</t>
  </si>
  <si>
    <t>T101076</t>
  </si>
  <si>
    <t>C6819</t>
  </si>
  <si>
    <t>T101077</t>
  </si>
  <si>
    <t>C2913</t>
  </si>
  <si>
    <t>T101078</t>
  </si>
  <si>
    <t>19/09/2025</t>
  </si>
  <si>
    <t>C8985</t>
  </si>
  <si>
    <t>T101079</t>
  </si>
  <si>
    <t>2026-04-06</t>
  </si>
  <si>
    <t>C1959</t>
  </si>
  <si>
    <t>T101080</t>
  </si>
  <si>
    <t>2025-03-11</t>
  </si>
  <si>
    <t>C7630</t>
  </si>
  <si>
    <t>T101081</t>
  </si>
  <si>
    <t>C4696</t>
  </si>
  <si>
    <t>T101082</t>
  </si>
  <si>
    <t>T101083</t>
  </si>
  <si>
    <t>2025-08-11</t>
  </si>
  <si>
    <t>C8519</t>
  </si>
  <si>
    <t>T101084</t>
  </si>
  <si>
    <t>C7771</t>
  </si>
  <si>
    <t>T101085</t>
  </si>
  <si>
    <t>06/06/2026</t>
  </si>
  <si>
    <t>C3479</t>
  </si>
  <si>
    <t>T101086</t>
  </si>
  <si>
    <t>C6796</t>
  </si>
  <si>
    <t>T101087</t>
  </si>
  <si>
    <t>T101088</t>
  </si>
  <si>
    <t>T101089</t>
  </si>
  <si>
    <t>C3668</t>
  </si>
  <si>
    <t>T101090</t>
  </si>
  <si>
    <t>C9668</t>
  </si>
  <si>
    <t>T101091</t>
  </si>
  <si>
    <t>C8593</t>
  </si>
  <si>
    <t>T101092</t>
  </si>
  <si>
    <t>31/05/2025</t>
  </si>
  <si>
    <t>C2870</t>
  </si>
  <si>
    <t>T101093</t>
  </si>
  <si>
    <t>C4402</t>
  </si>
  <si>
    <t>T101094</t>
  </si>
  <si>
    <t>2025-02-15</t>
  </si>
  <si>
    <t>C7817</t>
  </si>
  <si>
    <t>T101095</t>
  </si>
  <si>
    <t>C7091</t>
  </si>
  <si>
    <t>T101096</t>
  </si>
  <si>
    <t>C9333</t>
  </si>
  <si>
    <t>T101097</t>
  </si>
  <si>
    <t>C9645</t>
  </si>
  <si>
    <t>T101098</t>
  </si>
  <si>
    <t>C3006</t>
  </si>
  <si>
    <t>T101099</t>
  </si>
  <si>
    <t>08/01/2025</t>
  </si>
  <si>
    <t>C1621</t>
  </si>
  <si>
    <t>T101100</t>
  </si>
  <si>
    <t>T101101</t>
  </si>
  <si>
    <t>2025-03-29</t>
  </si>
  <si>
    <t>C6209</t>
  </si>
  <si>
    <t>T101102</t>
  </si>
  <si>
    <t>C5353</t>
  </si>
  <si>
    <t>T101103</t>
  </si>
  <si>
    <t>C7951</t>
  </si>
  <si>
    <t>T101104</t>
  </si>
  <si>
    <t>C3883</t>
  </si>
  <si>
    <t>T101105</t>
  </si>
  <si>
    <t>C5257</t>
  </si>
  <si>
    <t>T101106</t>
  </si>
  <si>
    <t>C1053</t>
  </si>
  <si>
    <t>T101107</t>
  </si>
  <si>
    <t>C5861</t>
  </si>
  <si>
    <t>T101108</t>
  </si>
  <si>
    <t>C1321</t>
  </si>
  <si>
    <t>T101109</t>
  </si>
  <si>
    <t>2026-05-05</t>
  </si>
  <si>
    <t>C2082</t>
  </si>
  <si>
    <t>T101110</t>
  </si>
  <si>
    <t>C5487</t>
  </si>
  <si>
    <t>T101111</t>
  </si>
  <si>
    <t>2026-06-10</t>
  </si>
  <si>
    <t>C7958</t>
  </si>
  <si>
    <t>T101112</t>
  </si>
  <si>
    <t>C6922</t>
  </si>
  <si>
    <t>T101113</t>
  </si>
  <si>
    <t>03/07/2025</t>
  </si>
  <si>
    <t>C4001</t>
  </si>
  <si>
    <t>T101114</t>
  </si>
  <si>
    <t>C6941</t>
  </si>
  <si>
    <t>T101115</t>
  </si>
  <si>
    <t>2026-03-10</t>
  </si>
  <si>
    <t>C6194</t>
  </si>
  <si>
    <t>T101116</t>
  </si>
  <si>
    <t>T101117</t>
  </si>
  <si>
    <t>2026-04-30</t>
  </si>
  <si>
    <t>C2555</t>
  </si>
  <si>
    <t>T101118</t>
  </si>
  <si>
    <t>C4175</t>
  </si>
  <si>
    <t>T101119</t>
  </si>
  <si>
    <t>C6232</t>
  </si>
  <si>
    <t>T101120</t>
  </si>
  <si>
    <t>09/03/2026</t>
  </si>
  <si>
    <t>C7391</t>
  </si>
  <si>
    <t>T101121</t>
  </si>
  <si>
    <t>C3701</t>
  </si>
  <si>
    <t>T101122</t>
  </si>
  <si>
    <t>C2196</t>
  </si>
  <si>
    <t>T101123</t>
  </si>
  <si>
    <t>2025-04-16</t>
  </si>
  <si>
    <t>C7956</t>
  </si>
  <si>
    <t>T101124</t>
  </si>
  <si>
    <t>C8788</t>
  </si>
  <si>
    <t>T101125</t>
  </si>
  <si>
    <t>C2553</t>
  </si>
  <si>
    <t>T101126</t>
  </si>
  <si>
    <t>C8091</t>
  </si>
  <si>
    <t>T101127</t>
  </si>
  <si>
    <t>20/07/2025</t>
  </si>
  <si>
    <t>C2726</t>
  </si>
  <si>
    <t>T101128</t>
  </si>
  <si>
    <t>C7484</t>
  </si>
  <si>
    <t>T101129</t>
  </si>
  <si>
    <t>C1776</t>
  </si>
  <si>
    <t>T101130</t>
  </si>
  <si>
    <t>T101131</t>
  </si>
  <si>
    <t>2025-02-12</t>
  </si>
  <si>
    <t>C3894</t>
  </si>
  <si>
    <t>T101132</t>
  </si>
  <si>
    <t>C3788</t>
  </si>
  <si>
    <t>T101133</t>
  </si>
  <si>
    <t>C2386</t>
  </si>
  <si>
    <t>T101134</t>
  </si>
  <si>
    <t>31/07/2025</t>
  </si>
  <si>
    <t>C9277</t>
  </si>
  <si>
    <t>T101135</t>
  </si>
  <si>
    <t>T101136</t>
  </si>
  <si>
    <t>C2628</t>
  </si>
  <si>
    <t>T101137</t>
  </si>
  <si>
    <t>C3880</t>
  </si>
  <si>
    <t>T101138</t>
  </si>
  <si>
    <t>C1400</t>
  </si>
  <si>
    <t>T101139</t>
  </si>
  <si>
    <t>C4950</t>
  </si>
  <si>
    <t>T101140</t>
  </si>
  <si>
    <t>C2221</t>
  </si>
  <si>
    <t>T101141</t>
  </si>
  <si>
    <t>C3437</t>
  </si>
  <si>
    <t>T101142</t>
  </si>
  <si>
    <t>T101143</t>
  </si>
  <si>
    <t>2026-04-29</t>
  </si>
  <si>
    <t>C3896</t>
  </si>
  <si>
    <t>T101144</t>
  </si>
  <si>
    <t>C1862</t>
  </si>
  <si>
    <t>T101145</t>
  </si>
  <si>
    <t>2026-04-14</t>
  </si>
  <si>
    <t>C6889</t>
  </si>
  <si>
    <t>T101146</t>
  </si>
  <si>
    <t>C2540</t>
  </si>
  <si>
    <t>T101147</t>
  </si>
  <si>
    <t>C1746</t>
  </si>
  <si>
    <t>T101148</t>
  </si>
  <si>
    <t>C5924</t>
  </si>
  <si>
    <t>T101149</t>
  </si>
  <si>
    <t>C3409</t>
  </si>
  <si>
    <t>T101150</t>
  </si>
  <si>
    <t>2025-12-17</t>
  </si>
  <si>
    <t>C2048</t>
  </si>
  <si>
    <t>T101151</t>
  </si>
  <si>
    <t>C5750</t>
  </si>
  <si>
    <t>T101152</t>
  </si>
  <si>
    <t>C9244</t>
  </si>
  <si>
    <t>T101153</t>
  </si>
  <si>
    <t>C3294</t>
  </si>
  <si>
    <t>T101154</t>
  </si>
  <si>
    <t>2025-06-12</t>
  </si>
  <si>
    <t>C5699</t>
  </si>
  <si>
    <t>T101155</t>
  </si>
  <si>
    <t>18/01/2025</t>
  </si>
  <si>
    <t>C3108</t>
  </si>
  <si>
    <t>T101156</t>
  </si>
  <si>
    <t>C9674</t>
  </si>
  <si>
    <t>T101157</t>
  </si>
  <si>
    <t>C2490</t>
  </si>
  <si>
    <t>T101158</t>
  </si>
  <si>
    <t>2025-09-15</t>
  </si>
  <si>
    <t>C4548</t>
  </si>
  <si>
    <t>T101159</t>
  </si>
  <si>
    <t>C1171</t>
  </si>
  <si>
    <t>T101160</t>
  </si>
  <si>
    <t>C6756</t>
  </si>
  <si>
    <t>T101161</t>
  </si>
  <si>
    <t>C8424</t>
  </si>
  <si>
    <t>T101162</t>
  </si>
  <si>
    <t>06/08/2025</t>
  </si>
  <si>
    <t>C6971</t>
  </si>
  <si>
    <t>T101163</t>
  </si>
  <si>
    <t>C5815</t>
  </si>
  <si>
    <t>T101164</t>
  </si>
  <si>
    <t>C2723</t>
  </si>
  <si>
    <t>T101165</t>
  </si>
  <si>
    <t>C4948</t>
  </si>
  <si>
    <t>T101166</t>
  </si>
  <si>
    <t>C3004</t>
  </si>
  <si>
    <t>T101167</t>
  </si>
  <si>
    <t>2025-03-22</t>
  </si>
  <si>
    <t>C6711</t>
  </si>
  <si>
    <t>T101168</t>
  </si>
  <si>
    <t>T101169</t>
  </si>
  <si>
    <t>29/01/2026</t>
  </si>
  <si>
    <t>C7180</t>
  </si>
  <si>
    <t>T101170</t>
  </si>
  <si>
    <t>T101171</t>
  </si>
  <si>
    <t>C7360</t>
  </si>
  <si>
    <t>T101172</t>
  </si>
  <si>
    <t>T101173</t>
  </si>
  <si>
    <t>C9034</t>
  </si>
  <si>
    <t>T101174</t>
  </si>
  <si>
    <t>C9468</t>
  </si>
  <si>
    <t>T101175</t>
  </si>
  <si>
    <t>C9611</t>
  </si>
  <si>
    <t>T101176</t>
  </si>
  <si>
    <t>T101177</t>
  </si>
  <si>
    <t>C4302</t>
  </si>
  <si>
    <t>T101178</t>
  </si>
  <si>
    <t>C8377</t>
  </si>
  <si>
    <t>T101179</t>
  </si>
  <si>
    <t>T101180</t>
  </si>
  <si>
    <t>C5312</t>
  </si>
  <si>
    <t>T101181</t>
  </si>
  <si>
    <t>C8107</t>
  </si>
  <si>
    <t>T101182</t>
  </si>
  <si>
    <t>C6561</t>
  </si>
  <si>
    <t>T101183</t>
  </si>
  <si>
    <t>14/06/2025</t>
  </si>
  <si>
    <t>C8687</t>
  </si>
  <si>
    <t>T101184</t>
  </si>
  <si>
    <t>C9624</t>
  </si>
  <si>
    <t>T101185</t>
  </si>
  <si>
    <t>C6331</t>
  </si>
  <si>
    <t>T101186</t>
  </si>
  <si>
    <t>C5094</t>
  </si>
  <si>
    <t>T101187</t>
  </si>
  <si>
    <t>C6472</t>
  </si>
  <si>
    <t>T101188</t>
  </si>
  <si>
    <t>C3215</t>
  </si>
  <si>
    <t>T101189</t>
  </si>
  <si>
    <t>C2307</t>
  </si>
  <si>
    <t>T101190</t>
  </si>
  <si>
    <t>26/10/2025</t>
  </si>
  <si>
    <t>C4643</t>
  </si>
  <si>
    <t>T101191</t>
  </si>
  <si>
    <t>C1178</t>
  </si>
  <si>
    <t>T101192</t>
  </si>
  <si>
    <t>C1083</t>
  </si>
  <si>
    <t>T101193</t>
  </si>
  <si>
    <t>C7159</t>
  </si>
  <si>
    <t>T101194</t>
  </si>
  <si>
    <t>2026-03-21</t>
  </si>
  <si>
    <t>C2805</t>
  </si>
  <si>
    <t>T101195</t>
  </si>
  <si>
    <t>C4710</t>
  </si>
  <si>
    <t>T101196</t>
  </si>
  <si>
    <t>C6475</t>
  </si>
  <si>
    <t>T101197</t>
  </si>
  <si>
    <t>21/05/2025</t>
  </si>
  <si>
    <t>C2603</t>
  </si>
  <si>
    <t>T101198</t>
  </si>
  <si>
    <t>C2919</t>
  </si>
  <si>
    <t>T101199</t>
  </si>
  <si>
    <t>C7755</t>
  </si>
  <si>
    <t>T101200</t>
  </si>
  <si>
    <t>2026-02-26</t>
  </si>
  <si>
    <t>C1983</t>
  </si>
  <si>
    <t>T101201</t>
  </si>
  <si>
    <t>C8001</t>
  </si>
  <si>
    <t>Missing Data check</t>
  </si>
  <si>
    <t>Clean_City</t>
  </si>
  <si>
    <t>Clean_Customers_Name</t>
  </si>
  <si>
    <t>Clean_Product_Name</t>
  </si>
  <si>
    <t>Clean_Unit_Price</t>
  </si>
  <si>
    <t>Clean_salesperson</t>
  </si>
  <si>
    <t>Clean_payment_Method</t>
  </si>
  <si>
    <t>Clean_Age</t>
  </si>
  <si>
    <t>Clean_Quantity</t>
  </si>
  <si>
    <t>Clean_Discount</t>
  </si>
  <si>
    <t>Total_sales</t>
  </si>
  <si>
    <t>KPI</t>
  </si>
  <si>
    <t>Value</t>
  </si>
  <si>
    <t>Total_Revenue</t>
  </si>
  <si>
    <t>Number_of_Transactions</t>
  </si>
  <si>
    <t>Ave._Transaction</t>
  </si>
  <si>
    <t>Highest_Sale</t>
  </si>
  <si>
    <t>Lowest_Sale</t>
  </si>
  <si>
    <t>Electronic</t>
  </si>
  <si>
    <t>Revenue</t>
  </si>
  <si>
    <t>Ph</t>
  </si>
  <si>
    <t>Row Labels</t>
  </si>
  <si>
    <t>Grand Total</t>
  </si>
  <si>
    <t>Pos</t>
  </si>
  <si>
    <t>(blank)</t>
  </si>
  <si>
    <t>Sum of Total_sales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</si>
</sst>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5" formatCode="[$-409]d\-mmm;@"/>
    <numFmt numFmtId="166" formatCode="_([$$-409]* #,##0.00_);_([$$-409]* \(#,##0.00\);_([$$-409]*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5" fontId="0" fillId="0" borderId="0" xfId="0" applyNumberFormat="1"/>
    <xf numFmtId="44"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165" formatCode="[$-409]d\-m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Retail_Supermarket_Sales_Dataset_1200.xlsx]Pivot Tables!PivotTable5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46981627296587"/>
          <c:y val="0.24939596092155147"/>
          <c:w val="0.73578937007874012"/>
          <c:h val="0.42246245261009041"/>
        </c:manualLayout>
      </c:layout>
      <c:barChart>
        <c:barDir val="col"/>
        <c:grouping val="clustered"/>
        <c:varyColors val="0"/>
        <c:ser>
          <c:idx val="0"/>
          <c:order val="0"/>
          <c:tx>
            <c:strRef>
              <c:f>'Pivot Tables'!$C$3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Tables'!$B$4:$B$6</c:f>
              <c:strCache>
                <c:ptCount val="2"/>
                <c:pt idx="0">
                  <c:v>Electronics</c:v>
                </c:pt>
                <c:pt idx="1">
                  <c:v>Fashion</c:v>
                </c:pt>
              </c:strCache>
            </c:strRef>
          </c:cat>
          <c:val>
            <c:numRef>
              <c:f>'Pivot Tables'!$C$4:$C$6</c:f>
              <c:numCache>
                <c:formatCode>General</c:formatCode>
                <c:ptCount val="2"/>
                <c:pt idx="0">
                  <c:v>58846.282399999996</c:v>
                </c:pt>
                <c:pt idx="1">
                  <c:v>40216.066000000021</c:v>
                </c:pt>
              </c:numCache>
            </c:numRef>
          </c:val>
          <c:extLst>
            <c:ext xmlns:c16="http://schemas.microsoft.com/office/drawing/2014/chart" uri="{C3380CC4-5D6E-409C-BE32-E72D297353CC}">
              <c16:uniqueId val="{00000000-5405-4B12-A435-C2BDFA5CD3CC}"/>
            </c:ext>
          </c:extLst>
        </c:ser>
        <c:dLbls>
          <c:showLegendKey val="0"/>
          <c:showVal val="0"/>
          <c:showCatName val="0"/>
          <c:showSerName val="0"/>
          <c:showPercent val="0"/>
          <c:showBubbleSize val="0"/>
        </c:dLbls>
        <c:gapWidth val="100"/>
        <c:overlap val="-24"/>
        <c:axId val="2771087"/>
        <c:axId val="1755762303"/>
      </c:barChart>
      <c:catAx>
        <c:axId val="27710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762303"/>
        <c:crosses val="autoZero"/>
        <c:auto val="1"/>
        <c:lblAlgn val="ctr"/>
        <c:lblOffset val="100"/>
        <c:noMultiLvlLbl val="0"/>
      </c:catAx>
      <c:valAx>
        <c:axId val="175576230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7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Retail_Supermarket_Sales_Dataset_1200.xlsx]Pivot Tables!PivotTable11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per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Tables'!$B$26:$B$31</c:f>
              <c:strCache>
                <c:ptCount val="5"/>
                <c:pt idx="0">
                  <c:v>East</c:v>
                </c:pt>
                <c:pt idx="1">
                  <c:v>North</c:v>
                </c:pt>
                <c:pt idx="2">
                  <c:v>South</c:v>
                </c:pt>
                <c:pt idx="3">
                  <c:v>West</c:v>
                </c:pt>
                <c:pt idx="4">
                  <c:v>(blank)</c:v>
                </c:pt>
              </c:strCache>
            </c:strRef>
          </c:cat>
          <c:val>
            <c:numRef>
              <c:f>'Pivot Tables'!$C$26:$C$31</c:f>
              <c:numCache>
                <c:formatCode>General</c:formatCode>
                <c:ptCount val="5"/>
                <c:pt idx="0">
                  <c:v>192925.66160000008</c:v>
                </c:pt>
                <c:pt idx="1">
                  <c:v>209640.85669999989</c:v>
                </c:pt>
                <c:pt idx="2">
                  <c:v>168416.75850000003</c:v>
                </c:pt>
                <c:pt idx="3">
                  <c:v>195085.63850000009</c:v>
                </c:pt>
              </c:numCache>
            </c:numRef>
          </c:val>
          <c:extLst>
            <c:ext xmlns:c16="http://schemas.microsoft.com/office/drawing/2014/chart" uri="{C3380CC4-5D6E-409C-BE32-E72D297353CC}">
              <c16:uniqueId val="{00000000-B862-4F79-B816-B88486BA5BF5}"/>
            </c:ext>
          </c:extLst>
        </c:ser>
        <c:dLbls>
          <c:showLegendKey val="0"/>
          <c:showVal val="0"/>
          <c:showCatName val="0"/>
          <c:showSerName val="0"/>
          <c:showPercent val="0"/>
          <c:showBubbleSize val="0"/>
        </c:dLbls>
        <c:gapWidth val="100"/>
        <c:overlap val="-24"/>
        <c:axId val="2028757231"/>
        <c:axId val="1755759423"/>
      </c:barChart>
      <c:catAx>
        <c:axId val="20287572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759423"/>
        <c:crosses val="autoZero"/>
        <c:auto val="1"/>
        <c:lblAlgn val="ctr"/>
        <c:lblOffset val="100"/>
        <c:noMultiLvlLbl val="0"/>
      </c:catAx>
      <c:valAx>
        <c:axId val="17557594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875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Retail_Supermarket_Sales_Dataset_1200.xlsx]Pivot Tables!PivotTable12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per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Tables'!$B$37:$B$43</c:f>
              <c:strCache>
                <c:ptCount val="6"/>
                <c:pt idx="0">
                  <c:v>Abuja</c:v>
                </c:pt>
                <c:pt idx="1">
                  <c:v>Enugu</c:v>
                </c:pt>
                <c:pt idx="2">
                  <c:v>Kano</c:v>
                </c:pt>
                <c:pt idx="3">
                  <c:v>Lagos</c:v>
                </c:pt>
                <c:pt idx="4">
                  <c:v>Ph</c:v>
                </c:pt>
                <c:pt idx="5">
                  <c:v>(blank)</c:v>
                </c:pt>
              </c:strCache>
            </c:strRef>
          </c:cat>
          <c:val>
            <c:numRef>
              <c:f>'Pivot Tables'!$C$37:$C$43</c:f>
              <c:numCache>
                <c:formatCode>General</c:formatCode>
                <c:ptCount val="6"/>
                <c:pt idx="0">
                  <c:v>138012.52650000001</c:v>
                </c:pt>
                <c:pt idx="1">
                  <c:v>107638.82400000002</c:v>
                </c:pt>
                <c:pt idx="2">
                  <c:v>107389.4302</c:v>
                </c:pt>
                <c:pt idx="3">
                  <c:v>308160.3985999999</c:v>
                </c:pt>
                <c:pt idx="4">
                  <c:v>104867.736</c:v>
                </c:pt>
              </c:numCache>
            </c:numRef>
          </c:val>
          <c:extLst>
            <c:ext xmlns:c16="http://schemas.microsoft.com/office/drawing/2014/chart" uri="{C3380CC4-5D6E-409C-BE32-E72D297353CC}">
              <c16:uniqueId val="{00000000-8C9D-44B3-9FEB-9CD2621C12A2}"/>
            </c:ext>
          </c:extLst>
        </c:ser>
        <c:dLbls>
          <c:showLegendKey val="0"/>
          <c:showVal val="0"/>
          <c:showCatName val="0"/>
          <c:showSerName val="0"/>
          <c:showPercent val="0"/>
          <c:showBubbleSize val="0"/>
        </c:dLbls>
        <c:gapWidth val="100"/>
        <c:overlap val="-24"/>
        <c:axId val="2769231"/>
        <c:axId val="1755780543"/>
      </c:barChart>
      <c:catAx>
        <c:axId val="27692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780543"/>
        <c:crosses val="autoZero"/>
        <c:auto val="1"/>
        <c:lblAlgn val="ctr"/>
        <c:lblOffset val="100"/>
        <c:noMultiLvlLbl val="0"/>
      </c:catAx>
      <c:valAx>
        <c:axId val="17557805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Retail_Supermarket_Sales_Dataset_1200.xlsx]Pivot Tables!PivotTable13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Tables'!$C$48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'Pivot Tables'!$B$49:$B$54</c:f>
              <c:strCache>
                <c:ptCount val="5"/>
                <c:pt idx="1">
                  <c:v>Cash</c:v>
                </c:pt>
                <c:pt idx="2">
                  <c:v>Mobile Money</c:v>
                </c:pt>
                <c:pt idx="3">
                  <c:v>Pos</c:v>
                </c:pt>
                <c:pt idx="4">
                  <c:v>Transfer</c:v>
                </c:pt>
              </c:strCache>
            </c:strRef>
          </c:cat>
          <c:val>
            <c:numRef>
              <c:f>'Pivot Tables'!$C$49:$C$54</c:f>
              <c:numCache>
                <c:formatCode>General</c:formatCode>
                <c:ptCount val="5"/>
                <c:pt idx="0">
                  <c:v>165592.04600000012</c:v>
                </c:pt>
                <c:pt idx="1">
                  <c:v>163846.5634000001</c:v>
                </c:pt>
                <c:pt idx="2">
                  <c:v>139579.28749999998</c:v>
                </c:pt>
                <c:pt idx="3">
                  <c:v>142010.36949999997</c:v>
                </c:pt>
                <c:pt idx="4">
                  <c:v>155040.6489</c:v>
                </c:pt>
              </c:numCache>
            </c:numRef>
          </c:val>
          <c:extLst>
            <c:ext xmlns:c16="http://schemas.microsoft.com/office/drawing/2014/chart" uri="{C3380CC4-5D6E-409C-BE32-E72D297353CC}">
              <c16:uniqueId val="{00000000-2152-45D7-AA82-B414DE1EBB0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Retail_Supermarket_Sales_Dataset_1200.xlsx]Pivot Tables!PivotTable10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 per salesperson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Tables'!$B$16:$B$21</c:f>
              <c:strCache>
                <c:ptCount val="5"/>
                <c:pt idx="0">
                  <c:v>Ada</c:v>
                </c:pt>
                <c:pt idx="1">
                  <c:v>Ben</c:v>
                </c:pt>
                <c:pt idx="2">
                  <c:v>Chi</c:v>
                </c:pt>
                <c:pt idx="3">
                  <c:v>Dan</c:v>
                </c:pt>
                <c:pt idx="4">
                  <c:v>(blank)</c:v>
                </c:pt>
              </c:strCache>
            </c:strRef>
          </c:cat>
          <c:val>
            <c:numRef>
              <c:f>'Pivot Tables'!$C$16:$C$21</c:f>
              <c:numCache>
                <c:formatCode>General</c:formatCode>
                <c:ptCount val="5"/>
                <c:pt idx="0">
                  <c:v>232281.61559999999</c:v>
                </c:pt>
                <c:pt idx="1">
                  <c:v>172623.48649999994</c:v>
                </c:pt>
                <c:pt idx="2">
                  <c:v>171840.87650000004</c:v>
                </c:pt>
                <c:pt idx="3">
                  <c:v>189322.93670000005</c:v>
                </c:pt>
              </c:numCache>
            </c:numRef>
          </c:val>
          <c:extLst>
            <c:ext xmlns:c16="http://schemas.microsoft.com/office/drawing/2014/chart" uri="{C3380CC4-5D6E-409C-BE32-E72D297353CC}">
              <c16:uniqueId val="{00000000-A88C-4DDB-B840-6CF77769C321}"/>
            </c:ext>
          </c:extLst>
        </c:ser>
        <c:dLbls>
          <c:showLegendKey val="0"/>
          <c:showVal val="0"/>
          <c:showCatName val="0"/>
          <c:showSerName val="0"/>
          <c:showPercent val="0"/>
          <c:showBubbleSize val="0"/>
        </c:dLbls>
        <c:gapWidth val="115"/>
        <c:overlap val="-20"/>
        <c:axId val="616472367"/>
        <c:axId val="1755765663"/>
      </c:barChart>
      <c:catAx>
        <c:axId val="6164723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5765663"/>
        <c:crosses val="autoZero"/>
        <c:auto val="1"/>
        <c:lblAlgn val="ctr"/>
        <c:lblOffset val="100"/>
        <c:noMultiLvlLbl val="0"/>
      </c:catAx>
      <c:valAx>
        <c:axId val="175576566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647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266700</xdr:colOff>
      <xdr:row>2</xdr:row>
      <xdr:rowOff>85725</xdr:rowOff>
    </xdr:from>
    <xdr:to>
      <xdr:col>10</xdr:col>
      <xdr:colOff>571500</xdr:colOff>
      <xdr:row>11</xdr:row>
      <xdr:rowOff>0</xdr:rowOff>
    </xdr:to>
    <xdr:graphicFrame macro="">
      <xdr:nvGraphicFramePr>
        <xdr:cNvPr id="2" name="Chart 1">
          <a:extLst>
            <a:ext uri="{FF2B5EF4-FFF2-40B4-BE49-F238E27FC236}">
              <a16:creationId xmlns:a16="http://schemas.microsoft.com/office/drawing/2014/main" id="{C9859F12-6FB1-6D66-15B2-EBD18D1C75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23</xdr:row>
      <xdr:rowOff>28575</xdr:rowOff>
    </xdr:from>
    <xdr:to>
      <xdr:col>10</xdr:col>
      <xdr:colOff>571500</xdr:colOff>
      <xdr:row>33</xdr:row>
      <xdr:rowOff>28575</xdr:rowOff>
    </xdr:to>
    <xdr:graphicFrame macro="">
      <xdr:nvGraphicFramePr>
        <xdr:cNvPr id="4" name="Chart 3">
          <a:extLst>
            <a:ext uri="{FF2B5EF4-FFF2-40B4-BE49-F238E27FC236}">
              <a16:creationId xmlns:a16="http://schemas.microsoft.com/office/drawing/2014/main" id="{6E2B1FA1-8CD9-8D99-00B5-7C8694C9D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34</xdr:row>
      <xdr:rowOff>85725</xdr:rowOff>
    </xdr:from>
    <xdr:to>
      <xdr:col>10</xdr:col>
      <xdr:colOff>571500</xdr:colOff>
      <xdr:row>44</xdr:row>
      <xdr:rowOff>123825</xdr:rowOff>
    </xdr:to>
    <xdr:graphicFrame macro="">
      <xdr:nvGraphicFramePr>
        <xdr:cNvPr id="5" name="Chart 4">
          <a:extLst>
            <a:ext uri="{FF2B5EF4-FFF2-40B4-BE49-F238E27FC236}">
              <a16:creationId xmlns:a16="http://schemas.microsoft.com/office/drawing/2014/main" id="{532DC0AB-91FB-5A72-4223-4F2AE5A62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266700</xdr:colOff>
      <xdr:row>47</xdr:row>
      <xdr:rowOff>19050</xdr:rowOff>
    </xdr:from>
    <xdr:to>
      <xdr:col>10</xdr:col>
      <xdr:colOff>571500</xdr:colOff>
      <xdr:row>58</xdr:row>
      <xdr:rowOff>76200</xdr:rowOff>
    </xdr:to>
    <xdr:graphicFrame macro="">
      <xdr:nvGraphicFramePr>
        <xdr:cNvPr id="6" name="Chart 5">
          <a:extLst>
            <a:ext uri="{FF2B5EF4-FFF2-40B4-BE49-F238E27FC236}">
              <a16:creationId xmlns:a16="http://schemas.microsoft.com/office/drawing/2014/main" id="{DB0912DF-9CF0-A30D-B47D-9022984DE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11</xdr:row>
      <xdr:rowOff>57150</xdr:rowOff>
    </xdr:from>
    <xdr:to>
      <xdr:col>10</xdr:col>
      <xdr:colOff>571500</xdr:colOff>
      <xdr:row>21</xdr:row>
      <xdr:rowOff>161925</xdr:rowOff>
    </xdr:to>
    <xdr:graphicFrame macro="">
      <xdr:nvGraphicFramePr>
        <xdr:cNvPr id="7" name="Chart 6">
          <a:extLst>
            <a:ext uri="{FF2B5EF4-FFF2-40B4-BE49-F238E27FC236}">
              <a16:creationId xmlns:a16="http://schemas.microsoft.com/office/drawing/2014/main" id="{8F98B8C4-3B0C-8F36-1581-45AA869D7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76200</xdr:colOff>
      <xdr:row>22</xdr:row>
      <xdr:rowOff>85725</xdr:rowOff>
    </xdr:from>
    <xdr:to>
      <xdr:col>14</xdr:col>
      <xdr:colOff>76200</xdr:colOff>
      <xdr:row>35</xdr:row>
      <xdr:rowOff>133350</xdr:rowOff>
    </xdr:to>
    <mc:AlternateContent xmlns:mc="http://schemas.openxmlformats.org/markup-compatibility/2006">
      <mc:Choice xmlns:a14="http://schemas.microsoft.com/office/drawing/2010/main" Requires="a14">
        <xdr:graphicFrame macro="">
          <xdr:nvGraphicFramePr>
            <xdr:cNvPr id="8" name="Branch">
              <a:extLst>
                <a:ext uri="{FF2B5EF4-FFF2-40B4-BE49-F238E27FC236}">
                  <a16:creationId xmlns:a16="http://schemas.microsoft.com/office/drawing/2014/main" id="{198E9F29-0476-FED6-F1F8-9A34F73B6CCD}"/>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7620000" y="4276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66675</xdr:colOff>
      <xdr:row>32</xdr:row>
      <xdr:rowOff>152400</xdr:rowOff>
    </xdr:from>
    <xdr:to>
      <xdr:col>14</xdr:col>
      <xdr:colOff>66675</xdr:colOff>
      <xdr:row>46</xdr:row>
      <xdr:rowOff>9525</xdr:rowOff>
    </xdr:to>
    <mc:AlternateContent xmlns:mc="http://schemas.openxmlformats.org/markup-compatibility/2006">
      <mc:Choice xmlns:a14="http://schemas.microsoft.com/office/drawing/2010/main" Requires="a14">
        <xdr:graphicFrame macro="">
          <xdr:nvGraphicFramePr>
            <xdr:cNvPr id="9" name="Clean_City">
              <a:extLst>
                <a:ext uri="{FF2B5EF4-FFF2-40B4-BE49-F238E27FC236}">
                  <a16:creationId xmlns:a16="http://schemas.microsoft.com/office/drawing/2014/main" id="{5A60068B-0C5D-76F3-E44B-F62C904B3DF3}"/>
                </a:ext>
              </a:extLst>
            </xdr:cNvPr>
            <xdr:cNvGraphicFramePr/>
          </xdr:nvGraphicFramePr>
          <xdr:xfrm>
            <a:off x="0" y="0"/>
            <a:ext cx="0" cy="0"/>
          </xdr:xfrm>
          <a:graphic>
            <a:graphicData uri="http://schemas.microsoft.com/office/drawing/2010/slicer">
              <sle:slicer xmlns:sle="http://schemas.microsoft.com/office/drawing/2010/slicer" name="Clean_City"/>
            </a:graphicData>
          </a:graphic>
        </xdr:graphicFrame>
      </mc:Choice>
      <mc:Fallback>
        <xdr:sp macro="" textlink="">
          <xdr:nvSpPr>
            <xdr:cNvPr id="0" name=""/>
            <xdr:cNvSpPr>
              <a:spLocks noTextEdit="1"/>
            </xdr:cNvSpPr>
          </xdr:nvSpPr>
          <xdr:spPr>
            <a:xfrm>
              <a:off x="7610475" y="6248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200025</xdr:colOff>
      <xdr:row>2</xdr:row>
      <xdr:rowOff>180975</xdr:rowOff>
    </xdr:from>
    <xdr:to>
      <xdr:col>14</xdr:col>
      <xdr:colOff>200025</xdr:colOff>
      <xdr:row>10</xdr:row>
      <xdr:rowOff>171450</xdr:rowOff>
    </xdr:to>
    <mc:AlternateContent xmlns:mc="http://schemas.openxmlformats.org/markup-compatibility/2006">
      <mc:Choice xmlns:a14="http://schemas.microsoft.com/office/drawing/2010/main" Requires="a14">
        <xdr:graphicFrame macro="">
          <xdr:nvGraphicFramePr>
            <xdr:cNvPr id="10" name="Clean_Product_Name">
              <a:extLst>
                <a:ext uri="{FF2B5EF4-FFF2-40B4-BE49-F238E27FC236}">
                  <a16:creationId xmlns:a16="http://schemas.microsoft.com/office/drawing/2014/main" id="{40B02585-F595-67C6-9647-F6F62DC8416C}"/>
                </a:ext>
              </a:extLst>
            </xdr:cNvPr>
            <xdr:cNvGraphicFramePr/>
          </xdr:nvGraphicFramePr>
          <xdr:xfrm>
            <a:off x="0" y="0"/>
            <a:ext cx="0" cy="0"/>
          </xdr:xfrm>
          <a:graphic>
            <a:graphicData uri="http://schemas.microsoft.com/office/drawing/2010/slicer">
              <sle:slicer xmlns:sle="http://schemas.microsoft.com/office/drawing/2010/slicer" name="Clean_Product_Name"/>
            </a:graphicData>
          </a:graphic>
        </xdr:graphicFrame>
      </mc:Choice>
      <mc:Fallback>
        <xdr:sp macro="" textlink="">
          <xdr:nvSpPr>
            <xdr:cNvPr id="0" name=""/>
            <xdr:cNvSpPr>
              <a:spLocks noTextEdit="1"/>
            </xdr:cNvSpPr>
          </xdr:nvSpPr>
          <xdr:spPr>
            <a:xfrm>
              <a:off x="7743825" y="561975"/>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47</xdr:row>
      <xdr:rowOff>9525</xdr:rowOff>
    </xdr:from>
    <xdr:to>
      <xdr:col>14</xdr:col>
      <xdr:colOff>0</xdr:colOff>
      <xdr:row>60</xdr:row>
      <xdr:rowOff>57150</xdr:rowOff>
    </xdr:to>
    <mc:AlternateContent xmlns:mc="http://schemas.openxmlformats.org/markup-compatibility/2006">
      <mc:Choice xmlns:a14="http://schemas.microsoft.com/office/drawing/2010/main" Requires="a14">
        <xdr:graphicFrame macro="">
          <xdr:nvGraphicFramePr>
            <xdr:cNvPr id="11" name="Clean_payment_Method">
              <a:extLst>
                <a:ext uri="{FF2B5EF4-FFF2-40B4-BE49-F238E27FC236}">
                  <a16:creationId xmlns:a16="http://schemas.microsoft.com/office/drawing/2014/main" id="{8ACF39B5-51FF-3A2D-E305-77BF7F02FEB8}"/>
                </a:ext>
              </a:extLst>
            </xdr:cNvPr>
            <xdr:cNvGraphicFramePr/>
          </xdr:nvGraphicFramePr>
          <xdr:xfrm>
            <a:off x="0" y="0"/>
            <a:ext cx="0" cy="0"/>
          </xdr:xfrm>
          <a:graphic>
            <a:graphicData uri="http://schemas.microsoft.com/office/drawing/2010/slicer">
              <sle:slicer xmlns:sle="http://schemas.microsoft.com/office/drawing/2010/slicer" name="Clean_payment_Method"/>
            </a:graphicData>
          </a:graphic>
        </xdr:graphicFrame>
      </mc:Choice>
      <mc:Fallback>
        <xdr:sp macro="" textlink="">
          <xdr:nvSpPr>
            <xdr:cNvPr id="0" name=""/>
            <xdr:cNvSpPr>
              <a:spLocks noTextEdit="1"/>
            </xdr:cNvSpPr>
          </xdr:nvSpPr>
          <xdr:spPr>
            <a:xfrm>
              <a:off x="7543800" y="8963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4.697133217589" createdVersion="8" refreshedVersion="8" minRefreshableVersion="3" recordCount="1201" xr:uid="{2FF10E39-876D-4742-8180-9C0EDFF832AB}">
  <cacheSource type="worksheet">
    <worksheetSource ref="A1:AA1048576" sheet="WORKING DATA"/>
  </cacheSource>
  <cacheFields count="27">
    <cacheField name="Transaction_ID" numFmtId="0">
      <sharedItems containsBlank="1"/>
    </cacheField>
    <cacheField name="Date" numFmtId="165">
      <sharedItems containsBlank="1"/>
    </cacheField>
    <cacheField name="Customer_ID" numFmtId="0">
      <sharedItems containsBlank="1"/>
    </cacheField>
    <cacheField name="Customer_Name" numFmtId="0">
      <sharedItems containsBlank="1"/>
    </cacheField>
    <cacheField name="Clean_Customers_Name" numFmtId="0">
      <sharedItems containsBlank="1"/>
    </cacheField>
    <cacheField name="Gender" numFmtId="0">
      <sharedItems containsBlank="1"/>
    </cacheField>
    <cacheField name="Age" numFmtId="0">
      <sharedItems containsString="0" containsBlank="1" containsNumber="1" containsInteger="1" minValue="8" maxValue="130"/>
    </cacheField>
    <cacheField name="Clean_Age" numFmtId="0">
      <sharedItems containsBlank="1"/>
    </cacheField>
    <cacheField name="City" numFmtId="0">
      <sharedItems containsBlank="1"/>
    </cacheField>
    <cacheField name="Clean_City" numFmtId="0">
      <sharedItems containsBlank="1" count="6">
        <s v="Lagos"/>
        <s v="Ph"/>
        <s v="Enugu"/>
        <s v="Abuja"/>
        <s v="Kano"/>
        <m/>
      </sharedItems>
    </cacheField>
    <cacheField name="Product_Category" numFmtId="0">
      <sharedItems containsBlank="1"/>
    </cacheField>
    <cacheField name="Clean_Product_Name" numFmtId="0">
      <sharedItems containsBlank="1"/>
    </cacheField>
    <cacheField name="Product_Name" numFmtId="0">
      <sharedItems containsBlank="1"/>
    </cacheField>
    <cacheField name="Clean_Unit_Price" numFmtId="0">
      <sharedItems containsBlank="1"/>
    </cacheField>
    <cacheField name="Unit_Price" numFmtId="0">
      <sharedItems containsString="0" containsBlank="1" containsNumber="1" minValue="5.33" maxValue="499.74"/>
    </cacheField>
    <cacheField name="Quantity" numFmtId="0">
      <sharedItems containsString="0" containsBlank="1" containsNumber="1" containsInteger="1" minValue="-2" maxValue="42"/>
    </cacheField>
    <cacheField name="Clean_Quantity" numFmtId="0">
      <sharedItems containsString="0" containsBlank="1" containsNumber="1" containsInteger="1" minValue="1" maxValue="42"/>
    </cacheField>
    <cacheField name="Discount (%)" numFmtId="0">
      <sharedItems containsBlank="1" containsMixedTypes="1" containsNumber="1" containsInteger="1" minValue="-10" maxValue="120"/>
    </cacheField>
    <cacheField name="Clean_Discount" numFmtId="0">
      <sharedItems containsBlank="1"/>
    </cacheField>
    <cacheField name="Payment_Method" numFmtId="0">
      <sharedItems containsBlank="1"/>
    </cacheField>
    <cacheField name="Clean_payment_Method" numFmtId="0">
      <sharedItems containsBlank="1"/>
    </cacheField>
    <cacheField name="Salesperson" numFmtId="0">
      <sharedItems containsBlank="1"/>
    </cacheField>
    <cacheField name="Clean_salesperson" numFmtId="0">
      <sharedItems containsBlank="1" count="5">
        <s v="Dan"/>
        <s v="Chi"/>
        <s v="Ada"/>
        <s v="Ben"/>
        <m/>
      </sharedItems>
    </cacheField>
    <cacheField name="Branch" numFmtId="0">
      <sharedItems containsBlank="1" count="5">
        <s v="North"/>
        <s v="West"/>
        <s v="South"/>
        <s v="East"/>
        <m/>
      </sharedItems>
    </cacheField>
    <cacheField name="Customer_Rating" numFmtId="0">
      <sharedItems containsString="0" containsBlank="1" containsNumber="1" containsInteger="1" minValue="1" maxValue="5"/>
    </cacheField>
    <cacheField name="Missing Data check" numFmtId="0">
      <sharedItems containsBlank="1"/>
    </cacheField>
    <cacheField name="Total_sales" numFmtId="0">
      <sharedItems containsString="0" containsBlank="1" containsNumber="1" minValue="-935.5599999999996" maxValue="12924.95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4.701245601849" backgroundQuery="1" createdVersion="8" refreshedVersion="8" minRefreshableVersion="3" recordCount="0" supportSubquery="1" supportAdvancedDrill="1" xr:uid="{A33E579E-86A2-467B-BDE1-8E041532A5AF}">
  <cacheSource type="external" connectionId="1"/>
  <cacheFields count="2">
    <cacheField name="[Range].[Clean_payment_Method].[Clean_payment_Method]" caption="Clean_payment_Method" numFmtId="0" hierarchy="20" level="1">
      <sharedItems count="5">
        <s v=""/>
        <s v="Cash"/>
        <s v="Mobile Money"/>
        <s v="Pos"/>
        <s v="Transfer"/>
      </sharedItems>
    </cacheField>
    <cacheField name="[Measures].[Sum of Total_sales]" caption="Sum of Total_sales" numFmtId="0" hierarchy="29" level="32767"/>
  </cacheFields>
  <cacheHierarchies count="30">
    <cacheHierarchy uniqueName="[Range].[Transaction_ID]" caption="Transaction_ID" attribute="1" defaultMemberUniqueName="[Range].[Transaction_ID].[All]" allUniqueName="[Range].[Transaction_ID].[All]" dimensionUniqueName="[Range]" displayFolder="" count="0" memberValueDatatype="130" unbalanced="0"/>
    <cacheHierarchy uniqueName="[Range].[Date]" caption="Date" attribute="1" defaultMemberUniqueName="[Range].[Date].[All]" allUniqueName="[Range].[Date].[All]" dimensionUniqueName="[Range]" displayFolder="" count="0" memberValueDatatype="130"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lean_Customers_Name]" caption="Clean_Customers_Name" attribute="1" defaultMemberUniqueName="[Range].[Clean_Customers_Name].[All]" allUniqueName="[Range].[Clean_Customers_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lean_Age]" caption="Clean_Age" attribute="1" defaultMemberUniqueName="[Range].[Clean_Age].[All]" allUniqueName="[Range].[Clean_Ag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lean_City]" caption="Clean_City" attribute="1" defaultMemberUniqueName="[Range].[Clean_City].[All]" allUniqueName="[Range].[Clean_City].[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Clean_Product_Name]" caption="Clean_Product_Name" attribute="1" defaultMemberUniqueName="[Range].[Clean_Product_Name].[All]" allUniqueName="[Range].[Clean_Product_Name].[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lean_Unit_Price]" caption="Clean_Unit_Price" attribute="1" defaultMemberUniqueName="[Range].[Clean_Unit_Price].[All]" allUniqueName="[Range].[Clean_Unit_Price].[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Clean_Quantity]" caption="Clean_Quantity" attribute="1" defaultMemberUniqueName="[Range].[Clean_Quantity].[All]" allUniqueName="[Range].[Clean_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130" unbalanced="0"/>
    <cacheHierarchy uniqueName="[Range].[Clean_Discount]" caption="Clean_Discount" attribute="1" defaultMemberUniqueName="[Range].[Clean_Discount].[All]" allUniqueName="[Range].[Clean_Discount].[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Clean_payment_Method]" caption="Clean_payment_Method" attribute="1" defaultMemberUniqueName="[Range].[Clean_payment_Method].[All]" allUniqueName="[Range].[Clean_payment_Method].[All]" dimensionUniqueName="[Range]" displayFolder="" count="2" memberValueDatatype="130" unbalanced="0">
      <fieldsUsage count="2">
        <fieldUsage x="-1"/>
        <fieldUsage x="0"/>
      </fieldsUsage>
    </cacheHierarchy>
    <cacheHierarchy uniqueName="[Range].[Salesperson]" caption="Salesperson" attribute="1" defaultMemberUniqueName="[Range].[Salesperson].[All]" allUniqueName="[Range].[Salesperson].[All]" dimensionUniqueName="[Range]" displayFolder="" count="0" memberValueDatatype="130" unbalanced="0"/>
    <cacheHierarchy uniqueName="[Range].[Clean_salesperson]" caption="Clean_salesperson" attribute="1" defaultMemberUniqueName="[Range].[Clean_salesperson].[All]" allUniqueName="[Range].[Clean_salesperson].[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Customer_Rating]" caption="Customer_Rating" attribute="1" defaultMemberUniqueName="[Range].[Customer_Rating].[All]" allUniqueName="[Range].[Customer_Rating].[All]" dimensionUniqueName="[Range]" displayFolder="" count="0" memberValueDatatype="20" unbalanced="0"/>
    <cacheHierarchy uniqueName="[Range].[Missing Data check]" caption="Missing Data check" attribute="1" defaultMemberUniqueName="[Range].[Missing Data check].[All]" allUniqueName="[Range].[Missing Data check].[All]" dimensionUniqueName="[Range]" displayFolder="" count="0" memberValueDatatype="130" unbalanced="0"/>
    <cacheHierarchy uniqueName="[Range].[Total_sales]" caption="Total_sales" attribute="1" defaultMemberUniqueName="[Range].[Total_sales].[All]" allUniqueName="[Range].[Total_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4.730462962965" backgroundQuery="1" createdVersion="8" refreshedVersion="8" minRefreshableVersion="3" recordCount="0" supportSubquery="1" supportAdvancedDrill="1" xr:uid="{E9DDED36-25AA-453B-A350-A92B1BD26369}">
  <cacheSource type="external" connectionId="1"/>
  <cacheFields count="3">
    <cacheField name="[Range].[Clean_Product_Name].[Clean_Product_Name]" caption="Clean_Product_Name" numFmtId="0" hierarchy="11" level="1">
      <sharedItems count="2">
        <s v="Electronics"/>
        <s v="Fashion"/>
      </sharedItems>
    </cacheField>
    <cacheField name="[Measures].[Sum of Total_sales]" caption="Sum of Total_sales" numFmtId="0" hierarchy="29" level="32767"/>
    <cacheField name="[Range].[Clean_payment_Method].[Clean_payment_Method]" caption="Clean_payment_Method" numFmtId="0" hierarchy="20" level="1">
      <sharedItems containsSemiMixedTypes="0" containsNonDate="0" containsString="0"/>
    </cacheField>
  </cacheFields>
  <cacheHierarchies count="30">
    <cacheHierarchy uniqueName="[Range].[Transaction_ID]" caption="Transaction_ID" attribute="1" defaultMemberUniqueName="[Range].[Transaction_ID].[All]" allUniqueName="[Range].[Transaction_ID].[All]" dimensionUniqueName="[Range]" displayFolder="" count="2" memberValueDatatype="130" unbalanced="0"/>
    <cacheHierarchy uniqueName="[Range].[Date]" caption="Date" attribute="1" defaultMemberUniqueName="[Range].[Date].[All]" allUniqueName="[Range].[Date].[All]" dimensionUniqueName="[Range]" displayFolder="" count="2" memberValueDatatype="130" unbalanced="0"/>
    <cacheHierarchy uniqueName="[Range].[Customer_ID]" caption="Customer_ID" attribute="1" defaultMemberUniqueName="[Range].[Customer_ID].[All]" allUniqueName="[Range].[Customer_ID].[All]" dimensionUniqueName="[Range]" displayFolder="" count="2" memberValueDatatype="130" unbalanced="0"/>
    <cacheHierarchy uniqueName="[Range].[Customer_Name]" caption="Customer_Name" attribute="1" defaultMemberUniqueName="[Range].[Customer_Name].[All]" allUniqueName="[Range].[Customer_Name].[All]" dimensionUniqueName="[Range]" displayFolder="" count="2" memberValueDatatype="130" unbalanced="0"/>
    <cacheHierarchy uniqueName="[Range].[Clean_Customers_Name]" caption="Clean_Customers_Name" attribute="1" defaultMemberUniqueName="[Range].[Clean_Customers_Name].[All]" allUniqueName="[Range].[Clean_Customers_Name].[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Clean_Age]" caption="Clean_Age" attribute="1" defaultMemberUniqueName="[Range].[Clean_Age].[All]" allUniqueName="[Range].[Clean_Ag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Clean_City]" caption="Clean_City" attribute="1" defaultMemberUniqueName="[Range].[Clean_City].[All]" allUniqueName="[Range].[Clean_City].[All]" dimensionUniqueName="[Range]" displayFolder="" count="2" memberValueDatatype="130" unbalanced="0"/>
    <cacheHierarchy uniqueName="[Range].[Product_Category]" caption="Product_Category" attribute="1" defaultMemberUniqueName="[Range].[Product_Category].[All]" allUniqueName="[Range].[Product_Category].[All]" dimensionUniqueName="[Range]" displayFolder="" count="2" memberValueDatatype="130" unbalanced="0"/>
    <cacheHierarchy uniqueName="[Range].[Clean_Product_Name]" caption="Clean_Product_Name" attribute="1" defaultMemberUniqueName="[Range].[Clean_Product_Name].[All]" allUniqueName="[Range].[Clean_Product_Name].[All]" dimensionUniqueName="[Range]" displayFolder="" count="2" memberValueDatatype="130" unbalanced="0">
      <fieldsUsage count="2">
        <fieldUsage x="-1"/>
        <fieldUsage x="0"/>
      </fieldsUsage>
    </cacheHierarchy>
    <cacheHierarchy uniqueName="[Range].[Product_Name]" caption="Product_Name" attribute="1" defaultMemberUniqueName="[Range].[Product_Name].[All]" allUniqueName="[Range].[Product_Name].[All]" dimensionUniqueName="[Range]" displayFolder="" count="2" memberValueDatatype="130" unbalanced="0"/>
    <cacheHierarchy uniqueName="[Range].[Clean_Unit_Price]" caption="Clean_Unit_Price" attribute="1" defaultMemberUniqueName="[Range].[Clean_Unit_Price].[All]" allUniqueName="[Range].[Clean_Unit_Price].[All]" dimensionUniqueName="[Range]" displayFolder="" count="2" memberValueDatatype="130" unbalanced="0"/>
    <cacheHierarchy uniqueName="[Range].[Unit_Price]" caption="Unit_Price" attribute="1" defaultMemberUniqueName="[Range].[Unit_Price].[All]" allUniqueName="[Range].[Unit_Price].[All]" dimensionUniqueName="[Range]" displayFolder="" count="2" memberValueDatatype="5" unbalanced="0"/>
    <cacheHierarchy uniqueName="[Range].[Quantity]" caption="Quantity" attribute="1" defaultMemberUniqueName="[Range].[Quantity].[All]" allUniqueName="[Range].[Quantity].[All]" dimensionUniqueName="[Range]" displayFolder="" count="2" memberValueDatatype="20" unbalanced="0"/>
    <cacheHierarchy uniqueName="[Range].[Clean_Quantity]" caption="Clean_Quantity" attribute="1" defaultMemberUniqueName="[Range].[Clean_Quantity].[All]" allUniqueName="[Range].[Clean_Quantity].[All]" dimensionUniqueName="[Range]" displayFolder="" count="2" memberValueDatatype="20" unbalanced="0"/>
    <cacheHierarchy uniqueName="[Range].[Discount (%)]" caption="Discount (%)" attribute="1" defaultMemberUniqueName="[Range].[Discount (%)].[All]" allUniqueName="[Range].[Discount (%)].[All]" dimensionUniqueName="[Range]" displayFolder="" count="2" memberValueDatatype="130" unbalanced="0"/>
    <cacheHierarchy uniqueName="[Range].[Clean_Discount]" caption="Clean_Discount" attribute="1" defaultMemberUniqueName="[Range].[Clean_Discount].[All]" allUniqueName="[Range].[Clean_Discount].[All]" dimensionUniqueName="[Range]" displayFolder="" count="2" memberValueDatatype="13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Clean_payment_Method]" caption="Clean_payment_Method" attribute="1" defaultMemberUniqueName="[Range].[Clean_payment_Method].[All]" allUniqueName="[Range].[Clean_payment_Method].[All]" dimensionUniqueName="[Range]" displayFolder="" count="2" memberValueDatatype="130" unbalanced="0">
      <fieldsUsage count="2">
        <fieldUsage x="-1"/>
        <fieldUsage x="2"/>
      </fieldsUsage>
    </cacheHierarchy>
    <cacheHierarchy uniqueName="[Range].[Salesperson]" caption="Salesperson" attribute="1" defaultMemberUniqueName="[Range].[Salesperson].[All]" allUniqueName="[Range].[Salesperson].[All]" dimensionUniqueName="[Range]" displayFolder="" count="2" memberValueDatatype="130" unbalanced="0"/>
    <cacheHierarchy uniqueName="[Range].[Clean_salesperson]" caption="Clean_salesperson" attribute="1" defaultMemberUniqueName="[Range].[Clean_salesperson].[All]" allUniqueName="[Range].[Clean_salesperson].[All]" dimensionUniqueName="[Range]" displayFolder="" count="2" memberValueDatatype="130" unbalanced="0"/>
    <cacheHierarchy uniqueName="[Range].[Branch]" caption="Branch" attribute="1" defaultMemberUniqueName="[Range].[Branch].[All]" allUniqueName="[Range].[Branch].[All]" dimensionUniqueName="[Range]" displayFolder="" count="2" memberValueDatatype="130" unbalanced="0"/>
    <cacheHierarchy uniqueName="[Range].[Customer_Rating]" caption="Customer_Rating" attribute="1" defaultMemberUniqueName="[Range].[Customer_Rating].[All]" allUniqueName="[Range].[Customer_Rating].[All]" dimensionUniqueName="[Range]" displayFolder="" count="2" memberValueDatatype="20" unbalanced="0"/>
    <cacheHierarchy uniqueName="[Range].[Missing Data check]" caption="Missing Data check" attribute="1" defaultMemberUniqueName="[Range].[Missing Data check].[All]" allUniqueName="[Range].[Missing Data check].[All]" dimensionUniqueName="[Range]" displayFolder="" count="2" memberValueDatatype="130" unbalanced="0"/>
    <cacheHierarchy uniqueName="[Range].[Total_sales]" caption="Total_sales" attribute="1" defaultMemberUniqueName="[Range].[Total_sales].[All]" allUniqueName="[Range].[Total_sales].[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24.724104629633" backgroundQuery="1" createdVersion="3" refreshedVersion="8" minRefreshableVersion="3" recordCount="0" supportSubquery="1" supportAdvancedDrill="1" xr:uid="{0B1FFF87-252E-47D9-9870-7B95FF1D5D07}">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Range].[Transaction_ID]" caption="Transaction_ID" attribute="1" defaultMemberUniqueName="[Range].[Transaction_ID].[All]" allUniqueName="[Range].[Transaction_ID].[All]" dimensionUniqueName="[Range]" displayFolder="" count="0" memberValueDatatype="130" unbalanced="0"/>
    <cacheHierarchy uniqueName="[Range].[Date]" caption="Date" attribute="1" defaultMemberUniqueName="[Range].[Date].[All]" allUniqueName="[Range].[Date].[All]" dimensionUniqueName="[Range]" displayFolder="" count="0" memberValueDatatype="130" unbalanced="0"/>
    <cacheHierarchy uniqueName="[Range].[Customer_ID]" caption="Customer_ID" attribute="1" defaultMemberUniqueName="[Range].[Customer_ID].[All]" allUniqueName="[Range].[Customer_ID].[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lean_Customers_Name]" caption="Clean_Customers_Name" attribute="1" defaultMemberUniqueName="[Range].[Clean_Customers_Name].[All]" allUniqueName="[Range].[Clean_Customers_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lean_Age]" caption="Clean_Age" attribute="1" defaultMemberUniqueName="[Range].[Clean_Age].[All]" allUniqueName="[Range].[Clean_Ag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Clean_City]" caption="Clean_City" attribute="1" defaultMemberUniqueName="[Range].[Clean_City].[All]" allUniqueName="[Range].[Clean_City].[All]" dimensionUniqueName="[Range]" displayFolder="" count="2" memberValueDatatype="13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Clean_Product_Name]" caption="Clean_Product_Name" attribute="1" defaultMemberUniqueName="[Range].[Clean_Product_Name].[All]" allUniqueName="[Range].[Clean_Product_Name].[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lean_Unit_Price]" caption="Clean_Unit_Price" attribute="1" defaultMemberUniqueName="[Range].[Clean_Unit_Price].[All]" allUniqueName="[Range].[Clean_Unit_Price].[All]" dimensionUniqueName="[Range]" displayFolder="" count="0" memberValueDatatype="130" unbalanced="0"/>
    <cacheHierarchy uniqueName="[Range].[Unit_Price]" caption="Unit_Price" attribute="1" defaultMemberUniqueName="[Range].[Unit_Price].[All]" allUniqueName="[Range].[Unit_Price].[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Clean_Quantity]" caption="Clean_Quantity" attribute="1" defaultMemberUniqueName="[Range].[Clean_Quantity].[All]" allUniqueName="[Range].[Clean_Quantity].[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130" unbalanced="0"/>
    <cacheHierarchy uniqueName="[Range].[Clean_Discount]" caption="Clean_Discount" attribute="1" defaultMemberUniqueName="[Range].[Clean_Discount].[All]" allUniqueName="[Range].[Clean_Discount].[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Clean_payment_Method]" caption="Clean_payment_Method" attribute="1" defaultMemberUniqueName="[Range].[Clean_payment_Method].[All]" allUniqueName="[Range].[Clean_payment_Method].[All]" dimensionUniqueName="[Range]" displayFolder="" count="2" memberValueDatatype="130" unbalanced="0"/>
    <cacheHierarchy uniqueName="[Range].[Salesperson]" caption="Salesperson" attribute="1" defaultMemberUniqueName="[Range].[Salesperson].[All]" allUniqueName="[Range].[Salesperson].[All]" dimensionUniqueName="[Range]" displayFolder="" count="0" memberValueDatatype="130" unbalanced="0"/>
    <cacheHierarchy uniqueName="[Range].[Clean_salesperson]" caption="Clean_salesperson" attribute="1" defaultMemberUniqueName="[Range].[Clean_salesperson].[All]" allUniqueName="[Range].[Clean_salesperson].[All]" dimensionUniqueName="[Range]" displayFolder="" count="0" memberValueDatatype="130" unbalanced="0"/>
    <cacheHierarchy uniqueName="[Range].[Branch]" caption="Branch" attribute="1" defaultMemberUniqueName="[Range].[Branch].[All]" allUniqueName="[Range].[Branch].[All]" dimensionUniqueName="[Range]" displayFolder="" count="2" memberValueDatatype="130" unbalanced="0"/>
    <cacheHierarchy uniqueName="[Range].[Customer_Rating]" caption="Customer_Rating" attribute="1" defaultMemberUniqueName="[Range].[Customer_Rating].[All]" allUniqueName="[Range].[Customer_Rating].[All]" dimensionUniqueName="[Range]" displayFolder="" count="0" memberValueDatatype="20" unbalanced="0"/>
    <cacheHierarchy uniqueName="[Range].[Missing Data check]" caption="Missing Data check" attribute="1" defaultMemberUniqueName="[Range].[Missing Data check].[All]" allUniqueName="[Range].[Missing Data check].[All]" dimensionUniqueName="[Range]" displayFolder="" count="0" memberValueDatatype="130" unbalanced="0"/>
    <cacheHierarchy uniqueName="[Range].[Total_sales]" caption="Total_sales" attribute="1" defaultMemberUniqueName="[Range].[Total_sales].[All]" allUniqueName="[Range].[Total_sales].[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sales]" caption="Sum of Total_sales" measure="1" displayFolder="" measureGroup="Range"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66920624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T100002"/>
    <s v="2025-10-06"/>
    <s v="C9114"/>
    <s v="Peter"/>
    <s v="Peter"/>
    <s v="Male"/>
    <n v="130"/>
    <s v="Invalid"/>
    <s v="lagos"/>
    <x v="0"/>
    <s v="Fashion"/>
    <s v="Fashion"/>
    <s v="Shirt"/>
    <s v="Shirt"/>
    <n v="237.91"/>
    <n v="-2"/>
    <n v="1"/>
    <n v="-10"/>
    <s v="invalid"/>
    <s v="POS"/>
    <s v="Pos"/>
    <s v="Dan"/>
    <x v="0"/>
    <x v="0"/>
    <n v="4"/>
    <s v="ok"/>
    <n v="261.70100000000002"/>
  </r>
  <r>
    <s v="T100003"/>
    <s v="2025-02-22"/>
    <s v="C7218"/>
    <s v="Peter"/>
    <s v="Peter"/>
    <s v="Male"/>
    <n v="22"/>
    <s v="Valid"/>
    <s v="lagos"/>
    <x v="0"/>
    <s v="Sports"/>
    <s v="Sports"/>
    <s v="Ball"/>
    <s v="Ball"/>
    <n v="103.48"/>
    <n v="-2"/>
    <n v="1"/>
    <n v="0"/>
    <s v="Valid"/>
    <m/>
    <s v=""/>
    <s v="Dan"/>
    <x v="0"/>
    <x v="1"/>
    <n v="4"/>
    <s v="ok"/>
    <n v="103.48"/>
  </r>
  <r>
    <s v="T100004"/>
    <s v="2026-04-20"/>
    <s v="C9957"/>
    <s v="Aisha"/>
    <s v="Aisha"/>
    <s v="Male"/>
    <n v="55"/>
    <s v="Valid"/>
    <s v="PH"/>
    <x v="1"/>
    <s v="Electronics"/>
    <s v="Electronics"/>
    <s v="Phone"/>
    <s v="Phone"/>
    <n v="436.14"/>
    <n v="-2"/>
    <n v="1"/>
    <n v="10"/>
    <s v="Valid"/>
    <s v="POS"/>
    <s v="Pos"/>
    <s v="Chi"/>
    <x v="1"/>
    <x v="1"/>
    <m/>
    <s v="ok"/>
    <n v="392.52600000000001"/>
  </r>
  <r>
    <s v="T100005"/>
    <s v="2026-02-21"/>
    <s v="C1077"/>
    <s v="  James "/>
    <s v="James"/>
    <s v="Female"/>
    <n v="130"/>
    <s v="Invalid"/>
    <s v="Enugu"/>
    <x v="2"/>
    <s v="Groceries"/>
    <s v="Groceries"/>
    <s v="Rice"/>
    <s v="Rice"/>
    <n v="430.25"/>
    <n v="-2"/>
    <n v="1"/>
    <n v="10"/>
    <s v="Valid"/>
    <m/>
    <s v=""/>
    <s v="Chi"/>
    <x v="1"/>
    <x v="1"/>
    <n v="2"/>
    <s v="ok"/>
    <n v="387.22500000000002"/>
  </r>
  <r>
    <s v="T100006"/>
    <s v="2025-10-13"/>
    <s v="C6441"/>
    <m/>
    <s v=""/>
    <s v="Female"/>
    <n v="37"/>
    <s v="Valid"/>
    <s v="lagos"/>
    <x v="0"/>
    <s v="Home"/>
    <s v="Home"/>
    <s v="Chair"/>
    <s v="Chair"/>
    <n v="44.01"/>
    <n v="-2"/>
    <n v="1"/>
    <n v="120"/>
    <s v="invalid"/>
    <s v="POS"/>
    <s v="Pos"/>
    <s v="Dan"/>
    <x v="0"/>
    <x v="1"/>
    <n v="4"/>
    <s v="Missing"/>
    <n v="-8.8019999999999978"/>
  </r>
  <r>
    <s v="T100007"/>
    <s v="10/11/2025"/>
    <s v="C6943"/>
    <s v="Aisha"/>
    <s v="Aisha"/>
    <s v="Female"/>
    <n v="130"/>
    <s v="Invalid"/>
    <s v="lagos"/>
    <x v="0"/>
    <s v="Sports"/>
    <s v="Sports"/>
    <s v="Ball"/>
    <s v="Ball"/>
    <n v="356.22"/>
    <n v="-2"/>
    <n v="1"/>
    <n v="5"/>
    <s v="Valid"/>
    <s v="Mobile Money"/>
    <s v="Mobile Money"/>
    <s v="Chi"/>
    <x v="1"/>
    <x v="1"/>
    <n v="1"/>
    <s v="ok"/>
    <n v="338.40899999999999"/>
  </r>
  <r>
    <s v="T100008"/>
    <s v="2025-08-17"/>
    <s v="C1101"/>
    <s v="John"/>
    <s v="John"/>
    <s v="Female"/>
    <n v="8"/>
    <s v="Invalid"/>
    <s v="Enugu"/>
    <x v="2"/>
    <s v="Electronics"/>
    <s v="Electronics"/>
    <s v="Phone"/>
    <s v="Phone"/>
    <n v="323.16000000000003"/>
    <n v="4"/>
    <n v="4"/>
    <n v="120"/>
    <s v="invalid"/>
    <s v="Transfer"/>
    <s v="Transfer"/>
    <s v="Chi"/>
    <x v="1"/>
    <x v="2"/>
    <m/>
    <s v="ok"/>
    <n v="-258.52799999999996"/>
  </r>
  <r>
    <s v="T100009"/>
    <s v="2025-04-07"/>
    <s v="C8179"/>
    <s v="Mary"/>
    <s v="Mary"/>
    <s v="Female"/>
    <n v="30"/>
    <s v="Valid"/>
    <s v="Abuja"/>
    <x v="3"/>
    <s v="Sports"/>
    <s v="Sports"/>
    <s v="Ball"/>
    <s v="Ball"/>
    <n v="126.25"/>
    <n v="7"/>
    <n v="7"/>
    <n v="0"/>
    <s v="Valid"/>
    <m/>
    <s v=""/>
    <s v="Dan"/>
    <x v="0"/>
    <x v="1"/>
    <n v="4"/>
    <s v="ok"/>
    <n v="883.75"/>
  </r>
  <r>
    <s v="T100010"/>
    <s v="2025-04-01"/>
    <s v="C2862"/>
    <s v="Aisha"/>
    <s v="Aisha"/>
    <s v="Male"/>
    <n v="8"/>
    <s v="Invalid"/>
    <s v="Abuja"/>
    <x v="3"/>
    <s v="Sports"/>
    <s v="Sports"/>
    <s v="Ball"/>
    <s v="Ball"/>
    <n v="233.45"/>
    <n v="8"/>
    <n v="8"/>
    <n v="10"/>
    <s v="Valid"/>
    <m/>
    <s v=""/>
    <s v="Chi"/>
    <x v="1"/>
    <x v="0"/>
    <n v="1"/>
    <s v="ok"/>
    <n v="1680.84"/>
  </r>
  <r>
    <s v="T100011"/>
    <s v="2025-09-10"/>
    <s v="C4724"/>
    <s v="Peter"/>
    <s v="Peter"/>
    <s v="Female"/>
    <n v="8"/>
    <s v="Invalid"/>
    <s v="PH"/>
    <x v="1"/>
    <s v="Electronics"/>
    <s v="Electronics"/>
    <s v="Phone"/>
    <s v="Phone"/>
    <n v="150.57"/>
    <n v="-2"/>
    <n v="1"/>
    <n v="10"/>
    <s v="Valid"/>
    <s v="Cash"/>
    <s v="Cash"/>
    <s v="Chi"/>
    <x v="1"/>
    <x v="1"/>
    <n v="4"/>
    <s v="ok"/>
    <n v="135.51300000000001"/>
  </r>
  <r>
    <s v="T100012"/>
    <s v="2025-02-07"/>
    <s v="C2129"/>
    <s v="  James "/>
    <s v="James"/>
    <s v="Female"/>
    <n v="8"/>
    <s v="Invalid"/>
    <s v="lagos"/>
    <x v="0"/>
    <s v="Fashion"/>
    <s v="Fashion"/>
    <s v="Shirt"/>
    <s v="Shirt"/>
    <n v="49.62"/>
    <n v="7"/>
    <n v="7"/>
    <n v="120"/>
    <s v="invalid"/>
    <s v="Mobile Money"/>
    <s v="Mobile Money"/>
    <s v="Ada"/>
    <x v="2"/>
    <x v="3"/>
    <n v="4"/>
    <s v="ok"/>
    <n v="-69.467999999999975"/>
  </r>
  <r>
    <s v="T100013"/>
    <s v="2025-06-09"/>
    <s v="C4291"/>
    <s v="Peter"/>
    <s v="Peter"/>
    <s v="Male"/>
    <n v="130"/>
    <s v="Invalid"/>
    <s v="Kano"/>
    <x v="4"/>
    <s v="groceris"/>
    <s v="Groceris"/>
    <s v="Rice"/>
    <s v="Rice"/>
    <n v="409.19"/>
    <n v="-2"/>
    <n v="1"/>
    <n v="120"/>
    <s v="invalid"/>
    <s v="POS"/>
    <s v="Pos"/>
    <s v="Ada"/>
    <x v="2"/>
    <x v="1"/>
    <n v="5"/>
    <s v="ok"/>
    <n v="-81.83799999999998"/>
  </r>
  <r>
    <s v="T100014"/>
    <s v="12/04/2025"/>
    <s v="C1596"/>
    <s v="John"/>
    <s v="John"/>
    <s v="Male"/>
    <n v="130"/>
    <s v="Invalid"/>
    <s v="Kano"/>
    <x v="4"/>
    <s v="Home"/>
    <s v="Home"/>
    <s v="Chair"/>
    <s v="Chair"/>
    <n v="126.04"/>
    <n v="-2"/>
    <n v="1"/>
    <n v="15"/>
    <s v="Valid"/>
    <s v="Transfer"/>
    <s v="Transfer"/>
    <s v="Ben"/>
    <x v="3"/>
    <x v="2"/>
    <n v="4"/>
    <s v="ok"/>
    <n v="107.134"/>
  </r>
  <r>
    <s v="T100015"/>
    <s v="2025-10-21"/>
    <s v="C1752"/>
    <s v="Aisha"/>
    <s v="Aisha"/>
    <s v="Female"/>
    <n v="130"/>
    <s v="Invalid"/>
    <s v="lagos"/>
    <x v="0"/>
    <s v="Groceries"/>
    <s v="Groceries"/>
    <s v="Rice"/>
    <s v="Rice"/>
    <n v="477.09"/>
    <n v="-2"/>
    <n v="1"/>
    <n v="0"/>
    <s v="Valid"/>
    <s v="Mobile Money"/>
    <s v="Mobile Money"/>
    <s v="Dan"/>
    <x v="0"/>
    <x v="3"/>
    <n v="4"/>
    <s v="ok"/>
    <n v="477.09"/>
  </r>
  <r>
    <s v="T100016"/>
    <s v="2025-05-25"/>
    <s v="C5577"/>
    <s v="Mary"/>
    <s v="Mary"/>
    <s v="Male"/>
    <n v="130"/>
    <s v="Invalid"/>
    <s v="lagos"/>
    <x v="0"/>
    <s v="groceris"/>
    <s v="Groceris"/>
    <s v="Rice"/>
    <s v="Rice"/>
    <n v="332"/>
    <n v="-2"/>
    <n v="1"/>
    <n v="5"/>
    <s v="Valid"/>
    <s v="Transfer"/>
    <s v="Transfer"/>
    <s v="Dan"/>
    <x v="0"/>
    <x v="3"/>
    <n v="4"/>
    <s v="ok"/>
    <n v="315.39999999999998"/>
  </r>
  <r>
    <s v="T100017"/>
    <s v="2025-01-24"/>
    <s v="C8070"/>
    <s v="Grace"/>
    <s v="Grace"/>
    <s v="Male"/>
    <n v="28"/>
    <s v="Valid"/>
    <s v="lagos"/>
    <x v="0"/>
    <s v="groceris"/>
    <s v="Groceris"/>
    <s v="Rice"/>
    <s v="Rice"/>
    <n v="484.12"/>
    <n v="1"/>
    <n v="1"/>
    <n v="-10"/>
    <s v="invalid"/>
    <s v="POS"/>
    <s v="Pos"/>
    <s v="Dan"/>
    <x v="0"/>
    <x v="0"/>
    <n v="2"/>
    <s v="ok"/>
    <n v="532.53200000000004"/>
  </r>
  <r>
    <s v="T100018"/>
    <s v="2026-02-22"/>
    <s v="C3714"/>
    <m/>
    <s v=""/>
    <s v="Female"/>
    <n v="8"/>
    <s v="Invalid"/>
    <s v="Kano"/>
    <x v="4"/>
    <s v="groceris"/>
    <s v="Groceris"/>
    <s v="Rice"/>
    <s v="Rice"/>
    <n v="487.9"/>
    <n v="6"/>
    <n v="6"/>
    <n v="-10"/>
    <s v="invalid"/>
    <s v="Transfer"/>
    <s v="Transfer"/>
    <s v="Ada"/>
    <x v="2"/>
    <x v="2"/>
    <n v="2"/>
    <s v="Missing"/>
    <n v="3220.14"/>
  </r>
  <r>
    <s v="T100019"/>
    <s v="2025-07-11"/>
    <s v="C4372"/>
    <s v="Peter"/>
    <s v="Peter"/>
    <s v="Female"/>
    <n v="43"/>
    <s v="Valid"/>
    <s v="Abuja"/>
    <x v="3"/>
    <s v="Sports"/>
    <s v="Sports"/>
    <s v="Ball"/>
    <s v="Ball"/>
    <n v="398.62"/>
    <n v="-2"/>
    <n v="1"/>
    <n v="10"/>
    <s v="Valid"/>
    <m/>
    <s v=""/>
    <s v="Ben"/>
    <x v="3"/>
    <x v="1"/>
    <n v="1"/>
    <s v="ok"/>
    <n v="358.75800000000004"/>
  </r>
  <r>
    <s v="T100020"/>
    <s v="2026-02-25"/>
    <s v="C1826"/>
    <s v="Mary"/>
    <s v="Mary"/>
    <s v="Male"/>
    <n v="130"/>
    <s v="Invalid"/>
    <s v="Kano"/>
    <x v="4"/>
    <s v="groceris"/>
    <s v="Groceris"/>
    <s v="Rice"/>
    <s v="Rice"/>
    <n v="68.67"/>
    <n v="4"/>
    <n v="4"/>
    <n v="10"/>
    <s v="Valid"/>
    <m/>
    <s v=""/>
    <s v="Ben"/>
    <x v="3"/>
    <x v="1"/>
    <m/>
    <s v="ok"/>
    <n v="247.21200000000002"/>
  </r>
  <r>
    <s v="T100021"/>
    <s v="02/07/2025"/>
    <s v="C8532"/>
    <s v="John"/>
    <s v="John"/>
    <s v="Male"/>
    <n v="8"/>
    <s v="Invalid"/>
    <s v="Abuja"/>
    <x v="3"/>
    <s v="Fashion"/>
    <s v="Fashion"/>
    <s v="Shirt"/>
    <s v="Shirt"/>
    <n v="477.46"/>
    <n v="-2"/>
    <n v="1"/>
    <n v="-10"/>
    <s v="invalid"/>
    <s v="Cash"/>
    <s v="Cash"/>
    <s v="Ada"/>
    <x v="2"/>
    <x v="1"/>
    <n v="2"/>
    <s v="ok"/>
    <n v="525.20600000000002"/>
  </r>
  <r>
    <s v="T100022"/>
    <s v="2025-10-19"/>
    <s v="C1462"/>
    <s v="David"/>
    <s v="David"/>
    <s v="Male"/>
    <n v="130"/>
    <s v="Invalid"/>
    <s v="Enugu"/>
    <x v="2"/>
    <s v="Sports"/>
    <s v="Sports"/>
    <s v="Ball"/>
    <s v="Ball"/>
    <n v="29.5"/>
    <n v="-2"/>
    <n v="1"/>
    <n v="120"/>
    <s v="invalid"/>
    <s v="Cash"/>
    <s v="Cash"/>
    <s v="Dan"/>
    <x v="0"/>
    <x v="2"/>
    <n v="3"/>
    <s v="ok"/>
    <n v="-5.8999999999999986"/>
  </r>
  <r>
    <s v="T100023"/>
    <s v="2025-08-16"/>
    <s v="C6481"/>
    <s v="  James "/>
    <s v="James"/>
    <s v="Male"/>
    <n v="8"/>
    <s v="Invalid"/>
    <s v="lagos"/>
    <x v="0"/>
    <s v="Beauty"/>
    <s v="Beauty"/>
    <s v="Cream"/>
    <s v="Cream"/>
    <n v="134.08000000000001"/>
    <n v="5"/>
    <n v="5"/>
    <n v="0"/>
    <s v="Valid"/>
    <m/>
    <s v=""/>
    <s v="Ben"/>
    <x v="3"/>
    <x v="2"/>
    <n v="2"/>
    <s v="ok"/>
    <n v="670.40000000000009"/>
  </r>
  <r>
    <s v="T100024"/>
    <s v="2025-09-24"/>
    <s v="C2962"/>
    <s v="Grace"/>
    <s v="Grace"/>
    <s v="Female"/>
    <n v="130"/>
    <s v="Invalid"/>
    <s v="Abuja"/>
    <x v="3"/>
    <s v="Fashion"/>
    <s v="Fashion"/>
    <s v="Shirt"/>
    <s v="Shirt"/>
    <n v="388.4"/>
    <n v="-2"/>
    <n v="1"/>
    <n v="15"/>
    <s v="Valid"/>
    <s v="Mobile Money"/>
    <s v="Mobile Money"/>
    <s v="Ada"/>
    <x v="2"/>
    <x v="0"/>
    <n v="1"/>
    <s v="ok"/>
    <n v="330.14"/>
  </r>
  <r>
    <s v="T100025"/>
    <s v="2025-06-10"/>
    <s v="C3575"/>
    <s v="  James "/>
    <s v="James"/>
    <s v="Female"/>
    <n v="130"/>
    <s v="Invalid"/>
    <s v="Kano"/>
    <x v="4"/>
    <s v="Fashion"/>
    <s v="Fashion"/>
    <s v="Shirt"/>
    <s v="Shirt"/>
    <n v="279.11"/>
    <n v="-2"/>
    <n v="1"/>
    <n v="10"/>
    <s v="Valid"/>
    <s v="Transfer"/>
    <s v="Transfer"/>
    <s v="Ben"/>
    <x v="3"/>
    <x v="1"/>
    <m/>
    <s v="ok"/>
    <n v="251.19900000000001"/>
  </r>
  <r>
    <s v="T100026"/>
    <s v="2025-05-26"/>
    <s v="C5211"/>
    <s v="David"/>
    <s v="David"/>
    <s v="Male"/>
    <n v="130"/>
    <s v="Invalid"/>
    <s v="Abuja"/>
    <x v="3"/>
    <s v="Beauty"/>
    <s v="Beauty"/>
    <s v="Cream"/>
    <s v="Cream"/>
    <n v="205.37"/>
    <n v="-2"/>
    <n v="1"/>
    <n v="-10"/>
    <s v="invalid"/>
    <s v="Cash"/>
    <s v="Cash"/>
    <s v="Ada"/>
    <x v="2"/>
    <x v="0"/>
    <m/>
    <s v="ok"/>
    <n v="225.90700000000001"/>
  </r>
  <r>
    <s v="T100027"/>
    <s v="2025-05-27"/>
    <s v="C5215"/>
    <s v="Aisha"/>
    <s v="Aisha"/>
    <s v="Female"/>
    <n v="58"/>
    <s v="Valid"/>
    <s v="PH"/>
    <x v="1"/>
    <s v="groceris"/>
    <s v="Groceris"/>
    <s v="Rice"/>
    <s v="Rice"/>
    <n v="72.55"/>
    <n v="6"/>
    <n v="6"/>
    <n v="15"/>
    <s v="Valid"/>
    <s v="Mobile Money"/>
    <s v="Mobile Money"/>
    <s v="Ben"/>
    <x v="3"/>
    <x v="3"/>
    <n v="1"/>
    <s v="ok"/>
    <n v="370.00499999999994"/>
  </r>
  <r>
    <s v="T100028"/>
    <s v="07/01/2025"/>
    <s v="C8821"/>
    <s v="Mary"/>
    <s v="Mary"/>
    <s v="Female"/>
    <n v="130"/>
    <s v="Invalid"/>
    <s v="lagos"/>
    <x v="0"/>
    <s v="groceris"/>
    <s v="Groceris"/>
    <s v="Rice"/>
    <s v="Rice"/>
    <n v="275.95"/>
    <n v="-2"/>
    <n v="1"/>
    <n v="10"/>
    <s v="Valid"/>
    <m/>
    <s v=""/>
    <s v="Dan"/>
    <x v="0"/>
    <x v="1"/>
    <n v="3"/>
    <s v="ok"/>
    <n v="248.35499999999999"/>
  </r>
  <r>
    <s v="T100029"/>
    <s v="2025-10-19"/>
    <s v="C2182"/>
    <s v="Aisha"/>
    <s v="Aisha"/>
    <s v="Female"/>
    <n v="8"/>
    <s v="Invalid"/>
    <s v="Enugu"/>
    <x v="2"/>
    <s v="Beauty"/>
    <s v="Beauty"/>
    <s v="Cream"/>
    <s v="Cream"/>
    <n v="161.33000000000001"/>
    <n v="4"/>
    <n v="4"/>
    <n v="10"/>
    <s v="Valid"/>
    <s v="Cash"/>
    <s v="Cash"/>
    <s v="Ben"/>
    <x v="3"/>
    <x v="3"/>
    <n v="3"/>
    <s v="ok"/>
    <n v="580.78800000000001"/>
  </r>
  <r>
    <s v="T100030"/>
    <s v="2026-01-06"/>
    <s v="C5052"/>
    <m/>
    <s v=""/>
    <s v="Female"/>
    <n v="58"/>
    <s v="Valid"/>
    <s v="lagos"/>
    <x v="0"/>
    <s v="Beauty"/>
    <s v="Beauty"/>
    <s v="Cream"/>
    <s v="Cream"/>
    <n v="416.14"/>
    <n v="10"/>
    <n v="10"/>
    <n v="120"/>
    <s v="invalid"/>
    <s v="Mobile Money"/>
    <s v="Mobile Money"/>
    <s v="Ada"/>
    <x v="2"/>
    <x v="0"/>
    <n v="1"/>
    <s v="Missing"/>
    <n v="-832.27999999999975"/>
  </r>
  <r>
    <s v="T100031"/>
    <s v="2026-02-16"/>
    <s v="C6457"/>
    <s v="John"/>
    <s v="John"/>
    <s v="Male"/>
    <n v="8"/>
    <s v="Invalid"/>
    <s v="PH"/>
    <x v="1"/>
    <s v="groceris"/>
    <s v="Groceris"/>
    <s v="Rice"/>
    <s v="Rice"/>
    <n v="258.57"/>
    <n v="2"/>
    <n v="2"/>
    <n v="-10"/>
    <s v="invalid"/>
    <s v="POS"/>
    <s v="Pos"/>
    <s v="Ben"/>
    <x v="3"/>
    <x v="1"/>
    <n v="3"/>
    <s v="ok"/>
    <n v="568.85400000000004"/>
  </r>
  <r>
    <s v="T100032"/>
    <s v="2025-03-23"/>
    <s v="C8802"/>
    <s v="John"/>
    <s v="John"/>
    <s v="Male"/>
    <n v="130"/>
    <s v="Invalid"/>
    <s v="lagos"/>
    <x v="0"/>
    <s v="Sports"/>
    <s v="Sports"/>
    <s v="Ball"/>
    <s v="Ball"/>
    <n v="395.37"/>
    <n v="-2"/>
    <n v="1"/>
    <n v="5"/>
    <s v="Valid"/>
    <s v="Mobile Money"/>
    <s v="Mobile Money"/>
    <s v="Ada"/>
    <x v="2"/>
    <x v="2"/>
    <n v="4"/>
    <s v="ok"/>
    <n v="375.60149999999999"/>
  </r>
  <r>
    <s v="T100033"/>
    <s v="2025-10-09"/>
    <s v="C7652"/>
    <s v="Aisha"/>
    <s v="Aisha"/>
    <s v="Male"/>
    <n v="37"/>
    <s v="Valid"/>
    <s v="Kano"/>
    <x v="4"/>
    <s v="Sports"/>
    <s v="Sports"/>
    <s v="Ball"/>
    <s v="Ball"/>
    <n v="429.08"/>
    <n v="9"/>
    <n v="9"/>
    <n v="0"/>
    <s v="Valid"/>
    <s v="Mobile Money"/>
    <s v="Mobile Money"/>
    <s v="Chi"/>
    <x v="1"/>
    <x v="3"/>
    <n v="4"/>
    <s v="ok"/>
    <n v="3861.72"/>
  </r>
  <r>
    <s v="T100034"/>
    <s v="2025-07-11"/>
    <s v="C9293"/>
    <s v="David"/>
    <s v="David"/>
    <s v="Female"/>
    <n v="35"/>
    <s v="Valid"/>
    <s v="Enugu"/>
    <x v="2"/>
    <s v="groceris"/>
    <s v="Groceris"/>
    <s v="Rice"/>
    <s v="Rice"/>
    <n v="467.61"/>
    <n v="-2"/>
    <n v="1"/>
    <n v="120"/>
    <s v="invalid"/>
    <s v="Transfer"/>
    <s v="Transfer"/>
    <s v="Chi"/>
    <x v="1"/>
    <x v="3"/>
    <n v="4"/>
    <s v="ok"/>
    <n v="-93.521999999999977"/>
  </r>
  <r>
    <s v="T100035"/>
    <s v="13/03/2026"/>
    <s v="C2683"/>
    <s v="Mary"/>
    <s v="Mary"/>
    <s v="Female"/>
    <n v="130"/>
    <s v="Invalid"/>
    <s v="PH"/>
    <x v="1"/>
    <s v="Beauty"/>
    <s v="Beauty"/>
    <s v="Cream"/>
    <s v="Cream"/>
    <n v="402.37"/>
    <n v="10"/>
    <n v="10"/>
    <n v="0"/>
    <s v="Valid"/>
    <s v="Transfer"/>
    <s v="Transfer"/>
    <s v="Dan"/>
    <x v="0"/>
    <x v="2"/>
    <n v="4"/>
    <s v="ok"/>
    <n v="4023.7"/>
  </r>
  <r>
    <s v="T100036"/>
    <s v="2025-12-30"/>
    <s v="C1794"/>
    <s v="Grace"/>
    <s v="Grace"/>
    <s v="Male"/>
    <n v="19"/>
    <s v="Valid"/>
    <s v="lagos"/>
    <x v="0"/>
    <s v="Home"/>
    <s v="Home"/>
    <s v="Chair"/>
    <s v="Chair"/>
    <n v="489.41"/>
    <n v="1"/>
    <n v="1"/>
    <n v="0"/>
    <s v="Valid"/>
    <s v="Transfer"/>
    <s v="Transfer"/>
    <s v="Chi"/>
    <x v="1"/>
    <x v="2"/>
    <n v="3"/>
    <s v="ok"/>
    <n v="489.41"/>
  </r>
  <r>
    <s v="T100037"/>
    <s v="2025-11-16"/>
    <s v="C3074"/>
    <s v="John"/>
    <s v="John"/>
    <s v="Female"/>
    <n v="64"/>
    <s v="Valid"/>
    <s v="lagos"/>
    <x v="0"/>
    <s v="Fashion"/>
    <s v="Fashion"/>
    <s v="Shirt"/>
    <s v="Shirt"/>
    <n v="203.77"/>
    <n v="9"/>
    <n v="9"/>
    <n v="120"/>
    <s v="invalid"/>
    <s v="Transfer"/>
    <s v="Transfer"/>
    <s v="Chi"/>
    <x v="1"/>
    <x v="2"/>
    <n v="3"/>
    <s v="ok"/>
    <n v="-366.78599999999994"/>
  </r>
  <r>
    <s v="T100038"/>
    <s v="2025-07-10"/>
    <s v="C2121"/>
    <s v="  James "/>
    <s v="James"/>
    <s v="Female"/>
    <n v="8"/>
    <s v="Invalid"/>
    <s v="PH"/>
    <x v="1"/>
    <s v="Sports"/>
    <s v="Sports"/>
    <s v="Ball"/>
    <s v="Ball"/>
    <n v="333.17"/>
    <n v="8"/>
    <n v="8"/>
    <n v="-10"/>
    <s v="invalid"/>
    <s v="Cash"/>
    <s v="Cash"/>
    <s v="Ada"/>
    <x v="2"/>
    <x v="2"/>
    <n v="4"/>
    <s v="ok"/>
    <n v="2931.8960000000002"/>
  </r>
  <r>
    <s v="T100039"/>
    <s v="2025-12-11"/>
    <s v="C5675"/>
    <s v="John"/>
    <s v="John"/>
    <s v="Female"/>
    <n v="130"/>
    <s v="Invalid"/>
    <s v="Kano"/>
    <x v="4"/>
    <s v="Home"/>
    <s v="Home"/>
    <s v="Chair"/>
    <s v="Chair"/>
    <n v="166.86"/>
    <n v="-2"/>
    <n v="1"/>
    <n v="5"/>
    <s v="Valid"/>
    <s v="Mobile Money"/>
    <s v="Mobile Money"/>
    <s v="Chi"/>
    <x v="1"/>
    <x v="2"/>
    <n v="3"/>
    <s v="ok"/>
    <n v="158.517"/>
  </r>
  <r>
    <s v="T100040"/>
    <s v="2025-01-28"/>
    <s v="C5040"/>
    <s v="John"/>
    <s v="John"/>
    <s v="Female"/>
    <n v="19"/>
    <s v="Valid"/>
    <s v="Kano"/>
    <x v="4"/>
    <s v="Beauty"/>
    <s v="Beauty"/>
    <s v="Cream"/>
    <s v="Cream"/>
    <n v="442.23"/>
    <n v="-2"/>
    <n v="1"/>
    <n v="120"/>
    <s v="invalid"/>
    <s v="POS"/>
    <s v="Pos"/>
    <s v="Chi"/>
    <x v="1"/>
    <x v="2"/>
    <n v="1"/>
    <s v="ok"/>
    <n v="-88.445999999999984"/>
  </r>
  <r>
    <s v="T100041"/>
    <s v="2025-10-13"/>
    <s v="C4744"/>
    <s v="  James "/>
    <s v="James"/>
    <s v="Male"/>
    <n v="8"/>
    <s v="Invalid"/>
    <s v="Kano"/>
    <x v="4"/>
    <s v="groceris"/>
    <s v="Groceris"/>
    <s v="Rice"/>
    <s v="Rice"/>
    <n v="189.02"/>
    <n v="7"/>
    <n v="7"/>
    <n v="5"/>
    <s v="Valid"/>
    <s v="Mobile Money"/>
    <s v="Mobile Money"/>
    <s v="Ben"/>
    <x v="3"/>
    <x v="1"/>
    <n v="2"/>
    <s v="ok"/>
    <n v="1256.9829999999999"/>
  </r>
  <r>
    <s v="T100042"/>
    <s v="25/11/2025"/>
    <s v="C8128"/>
    <s v="David"/>
    <s v="David"/>
    <s v="Male"/>
    <n v="55"/>
    <s v="Valid"/>
    <s v="Abuja"/>
    <x v="3"/>
    <s v="groceris"/>
    <s v="Groceris"/>
    <s v="Rice"/>
    <s v="Rice"/>
    <n v="393.19"/>
    <n v="3"/>
    <n v="3"/>
    <n v="-10"/>
    <s v="invalid"/>
    <s v="Cash"/>
    <s v="Cash"/>
    <s v="Ben"/>
    <x v="3"/>
    <x v="1"/>
    <n v="5"/>
    <s v="ok"/>
    <n v="1297.527"/>
  </r>
  <r>
    <s v="T100043"/>
    <s v="2025-09-16"/>
    <s v="C1992"/>
    <s v="John"/>
    <s v="John"/>
    <s v="Male"/>
    <n v="8"/>
    <s v="Invalid"/>
    <s v="Kano"/>
    <x v="4"/>
    <s v="Fashion"/>
    <s v="Fashion"/>
    <s v="Shirt"/>
    <s v="Shirt"/>
    <n v="191.36"/>
    <n v="8"/>
    <n v="8"/>
    <n v="-10"/>
    <s v="invalid"/>
    <s v="Transfer"/>
    <s v="Transfer"/>
    <s v="Chi"/>
    <x v="1"/>
    <x v="2"/>
    <n v="4"/>
    <s v="ok"/>
    <n v="1683.9680000000003"/>
  </r>
  <r>
    <s v="T100044"/>
    <s v="2025-03-19"/>
    <s v="C2864"/>
    <s v="  James "/>
    <s v="James"/>
    <s v="Female"/>
    <n v="51"/>
    <s v="Valid"/>
    <s v="lagos"/>
    <x v="0"/>
    <s v="Home"/>
    <s v="Home"/>
    <s v="Chair"/>
    <s v="Chair"/>
    <n v="14.38"/>
    <n v="-2"/>
    <n v="1"/>
    <n v="0"/>
    <s v="Valid"/>
    <s v="Transfer"/>
    <s v="Transfer"/>
    <s v="Ben"/>
    <x v="3"/>
    <x v="2"/>
    <n v="1"/>
    <s v="ok"/>
    <n v="14.38"/>
  </r>
  <r>
    <s v="T100045"/>
    <s v="2025-05-03"/>
    <s v="C5546"/>
    <s v="Peter"/>
    <s v="Peter"/>
    <s v="Female"/>
    <n v="8"/>
    <s v="Invalid"/>
    <s v="PH"/>
    <x v="1"/>
    <s v="Home"/>
    <s v="Home"/>
    <s v="Chair"/>
    <s v="Chair"/>
    <n v="346.25"/>
    <n v="4"/>
    <n v="4"/>
    <n v="120"/>
    <s v="invalid"/>
    <s v="Mobile Money"/>
    <s v="Mobile Money"/>
    <s v="Ben"/>
    <x v="3"/>
    <x v="1"/>
    <n v="4"/>
    <s v="ok"/>
    <n v="-276.99999999999994"/>
  </r>
  <r>
    <s v="T100046"/>
    <s v="2025-06-23"/>
    <s v="C5447"/>
    <s v="  James "/>
    <s v="James"/>
    <s v="Male"/>
    <n v="8"/>
    <s v="Invalid"/>
    <s v="Kano"/>
    <x v="4"/>
    <s v="Fashion"/>
    <s v="Fashion"/>
    <s v="Shirt"/>
    <s v="Shirt"/>
    <n v="208.01"/>
    <n v="-2"/>
    <n v="1"/>
    <n v="120"/>
    <s v="invalid"/>
    <s v="Mobile Money"/>
    <s v="Mobile Money"/>
    <s v="Chi"/>
    <x v="1"/>
    <x v="0"/>
    <n v="3"/>
    <s v="ok"/>
    <n v="-41.60199999999999"/>
  </r>
  <r>
    <s v="T100047"/>
    <s v="2025-12-09"/>
    <s v="C4617"/>
    <s v="Aisha"/>
    <s v="Aisha"/>
    <s v="Female"/>
    <n v="35"/>
    <s v="Valid"/>
    <s v="lagos"/>
    <x v="0"/>
    <s v="Fashion"/>
    <s v="Fashion"/>
    <s v="Shirt"/>
    <s v="Shirt"/>
    <n v="81.69"/>
    <n v="5"/>
    <n v="5"/>
    <n v="10"/>
    <s v="Valid"/>
    <m/>
    <s v=""/>
    <s v="Chi"/>
    <x v="1"/>
    <x v="2"/>
    <n v="5"/>
    <s v="ok"/>
    <n v="367.60500000000002"/>
  </r>
  <r>
    <s v="T100048"/>
    <s v="2025-08-10"/>
    <s v="C8875"/>
    <s v="Peter"/>
    <s v="Peter"/>
    <s v="Female"/>
    <n v="31"/>
    <s v="Valid"/>
    <s v="Enugu"/>
    <x v="2"/>
    <s v="Fashion"/>
    <s v="Fashion"/>
    <s v="Shirt"/>
    <s v="Shirt"/>
    <n v="259.49"/>
    <n v="10"/>
    <n v="10"/>
    <n v="5"/>
    <s v="Valid"/>
    <s v="POS"/>
    <s v="Pos"/>
    <s v="Dan"/>
    <x v="0"/>
    <x v="0"/>
    <m/>
    <s v="ok"/>
    <n v="2465.1549999999997"/>
  </r>
  <r>
    <s v="T100049"/>
    <s v="08/03/2025"/>
    <s v="C9888"/>
    <s v="Aisha"/>
    <s v="Aisha"/>
    <s v="Female"/>
    <n v="130"/>
    <s v="Invalid"/>
    <s v="lagos"/>
    <x v="0"/>
    <s v="Fashion"/>
    <s v="Fashion"/>
    <s v="Shirt"/>
    <s v="Shirt"/>
    <n v="314.5"/>
    <n v="-2"/>
    <n v="1"/>
    <n v="0"/>
    <s v="Valid"/>
    <s v="Transfer"/>
    <s v="Transfer"/>
    <s v="Ada"/>
    <x v="2"/>
    <x v="1"/>
    <n v="1"/>
    <s v="ok"/>
    <n v="314.5"/>
  </r>
  <r>
    <s v="T100050"/>
    <s v="2026-05-13"/>
    <s v="C1503"/>
    <s v="Aisha"/>
    <s v="Aisha"/>
    <s v="Female"/>
    <n v="43"/>
    <s v="Valid"/>
    <s v="lagos"/>
    <x v="0"/>
    <s v="Beauty"/>
    <s v="Beauty"/>
    <s v="Cream"/>
    <s v="Cream"/>
    <n v="55.24"/>
    <n v="-2"/>
    <n v="1"/>
    <n v="10"/>
    <s v="Valid"/>
    <m/>
    <s v=""/>
    <s v="Dan"/>
    <x v="0"/>
    <x v="1"/>
    <n v="4"/>
    <s v="ok"/>
    <n v="49.716000000000001"/>
  </r>
  <r>
    <s v="T100051"/>
    <s v="2025-10-08"/>
    <s v="C3078"/>
    <s v="Mary"/>
    <s v="Mary"/>
    <s v="Male"/>
    <n v="8"/>
    <s v="Invalid"/>
    <s v="lagos"/>
    <x v="0"/>
    <s v="Sports"/>
    <s v="Sports"/>
    <s v="Ball"/>
    <s v="Ball"/>
    <n v="69.56"/>
    <n v="-2"/>
    <n v="1"/>
    <n v="0"/>
    <s v="Valid"/>
    <s v="POS"/>
    <s v="Pos"/>
    <s v="Ben"/>
    <x v="3"/>
    <x v="3"/>
    <n v="4"/>
    <s v="ok"/>
    <n v="69.56"/>
  </r>
  <r>
    <s v="T100052"/>
    <s v="2026-01-16"/>
    <s v="C5288"/>
    <s v="David"/>
    <s v="David"/>
    <s v="Female"/>
    <n v="38"/>
    <s v="Valid"/>
    <s v="lagos"/>
    <x v="0"/>
    <s v="Electronics"/>
    <s v="Electronics"/>
    <s v="Phone"/>
    <s v="Phone"/>
    <n v="251.91"/>
    <n v="2"/>
    <n v="2"/>
    <n v="-10"/>
    <s v="invalid"/>
    <s v="POS"/>
    <s v="Pos"/>
    <s v="Dan"/>
    <x v="0"/>
    <x v="0"/>
    <n v="2"/>
    <s v="ok"/>
    <n v="554.202"/>
  </r>
  <r>
    <s v="T100053"/>
    <s v="2025-06-13"/>
    <s v="C6608"/>
    <s v="  James "/>
    <s v="James"/>
    <s v="Male"/>
    <n v="130"/>
    <s v="Invalid"/>
    <s v="lagos"/>
    <x v="0"/>
    <s v="groceris"/>
    <s v="Groceris"/>
    <s v="Rice"/>
    <s v="Rice"/>
    <n v="45.83"/>
    <n v="10"/>
    <n v="10"/>
    <n v="5"/>
    <s v="Valid"/>
    <m/>
    <s v=""/>
    <s v="Chi"/>
    <x v="1"/>
    <x v="3"/>
    <n v="5"/>
    <s v="ok"/>
    <n v="435.38499999999993"/>
  </r>
  <r>
    <s v="T100054"/>
    <s v="2025-07-03"/>
    <s v="C4525"/>
    <m/>
    <s v=""/>
    <s v="Male"/>
    <n v="130"/>
    <s v="Invalid"/>
    <s v="lagos"/>
    <x v="0"/>
    <s v="Sports"/>
    <s v="Sports"/>
    <s v="Ball"/>
    <s v="Ball"/>
    <n v="296.27"/>
    <n v="-2"/>
    <n v="1"/>
    <n v="10"/>
    <s v="Valid"/>
    <s v="Transfer"/>
    <s v="Transfer"/>
    <s v="Ada"/>
    <x v="2"/>
    <x v="1"/>
    <n v="3"/>
    <s v="Missing"/>
    <n v="266.64299999999997"/>
  </r>
  <r>
    <s v="T100055"/>
    <s v="2025-01-11"/>
    <s v="C7424"/>
    <s v="Peter"/>
    <s v="Peter"/>
    <s v="Female"/>
    <n v="8"/>
    <s v="Invalid"/>
    <s v="Kano"/>
    <x v="4"/>
    <s v="Home"/>
    <s v="Home"/>
    <s v="Chair"/>
    <s v="Chair"/>
    <n v="5.33"/>
    <n v="-2"/>
    <n v="1"/>
    <n v="-10"/>
    <s v="invalid"/>
    <s v="Cash"/>
    <s v="Cash"/>
    <s v="Ben"/>
    <x v="3"/>
    <x v="2"/>
    <n v="4"/>
    <s v="ok"/>
    <n v="5.8630000000000004"/>
  </r>
  <r>
    <s v="T100056"/>
    <s v="14/05/2026"/>
    <s v="C2827"/>
    <m/>
    <s v=""/>
    <s v="Female"/>
    <n v="8"/>
    <s v="Invalid"/>
    <s v="lagos"/>
    <x v="0"/>
    <s v="groceris"/>
    <s v="Groceris"/>
    <s v="Rice"/>
    <s v="Rice"/>
    <n v="280.75"/>
    <n v="-2"/>
    <n v="1"/>
    <n v="5"/>
    <s v="Valid"/>
    <s v="Transfer"/>
    <s v="Transfer"/>
    <s v="Ben"/>
    <x v="3"/>
    <x v="3"/>
    <n v="3"/>
    <s v="Missing"/>
    <n v="266.71249999999998"/>
  </r>
  <r>
    <s v="T100057"/>
    <s v="2025-04-17"/>
    <s v="C1406"/>
    <s v="David"/>
    <s v="David"/>
    <s v="Male"/>
    <n v="50"/>
    <s v="Valid"/>
    <s v="lagos"/>
    <x v="0"/>
    <s v="Sports"/>
    <s v="Sports"/>
    <s v="Ball"/>
    <s v="Ball"/>
    <n v="14.25"/>
    <n v="7"/>
    <n v="7"/>
    <n v="5"/>
    <s v="Valid"/>
    <s v="Mobile Money"/>
    <s v="Mobile Money"/>
    <s v="Dan"/>
    <x v="0"/>
    <x v="1"/>
    <n v="3"/>
    <s v="ok"/>
    <n v="94.762499999999989"/>
  </r>
  <r>
    <s v="T100058"/>
    <s v="2025-06-19"/>
    <s v="C5616"/>
    <s v="John"/>
    <s v="John"/>
    <s v="Male"/>
    <n v="43"/>
    <s v="Valid"/>
    <s v="Abuja"/>
    <x v="3"/>
    <s v="Fashion"/>
    <s v="Fashion"/>
    <s v="Shirt"/>
    <s v="Shirt"/>
    <n v="372.98"/>
    <n v="-2"/>
    <n v="1"/>
    <n v="15"/>
    <s v="Valid"/>
    <s v="POS"/>
    <s v="Pos"/>
    <s v="Dan"/>
    <x v="0"/>
    <x v="2"/>
    <m/>
    <s v="ok"/>
    <n v="317.03300000000002"/>
  </r>
  <r>
    <s v="T100059"/>
    <s v="2025-04-08"/>
    <s v="C3581"/>
    <s v="Grace"/>
    <s v="Grace"/>
    <s v="Male"/>
    <n v="8"/>
    <s v="Invalid"/>
    <s v="lagos"/>
    <x v="0"/>
    <s v="groceris"/>
    <s v="Groceris"/>
    <s v="Rice"/>
    <s v="Rice"/>
    <n v="98.86"/>
    <n v="9"/>
    <n v="9"/>
    <n v="120"/>
    <s v="invalid"/>
    <s v="POS"/>
    <s v="Pos"/>
    <s v="Dan"/>
    <x v="0"/>
    <x v="0"/>
    <n v="5"/>
    <s v="ok"/>
    <n v="-177.94799999999995"/>
  </r>
  <r>
    <s v="T100060"/>
    <s v="2026-04-17"/>
    <s v="C7298"/>
    <s v="  James "/>
    <s v="James"/>
    <s v="Male"/>
    <n v="8"/>
    <s v="Invalid"/>
    <s v="lagos"/>
    <x v="0"/>
    <s v="Groceries"/>
    <s v="Groceries"/>
    <s v="Rice"/>
    <s v="Rice"/>
    <n v="481.05"/>
    <n v="2"/>
    <n v="2"/>
    <n v="0"/>
    <s v="Valid"/>
    <m/>
    <s v=""/>
    <s v="Chi"/>
    <x v="1"/>
    <x v="0"/>
    <n v="1"/>
    <s v="ok"/>
    <n v="962.1"/>
  </r>
  <r>
    <s v="T100061"/>
    <s v="2026-05-21"/>
    <s v="C2137"/>
    <m/>
    <s v=""/>
    <s v="Male"/>
    <n v="41"/>
    <s v="Valid"/>
    <s v="lagos"/>
    <x v="0"/>
    <s v="groceris"/>
    <s v="Groceris"/>
    <s v="Rice"/>
    <s v="Rice"/>
    <n v="172.45"/>
    <n v="-2"/>
    <n v="1"/>
    <n v="10"/>
    <s v="Valid"/>
    <s v="Transfer"/>
    <s v="Transfer"/>
    <s v="Dan"/>
    <x v="0"/>
    <x v="3"/>
    <n v="1"/>
    <s v="Missing"/>
    <n v="155.20499999999998"/>
  </r>
  <r>
    <s v="T100062"/>
    <s v="2025-11-28"/>
    <s v="C5849"/>
    <m/>
    <s v=""/>
    <s v="Female"/>
    <n v="52"/>
    <s v="Valid"/>
    <s v="lagos"/>
    <x v="0"/>
    <s v="Beauty"/>
    <s v="Beauty"/>
    <s v="Cream"/>
    <s v="Cream"/>
    <n v="308.43"/>
    <n v="-2"/>
    <n v="1"/>
    <n v="5"/>
    <s v="Valid"/>
    <s v="Cash"/>
    <s v="Cash"/>
    <s v="Ben"/>
    <x v="3"/>
    <x v="1"/>
    <n v="3"/>
    <s v="Missing"/>
    <n v="293.00849999999997"/>
  </r>
  <r>
    <s v="T100063"/>
    <s v="02/07/2025"/>
    <s v="C7933"/>
    <s v="Mary"/>
    <s v="Mary"/>
    <s v="Male"/>
    <n v="29"/>
    <s v="Valid"/>
    <s v="Enugu"/>
    <x v="2"/>
    <s v="Electronics"/>
    <s v="Electronics"/>
    <s v="Phone"/>
    <s v="Phone"/>
    <n v="239.81"/>
    <n v="10"/>
    <n v="10"/>
    <n v="15"/>
    <s v="Valid"/>
    <s v="Transfer"/>
    <s v="Transfer"/>
    <s v="Ada"/>
    <x v="2"/>
    <x v="3"/>
    <n v="4"/>
    <s v="ok"/>
    <n v="2038.3849999999998"/>
  </r>
  <r>
    <s v="T100064"/>
    <s v="2025-06-16"/>
    <s v="C3249"/>
    <s v="  James "/>
    <s v="James"/>
    <s v="Female"/>
    <n v="43"/>
    <s v="Valid"/>
    <s v="PH"/>
    <x v="1"/>
    <s v="Home"/>
    <s v="Home"/>
    <s v="Chair"/>
    <s v="Chair"/>
    <n v="12.92"/>
    <n v="10"/>
    <n v="10"/>
    <n v="10"/>
    <s v="Valid"/>
    <s v="Transfer"/>
    <s v="Transfer"/>
    <s v="Dan"/>
    <x v="0"/>
    <x v="1"/>
    <n v="4"/>
    <s v="ok"/>
    <n v="116.27999999999999"/>
  </r>
  <r>
    <s v="T100065"/>
    <s v="2025-07-21"/>
    <s v="C3400"/>
    <m/>
    <s v=""/>
    <s v="Male"/>
    <n v="130"/>
    <s v="Invalid"/>
    <s v="Abuja"/>
    <x v="3"/>
    <s v="Home"/>
    <s v="Home"/>
    <s v="Chair"/>
    <s v="Chair"/>
    <n v="381.75"/>
    <n v="-2"/>
    <n v="1"/>
    <n v="5"/>
    <s v="Valid"/>
    <m/>
    <s v=""/>
    <s v="Ben"/>
    <x v="3"/>
    <x v="1"/>
    <m/>
    <s v="Missing"/>
    <n v="362.66249999999997"/>
  </r>
  <r>
    <s v="T100066"/>
    <s v="2025-06-20"/>
    <s v="C7913"/>
    <s v="Aisha"/>
    <s v="Aisha"/>
    <s v="Female"/>
    <n v="54"/>
    <s v="Valid"/>
    <s v="lagos"/>
    <x v="0"/>
    <s v="groceris"/>
    <s v="Groceris"/>
    <s v="Rice"/>
    <s v="Rice"/>
    <n v="481.13"/>
    <n v="7"/>
    <n v="7"/>
    <n v="15"/>
    <s v="Valid"/>
    <s v="Cash"/>
    <s v="Cash"/>
    <s v="Ada"/>
    <x v="2"/>
    <x v="2"/>
    <n v="4"/>
    <s v="ok"/>
    <n v="2862.7234999999996"/>
  </r>
  <r>
    <s v="T100067"/>
    <s v="2026-06-23"/>
    <s v="C2685"/>
    <s v="Grace"/>
    <s v="Grace"/>
    <s v="Female"/>
    <n v="130"/>
    <s v="Invalid"/>
    <s v="lagos"/>
    <x v="0"/>
    <s v="Fashion"/>
    <s v="Fashion"/>
    <s v="Shirt"/>
    <s v="Shirt"/>
    <n v="141.11000000000001"/>
    <n v="-2"/>
    <n v="1"/>
    <n v="0"/>
    <s v="Valid"/>
    <s v="Cash"/>
    <s v="Cash"/>
    <s v="Dan"/>
    <x v="0"/>
    <x v="2"/>
    <m/>
    <s v="ok"/>
    <n v="141.11000000000001"/>
  </r>
  <r>
    <s v="T100068"/>
    <s v="2026-01-19"/>
    <s v="C6284"/>
    <s v="John"/>
    <s v="John"/>
    <s v="Male"/>
    <n v="29"/>
    <s v="Valid"/>
    <s v="PH"/>
    <x v="1"/>
    <s v="groceris"/>
    <s v="Groceris"/>
    <s v="Rice"/>
    <s v="Rice"/>
    <n v="137.34"/>
    <n v="10"/>
    <n v="10"/>
    <n v="5"/>
    <s v="Valid"/>
    <s v="POS"/>
    <s v="Pos"/>
    <s v="Ada"/>
    <x v="2"/>
    <x v="3"/>
    <n v="3"/>
    <s v="ok"/>
    <n v="1304.73"/>
  </r>
  <r>
    <s v="T100069"/>
    <s v="2026-06-03"/>
    <s v="C5459"/>
    <s v="Grace"/>
    <s v="Grace"/>
    <s v="Female"/>
    <n v="130"/>
    <s v="Invalid"/>
    <s v="lagos"/>
    <x v="0"/>
    <s v="groceris"/>
    <s v="Groceris"/>
    <s v="Rice"/>
    <s v="Rice"/>
    <n v="223.18"/>
    <n v="-2"/>
    <n v="1"/>
    <n v="-10"/>
    <s v="invalid"/>
    <s v="Transfer"/>
    <s v="Transfer"/>
    <s v="Chi"/>
    <x v="1"/>
    <x v="2"/>
    <n v="2"/>
    <s v="ok"/>
    <n v="245.49800000000002"/>
  </r>
  <r>
    <s v="T100070"/>
    <s v="27/10/2025"/>
    <s v="C3034"/>
    <m/>
    <s v=""/>
    <s v="Male"/>
    <n v="130"/>
    <s v="Invalid"/>
    <s v="Enugu"/>
    <x v="2"/>
    <s v="Groceries"/>
    <s v="Groceries"/>
    <s v="Rice"/>
    <s v="Rice"/>
    <n v="456.44"/>
    <n v="3"/>
    <n v="3"/>
    <n v="0"/>
    <s v="Valid"/>
    <m/>
    <s v=""/>
    <s v="Ada"/>
    <x v="2"/>
    <x v="3"/>
    <n v="3"/>
    <s v="Missing"/>
    <n v="1369.32"/>
  </r>
  <r>
    <s v="T100071"/>
    <s v="2025-07-19"/>
    <s v="C9830"/>
    <s v="  James "/>
    <s v="James"/>
    <s v="Female"/>
    <n v="42"/>
    <s v="Valid"/>
    <s v="Abuja"/>
    <x v="3"/>
    <s v="Home"/>
    <s v="Home"/>
    <s v="Chair"/>
    <s v="Chair"/>
    <n v="159.08000000000001"/>
    <n v="-2"/>
    <n v="1"/>
    <n v="120"/>
    <s v="invalid"/>
    <m/>
    <s v=""/>
    <s v="Ben"/>
    <x v="3"/>
    <x v="0"/>
    <m/>
    <s v="ok"/>
    <n v="-31.815999999999995"/>
  </r>
  <r>
    <s v="T100072"/>
    <s v="2025-01-20"/>
    <s v="C4142"/>
    <s v="Grace"/>
    <s v="Grace"/>
    <s v="Male"/>
    <n v="130"/>
    <s v="Invalid"/>
    <s v="PH"/>
    <x v="1"/>
    <s v="Beauty"/>
    <s v="Beauty"/>
    <s v="Cream"/>
    <s v="Cream"/>
    <n v="328.53"/>
    <n v="-2"/>
    <n v="1"/>
    <n v="-10"/>
    <s v="invalid"/>
    <m/>
    <s v=""/>
    <s v="Ada"/>
    <x v="2"/>
    <x v="3"/>
    <n v="3"/>
    <s v="ok"/>
    <n v="361.38299999999998"/>
  </r>
  <r>
    <s v="T100073"/>
    <s v="2025-09-29"/>
    <s v="C7135"/>
    <s v="John"/>
    <s v="John"/>
    <s v="Male"/>
    <n v="130"/>
    <s v="Invalid"/>
    <s v="PH"/>
    <x v="1"/>
    <s v="Electronics"/>
    <s v="Electronics"/>
    <s v="Phone"/>
    <s v="Phone"/>
    <n v="223.95"/>
    <n v="-2"/>
    <n v="1"/>
    <n v="0"/>
    <s v="Valid"/>
    <s v="Mobile Money"/>
    <s v="Mobile Money"/>
    <s v="Chi"/>
    <x v="1"/>
    <x v="2"/>
    <n v="3"/>
    <s v="ok"/>
    <n v="223.95"/>
  </r>
  <r>
    <s v="T100074"/>
    <s v="2025-03-20"/>
    <s v="C9233"/>
    <s v="Grace"/>
    <s v="Grace"/>
    <s v="Female"/>
    <n v="130"/>
    <s v="Invalid"/>
    <s v="Enugu"/>
    <x v="2"/>
    <s v="Fashion"/>
    <s v="Fashion"/>
    <s v="Shirt"/>
    <s v="Shirt"/>
    <n v="100.23"/>
    <n v="-2"/>
    <n v="1"/>
    <n v="120"/>
    <s v="invalid"/>
    <s v="Transfer"/>
    <s v="Transfer"/>
    <s v="Ada"/>
    <x v="2"/>
    <x v="2"/>
    <n v="1"/>
    <s v="ok"/>
    <n v="-20.045999999999996"/>
  </r>
  <r>
    <s v="T100075"/>
    <s v="2025-11-09"/>
    <s v="C7805"/>
    <s v="  James "/>
    <s v="James"/>
    <s v="Female"/>
    <n v="36"/>
    <s v="Valid"/>
    <s v="Enugu"/>
    <x v="2"/>
    <s v="Home"/>
    <s v="Home"/>
    <s v="Chair"/>
    <s v="Chair"/>
    <n v="288.64"/>
    <n v="1"/>
    <n v="1"/>
    <n v="120"/>
    <s v="invalid"/>
    <s v="Mobile Money"/>
    <s v="Mobile Money"/>
    <s v="Ada"/>
    <x v="2"/>
    <x v="3"/>
    <n v="5"/>
    <s v="ok"/>
    <n v="-57.727999999999987"/>
  </r>
  <r>
    <s v="T100076"/>
    <s v="2025-05-13"/>
    <s v="C2098"/>
    <s v="David"/>
    <s v="David"/>
    <s v="Female"/>
    <n v="130"/>
    <s v="Invalid"/>
    <s v="Abuja"/>
    <x v="3"/>
    <s v="Electronics"/>
    <s v="Electronics"/>
    <s v="Phone"/>
    <s v="Phone"/>
    <n v="84.9"/>
    <n v="-2"/>
    <n v="1"/>
    <n v="5"/>
    <s v="Valid"/>
    <s v="Mobile Money"/>
    <s v="Mobile Money"/>
    <s v="Chi"/>
    <x v="1"/>
    <x v="1"/>
    <n v="3"/>
    <s v="ok"/>
    <n v="80.655000000000001"/>
  </r>
  <r>
    <s v="T100077"/>
    <s v="29/12/2025"/>
    <s v="C2806"/>
    <s v="Peter"/>
    <s v="Peter"/>
    <s v="Male"/>
    <n v="21"/>
    <s v="Valid"/>
    <s v="lagos"/>
    <x v="0"/>
    <s v="Beauty"/>
    <s v="Beauty"/>
    <s v="Cream"/>
    <s v="Cream"/>
    <n v="105.76"/>
    <n v="6"/>
    <n v="6"/>
    <n v="5"/>
    <s v="Valid"/>
    <m/>
    <s v=""/>
    <s v="Chi"/>
    <x v="1"/>
    <x v="1"/>
    <n v="3"/>
    <s v="ok"/>
    <n v="602.83199999999999"/>
  </r>
  <r>
    <s v="T100078"/>
    <s v="2025-04-06"/>
    <s v="C2788"/>
    <s v="David"/>
    <s v="David"/>
    <s v="Female"/>
    <n v="44"/>
    <s v="Valid"/>
    <s v="lagos"/>
    <x v="0"/>
    <s v="Beauty"/>
    <s v="Beauty"/>
    <s v="Cream"/>
    <s v="Cream"/>
    <n v="229.49"/>
    <n v="-2"/>
    <n v="1"/>
    <n v="-10"/>
    <s v="invalid"/>
    <s v="POS"/>
    <s v="Pos"/>
    <s v="Ben"/>
    <x v="3"/>
    <x v="2"/>
    <n v="3"/>
    <s v="ok"/>
    <n v="252.43900000000002"/>
  </r>
  <r>
    <s v="T100079"/>
    <s v="2026-01-21"/>
    <s v="C6728"/>
    <s v="Peter"/>
    <s v="Peter"/>
    <s v="Female"/>
    <n v="8"/>
    <s v="Invalid"/>
    <s v="lagos"/>
    <x v="0"/>
    <s v="Electronics"/>
    <s v="Electronics"/>
    <s v="Phone"/>
    <s v="Phone"/>
    <n v="297.94"/>
    <n v="-2"/>
    <n v="1"/>
    <n v="-10"/>
    <s v="invalid"/>
    <s v="Transfer"/>
    <s v="Transfer"/>
    <s v="Chi"/>
    <x v="1"/>
    <x v="3"/>
    <m/>
    <s v="ok"/>
    <n v="327.73400000000004"/>
  </r>
  <r>
    <s v="T100080"/>
    <s v="2025-04-23"/>
    <s v="C8672"/>
    <m/>
    <s v=""/>
    <s v="Female"/>
    <n v="33"/>
    <s v="Valid"/>
    <s v="Kano"/>
    <x v="4"/>
    <s v="Electronics"/>
    <s v="Electronics"/>
    <s v="Phone"/>
    <s v="Phone"/>
    <n v="256.49"/>
    <n v="10"/>
    <n v="10"/>
    <n v="-10"/>
    <s v="invalid"/>
    <s v="Mobile Money"/>
    <s v="Mobile Money"/>
    <s v="Dan"/>
    <x v="0"/>
    <x v="2"/>
    <n v="4"/>
    <s v="Missing"/>
    <n v="2821.3900000000003"/>
  </r>
  <r>
    <s v="T100081"/>
    <s v="2025-08-19"/>
    <s v="C9970"/>
    <s v="Mary"/>
    <s v="Mary"/>
    <s v="Female"/>
    <n v="130"/>
    <s v="Invalid"/>
    <s v="Kano"/>
    <x v="4"/>
    <s v="Beauty"/>
    <s v="Beauty"/>
    <s v="Cream"/>
    <s v="Cream"/>
    <n v="202.13"/>
    <n v="2"/>
    <n v="2"/>
    <n v="-10"/>
    <s v="invalid"/>
    <s v="POS"/>
    <s v="Pos"/>
    <s v="Dan"/>
    <x v="0"/>
    <x v="2"/>
    <m/>
    <s v="ok"/>
    <n v="444.68600000000004"/>
  </r>
  <r>
    <s v="T100082"/>
    <s v="2025-11-08"/>
    <s v="C4583"/>
    <s v="Grace"/>
    <s v="Grace"/>
    <s v="Female"/>
    <n v="130"/>
    <s v="Invalid"/>
    <s v="Abuja"/>
    <x v="3"/>
    <s v="groceris"/>
    <s v="Groceris"/>
    <s v="Rice"/>
    <s v="Rice"/>
    <n v="376.61"/>
    <n v="2"/>
    <n v="2"/>
    <n v="15"/>
    <s v="Valid"/>
    <s v="Mobile Money"/>
    <s v="Mobile Money"/>
    <s v="Ben"/>
    <x v="3"/>
    <x v="2"/>
    <n v="2"/>
    <s v="ok"/>
    <n v="640.23699999999997"/>
  </r>
  <r>
    <s v="T100083"/>
    <s v="2026-05-30"/>
    <s v="C9000"/>
    <s v="Grace"/>
    <s v="Grace"/>
    <s v="Male"/>
    <n v="36"/>
    <s v="Valid"/>
    <s v="lagos"/>
    <x v="0"/>
    <s v="Sports"/>
    <s v="Sports"/>
    <s v="Ball"/>
    <s v="Ball"/>
    <n v="50.76"/>
    <n v="-2"/>
    <n v="1"/>
    <n v="120"/>
    <s v="invalid"/>
    <s v="Mobile Money"/>
    <s v="Mobile Money"/>
    <s v="Ben"/>
    <x v="3"/>
    <x v="2"/>
    <n v="2"/>
    <s v="ok"/>
    <n v="-10.151999999999997"/>
  </r>
  <r>
    <s v="T100084"/>
    <s v="28/06/2025"/>
    <s v="C5862"/>
    <s v="David"/>
    <s v="David"/>
    <s v="Female"/>
    <n v="23"/>
    <s v="Valid"/>
    <s v="Enugu"/>
    <x v="2"/>
    <s v="Home"/>
    <s v="Home"/>
    <s v="Chair"/>
    <s v="Chair"/>
    <n v="164.1"/>
    <n v="3"/>
    <n v="3"/>
    <n v="10"/>
    <s v="Valid"/>
    <s v="POS"/>
    <s v="Pos"/>
    <s v="Dan"/>
    <x v="0"/>
    <x v="2"/>
    <n v="3"/>
    <s v="ok"/>
    <n v="443.07"/>
  </r>
  <r>
    <s v="T100085"/>
    <s v="2026-04-05"/>
    <s v="C8114"/>
    <s v="John"/>
    <s v="John"/>
    <s v="Female"/>
    <n v="8"/>
    <s v="Invalid"/>
    <s v="lagos"/>
    <x v="0"/>
    <s v="Home"/>
    <s v="Home"/>
    <s v="Chair"/>
    <s v="Chair"/>
    <n v="15.36"/>
    <n v="4"/>
    <n v="4"/>
    <n v="-10"/>
    <s v="invalid"/>
    <s v="POS"/>
    <s v="Pos"/>
    <s v="Ben"/>
    <x v="3"/>
    <x v="0"/>
    <n v="2"/>
    <s v="ok"/>
    <n v="67.584000000000003"/>
  </r>
  <r>
    <s v="T100086"/>
    <s v="2025-06-03"/>
    <s v="C2837"/>
    <s v="David"/>
    <s v="David"/>
    <s v="Male"/>
    <n v="63"/>
    <s v="Valid"/>
    <s v="Kano"/>
    <x v="4"/>
    <s v="Sports"/>
    <s v="Sports"/>
    <s v="Ball"/>
    <s v="Ball"/>
    <n v="418.34"/>
    <n v="5"/>
    <n v="5"/>
    <n v="5"/>
    <s v="Valid"/>
    <s v="Cash"/>
    <s v="Cash"/>
    <s v="Ada"/>
    <x v="2"/>
    <x v="2"/>
    <n v="1"/>
    <s v="ok"/>
    <n v="1987.1149999999998"/>
  </r>
  <r>
    <s v="T100087"/>
    <s v="2025-08-26"/>
    <s v="C8641"/>
    <s v="John"/>
    <s v="John"/>
    <s v="Female"/>
    <n v="46"/>
    <s v="Valid"/>
    <s v="lagos"/>
    <x v="0"/>
    <s v="Beauty"/>
    <s v="Beauty"/>
    <s v="Cream"/>
    <s v="Cream"/>
    <n v="214.36"/>
    <n v="-2"/>
    <n v="1"/>
    <n v="15"/>
    <s v="Valid"/>
    <s v="POS"/>
    <s v="Pos"/>
    <s v="Dan"/>
    <x v="0"/>
    <x v="2"/>
    <m/>
    <s v="ok"/>
    <n v="182.20600000000002"/>
  </r>
  <r>
    <s v="T100088"/>
    <s v="2026-05-18"/>
    <s v="C1455"/>
    <s v="Grace"/>
    <s v="Grace"/>
    <s v="Male"/>
    <n v="8"/>
    <s v="Invalid"/>
    <s v="lagos"/>
    <x v="0"/>
    <s v="Beauty"/>
    <s v="Beauty"/>
    <s v="Cream"/>
    <s v="Cream"/>
    <n v="57.71"/>
    <n v="-2"/>
    <n v="1"/>
    <n v="-10"/>
    <s v="invalid"/>
    <s v="Cash"/>
    <s v="Cash"/>
    <s v="Ben"/>
    <x v="3"/>
    <x v="1"/>
    <n v="3"/>
    <s v="ok"/>
    <n v="63.481000000000009"/>
  </r>
  <r>
    <s v="T100089"/>
    <s v="2025-11-17"/>
    <s v="C9562"/>
    <s v="Mary"/>
    <s v="Mary"/>
    <s v="Male"/>
    <n v="8"/>
    <s v="Invalid"/>
    <s v="lagos"/>
    <x v="0"/>
    <s v="Sports"/>
    <s v="Sports"/>
    <s v="Ball"/>
    <s v="Ball"/>
    <n v="370.55"/>
    <n v="-2"/>
    <n v="1"/>
    <n v="120"/>
    <s v="invalid"/>
    <s v="Transfer"/>
    <s v="Transfer"/>
    <s v="Ben"/>
    <x v="3"/>
    <x v="1"/>
    <n v="4"/>
    <s v="ok"/>
    <n v="-74.109999999999985"/>
  </r>
  <r>
    <s v="T100090"/>
    <s v="2025-07-11"/>
    <s v="C5842"/>
    <s v="Peter"/>
    <s v="Peter"/>
    <s v="Male"/>
    <n v="8"/>
    <s v="Invalid"/>
    <s v="Kano"/>
    <x v="4"/>
    <s v="Sports"/>
    <s v="Sports"/>
    <s v="Ball"/>
    <s v="Ball"/>
    <n v="331.75"/>
    <n v="-2"/>
    <n v="1"/>
    <n v="120"/>
    <s v="invalid"/>
    <m/>
    <s v=""/>
    <s v="Ben"/>
    <x v="3"/>
    <x v="3"/>
    <n v="2"/>
    <s v="ok"/>
    <n v="-66.34999999999998"/>
  </r>
  <r>
    <s v="T100091"/>
    <s v="08/06/2025"/>
    <s v="C5213"/>
    <s v="Peter"/>
    <s v="Peter"/>
    <s v="Male"/>
    <n v="130"/>
    <s v="Invalid"/>
    <s v="Abuja"/>
    <x v="3"/>
    <s v="Fashion"/>
    <s v="Fashion"/>
    <s v="Shirt"/>
    <s v="Shirt"/>
    <n v="265.26"/>
    <n v="-2"/>
    <n v="1"/>
    <n v="0"/>
    <s v="Valid"/>
    <s v="POS"/>
    <s v="Pos"/>
    <s v="Dan"/>
    <x v="0"/>
    <x v="3"/>
    <n v="5"/>
    <s v="ok"/>
    <n v="265.26"/>
  </r>
  <r>
    <s v="T100092"/>
    <s v="2025-05-30"/>
    <s v="C5086"/>
    <s v="Mary"/>
    <s v="Mary"/>
    <s v="Male"/>
    <n v="59"/>
    <s v="Valid"/>
    <s v="lagos"/>
    <x v="0"/>
    <s v="Electronics"/>
    <s v="Electronics"/>
    <s v="Phone"/>
    <s v="Phone"/>
    <n v="285.7"/>
    <n v="4"/>
    <n v="4"/>
    <n v="0"/>
    <s v="Valid"/>
    <m/>
    <s v=""/>
    <s v="Ben"/>
    <x v="3"/>
    <x v="1"/>
    <n v="5"/>
    <s v="ok"/>
    <n v="1142.8"/>
  </r>
  <r>
    <s v="T100093"/>
    <s v="2025-11-24"/>
    <s v="C7239"/>
    <s v="Grace"/>
    <s v="Grace"/>
    <s v="Female"/>
    <n v="130"/>
    <s v="Invalid"/>
    <s v="lagos"/>
    <x v="0"/>
    <s v="Groceries"/>
    <s v="Groceries"/>
    <s v="Rice"/>
    <s v="Rice"/>
    <n v="109.04"/>
    <n v="3"/>
    <n v="3"/>
    <n v="10"/>
    <s v="Valid"/>
    <s v="Mobile Money"/>
    <s v="Mobile Money"/>
    <s v="Ben"/>
    <x v="3"/>
    <x v="0"/>
    <n v="3"/>
    <s v="ok"/>
    <n v="294.40800000000002"/>
  </r>
  <r>
    <s v="T100094"/>
    <s v="2025-06-11"/>
    <s v="C1489"/>
    <s v="Peter"/>
    <s v="Peter"/>
    <s v="Male"/>
    <n v="130"/>
    <s v="Invalid"/>
    <s v="lagos"/>
    <x v="0"/>
    <s v="Beauty"/>
    <s v="Beauty"/>
    <s v="Cream"/>
    <s v="Cream"/>
    <n v="322.57"/>
    <n v="8"/>
    <n v="8"/>
    <n v="10"/>
    <s v="Valid"/>
    <s v="Cash"/>
    <s v="Cash"/>
    <s v="Dan"/>
    <x v="0"/>
    <x v="1"/>
    <n v="5"/>
    <s v="ok"/>
    <n v="2322.5039999999999"/>
  </r>
  <r>
    <s v="T100095"/>
    <s v="2025-05-30"/>
    <s v="C4488"/>
    <s v="David"/>
    <s v="David"/>
    <s v="Male"/>
    <n v="130"/>
    <s v="Invalid"/>
    <s v="Abuja"/>
    <x v="3"/>
    <s v="Sports"/>
    <s v="Sports"/>
    <s v="Ball"/>
    <s v="Ball"/>
    <n v="350.62"/>
    <n v="-2"/>
    <n v="1"/>
    <n v="15"/>
    <s v="Valid"/>
    <m/>
    <s v=""/>
    <s v="Ben"/>
    <x v="3"/>
    <x v="3"/>
    <n v="2"/>
    <s v="ok"/>
    <n v="298.02699999999999"/>
  </r>
  <r>
    <s v="T100096"/>
    <s v="2026-01-21"/>
    <s v="C9757"/>
    <s v="John"/>
    <s v="John"/>
    <s v="Male"/>
    <n v="43"/>
    <s v="Valid"/>
    <s v="Kano"/>
    <x v="4"/>
    <s v="Groceries"/>
    <s v="Groceries"/>
    <s v="Rice"/>
    <s v="Rice"/>
    <n v="499.74"/>
    <n v="1"/>
    <n v="1"/>
    <n v="10"/>
    <s v="Valid"/>
    <m/>
    <s v=""/>
    <s v="Dan"/>
    <x v="0"/>
    <x v="3"/>
    <n v="1"/>
    <s v="ok"/>
    <n v="449.76600000000002"/>
  </r>
  <r>
    <s v="T100097"/>
    <s v="2025-03-19"/>
    <s v="C9462"/>
    <s v="David"/>
    <s v="David"/>
    <s v="Female"/>
    <n v="29"/>
    <s v="Valid"/>
    <s v="lagos"/>
    <x v="0"/>
    <s v="Home"/>
    <s v="Home"/>
    <s v="Chair"/>
    <s v="Chair"/>
    <n v="304.02"/>
    <n v="6"/>
    <n v="6"/>
    <n v="120"/>
    <s v="invalid"/>
    <s v="Mobile Money"/>
    <s v="Mobile Money"/>
    <s v="Dan"/>
    <x v="0"/>
    <x v="2"/>
    <n v="2"/>
    <s v="ok"/>
    <n v="-364.8239999999999"/>
  </r>
  <r>
    <s v="T100098"/>
    <s v="17/07/2025"/>
    <s v="C4611"/>
    <s v="David"/>
    <s v="David"/>
    <s v="Female"/>
    <n v="25"/>
    <s v="Valid"/>
    <s v="PH"/>
    <x v="1"/>
    <s v="Home"/>
    <s v="Home"/>
    <s v="Chair"/>
    <s v="Chair"/>
    <n v="137.31"/>
    <n v="3"/>
    <n v="3"/>
    <n v="10"/>
    <s v="Valid"/>
    <s v="Cash"/>
    <s v="Cash"/>
    <s v="Ben"/>
    <x v="3"/>
    <x v="1"/>
    <n v="5"/>
    <s v="ok"/>
    <n v="370.73700000000002"/>
  </r>
  <r>
    <s v="T100099"/>
    <s v="2025-12-03"/>
    <s v="C6147"/>
    <s v="Grace"/>
    <s v="Grace"/>
    <s v="Female"/>
    <n v="8"/>
    <s v="Invalid"/>
    <s v="lagos"/>
    <x v="0"/>
    <s v="groceris"/>
    <s v="Groceris"/>
    <s v="Rice"/>
    <s v="Rice"/>
    <n v="353.95"/>
    <n v="-2"/>
    <n v="1"/>
    <n v="15"/>
    <s v="Valid"/>
    <s v="Cash"/>
    <s v="Cash"/>
    <s v="Ben"/>
    <x v="3"/>
    <x v="0"/>
    <n v="5"/>
    <s v="ok"/>
    <n v="300.85749999999996"/>
  </r>
  <r>
    <s v="T100100"/>
    <s v="2026-04-21"/>
    <s v="C7371"/>
    <s v="Grace"/>
    <s v="Grace"/>
    <s v="Male"/>
    <n v="34"/>
    <s v="Valid"/>
    <s v="lagos"/>
    <x v="0"/>
    <s v="groceris"/>
    <s v="Groceris"/>
    <s v="Rice"/>
    <s v="Rice"/>
    <n v="218.73"/>
    <n v="10"/>
    <n v="10"/>
    <n v="0"/>
    <s v="Valid"/>
    <s v="POS"/>
    <s v="Pos"/>
    <s v="Ada"/>
    <x v="2"/>
    <x v="3"/>
    <n v="5"/>
    <s v="ok"/>
    <n v="2187.2999999999997"/>
  </r>
  <r>
    <s v="T100101"/>
    <s v="2025-08-23"/>
    <s v="C7489"/>
    <s v="  James "/>
    <s v="James"/>
    <s v="Male"/>
    <n v="130"/>
    <s v="Invalid"/>
    <s v="Enugu"/>
    <x v="2"/>
    <s v="Groceries"/>
    <s v="Groceries"/>
    <s v="Rice"/>
    <s v="Rice"/>
    <n v="225.05"/>
    <n v="-2"/>
    <n v="1"/>
    <n v="120"/>
    <s v="invalid"/>
    <s v="Mobile Money"/>
    <s v="Mobile Money"/>
    <s v="Ada"/>
    <x v="2"/>
    <x v="3"/>
    <n v="2"/>
    <s v="ok"/>
    <n v="-45.009999999999991"/>
  </r>
  <r>
    <s v="T100102"/>
    <s v="2025-11-28"/>
    <s v="C9515"/>
    <s v="Peter"/>
    <s v="Peter"/>
    <s v="Male"/>
    <n v="130"/>
    <s v="Invalid"/>
    <s v="lagos"/>
    <x v="0"/>
    <s v="Groceries"/>
    <s v="Groceries"/>
    <s v="Rice"/>
    <s v="Rice"/>
    <n v="256.70999999999998"/>
    <n v="6"/>
    <n v="6"/>
    <n v="0"/>
    <s v="Valid"/>
    <s v="POS"/>
    <s v="Pos"/>
    <s v="Ben"/>
    <x v="3"/>
    <x v="3"/>
    <n v="4"/>
    <s v="ok"/>
    <n v="1540.2599999999998"/>
  </r>
  <r>
    <s v="T100103"/>
    <s v="2025-05-26"/>
    <s v="C3710"/>
    <s v="Peter"/>
    <s v="Peter"/>
    <s v="Female"/>
    <n v="130"/>
    <s v="Invalid"/>
    <s v="Enugu"/>
    <x v="2"/>
    <s v="Groceries"/>
    <s v="Groceries"/>
    <s v="Rice"/>
    <s v="Rice"/>
    <n v="245.32"/>
    <n v="4"/>
    <n v="4"/>
    <n v="15"/>
    <s v="Valid"/>
    <s v="POS"/>
    <s v="Pos"/>
    <s v="Ada"/>
    <x v="2"/>
    <x v="3"/>
    <m/>
    <s v="ok"/>
    <n v="834.08799999999997"/>
  </r>
  <r>
    <s v="T100104"/>
    <s v="2025-02-13"/>
    <s v="C2671"/>
    <s v="David"/>
    <s v="David"/>
    <s v="Male"/>
    <n v="8"/>
    <s v="Invalid"/>
    <s v="Abuja"/>
    <x v="3"/>
    <s v="Home"/>
    <s v="Home"/>
    <s v="Chair"/>
    <s v="Chair"/>
    <n v="84.05"/>
    <n v="6"/>
    <n v="6"/>
    <n v="10"/>
    <s v="Valid"/>
    <s v="Transfer"/>
    <s v="Transfer"/>
    <s v="Ada"/>
    <x v="2"/>
    <x v="1"/>
    <n v="4"/>
    <s v="ok"/>
    <n v="453.86999999999995"/>
  </r>
  <r>
    <s v="T100105"/>
    <s v="11/07/2025"/>
    <s v="C3337"/>
    <s v="Grace"/>
    <s v="Grace"/>
    <s v="Male"/>
    <n v="8"/>
    <s v="Invalid"/>
    <s v="PH"/>
    <x v="1"/>
    <s v="groceris"/>
    <s v="Groceris"/>
    <s v="Rice"/>
    <s v="Rice"/>
    <n v="288.43"/>
    <n v="10"/>
    <n v="10"/>
    <n v="0"/>
    <s v="Valid"/>
    <s v="Mobile Money"/>
    <s v="Mobile Money"/>
    <s v="Ada"/>
    <x v="2"/>
    <x v="3"/>
    <m/>
    <s v="ok"/>
    <n v="2884.3"/>
  </r>
  <r>
    <s v="T100106"/>
    <s v="2026-05-03"/>
    <s v="C7887"/>
    <s v="Peter"/>
    <s v="Peter"/>
    <s v="Male"/>
    <n v="43"/>
    <s v="Valid"/>
    <s v="lagos"/>
    <x v="0"/>
    <s v="Beauty"/>
    <s v="Beauty"/>
    <s v="Cream"/>
    <s v="Cream"/>
    <n v="357.26"/>
    <n v="-2"/>
    <n v="1"/>
    <n v="0"/>
    <s v="Valid"/>
    <s v="Transfer"/>
    <s v="Transfer"/>
    <s v="Ada"/>
    <x v="2"/>
    <x v="0"/>
    <n v="3"/>
    <s v="ok"/>
    <n v="357.26"/>
  </r>
  <r>
    <s v="T100107"/>
    <s v="2025-04-22"/>
    <s v="C8749"/>
    <s v="Mary"/>
    <s v="Mary"/>
    <s v="Male"/>
    <n v="130"/>
    <s v="Invalid"/>
    <s v="PH"/>
    <x v="1"/>
    <s v="Fashion"/>
    <s v="Fashion"/>
    <s v="Shirt"/>
    <s v="Shirt"/>
    <n v="295.26"/>
    <n v="10"/>
    <n v="10"/>
    <n v="0"/>
    <s v="Valid"/>
    <s v="Cash"/>
    <s v="Cash"/>
    <s v="Chi"/>
    <x v="1"/>
    <x v="2"/>
    <m/>
    <s v="ok"/>
    <n v="2952.6"/>
  </r>
  <r>
    <s v="T100108"/>
    <s v="2025-02-06"/>
    <s v="C8072"/>
    <s v="Mary"/>
    <s v="Mary"/>
    <s v="Male"/>
    <n v="53"/>
    <s v="Valid"/>
    <s v="Abuja"/>
    <x v="3"/>
    <s v="Electronics"/>
    <s v="Electronics"/>
    <s v="Phone"/>
    <s v="Phone"/>
    <n v="446.29"/>
    <n v="-2"/>
    <n v="1"/>
    <n v="10"/>
    <s v="Valid"/>
    <s v="Cash"/>
    <s v="Cash"/>
    <s v="Ben"/>
    <x v="3"/>
    <x v="1"/>
    <n v="2"/>
    <s v="ok"/>
    <n v="401.661"/>
  </r>
  <r>
    <s v="T100109"/>
    <s v="2025-08-02"/>
    <s v="C2810"/>
    <s v="Mary"/>
    <s v="Mary"/>
    <s v="Male"/>
    <n v="8"/>
    <s v="Invalid"/>
    <s v="Enugu"/>
    <x v="2"/>
    <s v="Home"/>
    <s v="Home"/>
    <s v="Chair"/>
    <s v="Chair"/>
    <n v="491.48"/>
    <n v="-2"/>
    <n v="1"/>
    <n v="15"/>
    <s v="Valid"/>
    <s v="Mobile Money"/>
    <s v="Mobile Money"/>
    <s v="Ada"/>
    <x v="2"/>
    <x v="0"/>
    <n v="4"/>
    <s v="ok"/>
    <n v="417.75799999999998"/>
  </r>
  <r>
    <s v="T100110"/>
    <s v="2025-01-16"/>
    <s v="C7654"/>
    <s v="Peter"/>
    <s v="Peter"/>
    <s v="Male"/>
    <n v="130"/>
    <s v="Invalid"/>
    <s v="Enugu"/>
    <x v="2"/>
    <s v="Groceries"/>
    <s v="Groceries"/>
    <s v="Rice"/>
    <s v="Rice"/>
    <n v="412"/>
    <n v="8"/>
    <n v="8"/>
    <n v="-10"/>
    <s v="invalid"/>
    <s v="Cash"/>
    <s v="Cash"/>
    <s v="Dan"/>
    <x v="0"/>
    <x v="1"/>
    <n v="1"/>
    <s v="ok"/>
    <n v="3625.6000000000004"/>
  </r>
  <r>
    <s v="T100111"/>
    <s v="2025-12-25"/>
    <s v="C4848"/>
    <s v="David"/>
    <s v="David"/>
    <s v="Female"/>
    <n v="8"/>
    <s v="Invalid"/>
    <s v="lagos"/>
    <x v="0"/>
    <s v="Home"/>
    <s v="Home"/>
    <s v="Chair"/>
    <s v="Chair"/>
    <n v="27.01"/>
    <n v="9"/>
    <n v="9"/>
    <n v="120"/>
    <s v="invalid"/>
    <s v="POS"/>
    <s v="Pos"/>
    <s v="Chi"/>
    <x v="1"/>
    <x v="1"/>
    <n v="5"/>
    <s v="ok"/>
    <n v="-48.617999999999988"/>
  </r>
  <r>
    <s v="T100112"/>
    <s v="27/04/2026"/>
    <s v="C3748"/>
    <m/>
    <s v=""/>
    <s v="Male"/>
    <n v="8"/>
    <s v="Invalid"/>
    <s v="Abuja"/>
    <x v="3"/>
    <s v="Fashion"/>
    <s v="Fashion"/>
    <s v="Shirt"/>
    <s v="Shirt"/>
    <n v="370.97"/>
    <n v="1"/>
    <n v="1"/>
    <n v="0"/>
    <s v="Valid"/>
    <s v="POS"/>
    <s v="Pos"/>
    <s v="Ada"/>
    <x v="2"/>
    <x v="2"/>
    <n v="4"/>
    <s v="Missing"/>
    <n v="370.97"/>
  </r>
  <r>
    <s v="T100113"/>
    <s v="2025-10-26"/>
    <s v="C8565"/>
    <s v="  James "/>
    <s v="James"/>
    <s v="Male"/>
    <n v="45"/>
    <s v="Valid"/>
    <s v="Enugu"/>
    <x v="2"/>
    <s v="Sports"/>
    <s v="Sports"/>
    <s v="Ball"/>
    <s v="Ball"/>
    <n v="198.54"/>
    <n v="10"/>
    <n v="10"/>
    <n v="-10"/>
    <s v="invalid"/>
    <m/>
    <s v=""/>
    <s v="Dan"/>
    <x v="0"/>
    <x v="0"/>
    <n v="4"/>
    <s v="ok"/>
    <n v="2183.94"/>
  </r>
  <r>
    <s v="T100114"/>
    <s v="2025-11-28"/>
    <s v="C2600"/>
    <s v="Peter"/>
    <s v="Peter"/>
    <s v="Female"/>
    <n v="8"/>
    <s v="Invalid"/>
    <s v="Enugu"/>
    <x v="2"/>
    <s v="Fashion"/>
    <s v="Fashion"/>
    <s v="Shirt"/>
    <s v="Shirt"/>
    <n v="465.33"/>
    <n v="-2"/>
    <n v="1"/>
    <n v="120"/>
    <s v="invalid"/>
    <s v="Mobile Money"/>
    <s v="Mobile Money"/>
    <s v="Ada"/>
    <x v="2"/>
    <x v="1"/>
    <n v="5"/>
    <s v="ok"/>
    <n v="-93.065999999999974"/>
  </r>
  <r>
    <s v="T100115"/>
    <s v="2025-10-02"/>
    <s v="C2258"/>
    <m/>
    <s v=""/>
    <s v="Male"/>
    <n v="130"/>
    <s v="Invalid"/>
    <s v="Enugu"/>
    <x v="2"/>
    <s v="Electronics"/>
    <s v="Electronics"/>
    <s v="Phone"/>
    <s v="Phone"/>
    <n v="223.98"/>
    <n v="3"/>
    <n v="3"/>
    <n v="15"/>
    <s v="Valid"/>
    <s v="Mobile Money"/>
    <s v="Mobile Money"/>
    <s v="Chi"/>
    <x v="1"/>
    <x v="1"/>
    <n v="3"/>
    <s v="Missing"/>
    <n v="571.14899999999989"/>
  </r>
  <r>
    <s v="T100116"/>
    <s v="2026-03-01"/>
    <s v="C5035"/>
    <s v="  James "/>
    <s v="James"/>
    <s v="Female"/>
    <n v="64"/>
    <s v="Valid"/>
    <s v="Enugu"/>
    <x v="2"/>
    <s v="Home"/>
    <s v="Home"/>
    <s v="Chair"/>
    <s v="Chair"/>
    <n v="399.12"/>
    <n v="-2"/>
    <n v="1"/>
    <n v="-10"/>
    <s v="invalid"/>
    <s v="Mobile Money"/>
    <s v="Mobile Money"/>
    <s v="Chi"/>
    <x v="1"/>
    <x v="3"/>
    <n v="3"/>
    <s v="ok"/>
    <n v="439.03200000000004"/>
  </r>
  <r>
    <s v="T100117"/>
    <s v="2025-06-10"/>
    <s v="C9755"/>
    <s v="John"/>
    <s v="John"/>
    <s v="Female"/>
    <n v="8"/>
    <s v="Invalid"/>
    <s v="Kano"/>
    <x v="4"/>
    <s v="Beauty"/>
    <s v="Beauty"/>
    <s v="Cream"/>
    <s v="Cream"/>
    <n v="178.51"/>
    <n v="8"/>
    <n v="8"/>
    <n v="-10"/>
    <s v="invalid"/>
    <s v="Transfer"/>
    <s v="Transfer"/>
    <s v="Ada"/>
    <x v="2"/>
    <x v="3"/>
    <n v="4"/>
    <s v="ok"/>
    <n v="1570.8880000000001"/>
  </r>
  <r>
    <s v="T100118"/>
    <s v="2026-03-20"/>
    <s v="C8586"/>
    <s v="Mary"/>
    <s v="Mary"/>
    <s v="Female"/>
    <n v="8"/>
    <s v="Invalid"/>
    <s v="Kano"/>
    <x v="4"/>
    <s v="groceris"/>
    <s v="Groceris"/>
    <s v="Rice"/>
    <s v="Rice"/>
    <n v="360.48"/>
    <n v="-2"/>
    <n v="1"/>
    <n v="10"/>
    <s v="Valid"/>
    <s v="Transfer"/>
    <s v="Transfer"/>
    <s v="Chi"/>
    <x v="1"/>
    <x v="2"/>
    <n v="3"/>
    <s v="ok"/>
    <n v="324.43200000000002"/>
  </r>
  <r>
    <s v="T100119"/>
    <s v="05/04/2026"/>
    <s v="C7326"/>
    <m/>
    <s v=""/>
    <s v="Male"/>
    <n v="8"/>
    <s v="Invalid"/>
    <s v="Abuja"/>
    <x v="3"/>
    <s v="groceris"/>
    <s v="Groceris"/>
    <s v="Rice"/>
    <s v="Rice"/>
    <n v="471.14"/>
    <n v="4"/>
    <n v="4"/>
    <n v="10"/>
    <s v="Valid"/>
    <s v="Transfer"/>
    <s v="Transfer"/>
    <s v="Chi"/>
    <x v="1"/>
    <x v="2"/>
    <n v="2"/>
    <s v="Missing"/>
    <n v="1696.104"/>
  </r>
  <r>
    <s v="T100120"/>
    <s v="2026-06-05"/>
    <s v="C3695"/>
    <m/>
    <s v=""/>
    <s v="Male"/>
    <n v="130"/>
    <s v="Invalid"/>
    <s v="PH"/>
    <x v="1"/>
    <s v="Electronics"/>
    <s v="Electronics"/>
    <s v="Phone"/>
    <s v="Phone"/>
    <n v="405.88"/>
    <n v="-2"/>
    <n v="1"/>
    <n v="15"/>
    <s v="Valid"/>
    <s v="Cash"/>
    <s v="Cash"/>
    <s v="Chi"/>
    <x v="1"/>
    <x v="0"/>
    <n v="4"/>
    <s v="Missing"/>
    <n v="344.99799999999999"/>
  </r>
  <r>
    <s v="T100121"/>
    <s v="2025-04-02"/>
    <s v="C6744"/>
    <s v="David"/>
    <s v="David"/>
    <s v="Female"/>
    <n v="130"/>
    <s v="Invalid"/>
    <s v="lagos"/>
    <x v="0"/>
    <s v="Groceries"/>
    <s v="Groceries"/>
    <s v="Rice"/>
    <s v="Rice"/>
    <n v="171.47"/>
    <n v="10"/>
    <n v="10"/>
    <n v="5"/>
    <s v="Valid"/>
    <s v="Mobile Money"/>
    <s v="Mobile Money"/>
    <s v="Dan"/>
    <x v="0"/>
    <x v="0"/>
    <n v="4"/>
    <s v="ok"/>
    <n v="1628.9649999999999"/>
  </r>
  <r>
    <s v="T100122"/>
    <s v="2026-03-18"/>
    <s v="C1585"/>
    <s v="David"/>
    <s v="David"/>
    <s v="Male"/>
    <n v="25"/>
    <s v="Valid"/>
    <s v="lagos"/>
    <x v="0"/>
    <s v="Groceries"/>
    <s v="Groceries"/>
    <s v="Rice"/>
    <s v="Rice"/>
    <n v="63.11"/>
    <n v="3"/>
    <n v="3"/>
    <n v="5"/>
    <s v="Valid"/>
    <m/>
    <s v=""/>
    <s v="Chi"/>
    <x v="1"/>
    <x v="1"/>
    <n v="3"/>
    <s v="ok"/>
    <n v="179.86349999999999"/>
  </r>
  <r>
    <s v="T100123"/>
    <s v="2025-06-14"/>
    <s v="C8361"/>
    <s v="Mary"/>
    <s v="Mary"/>
    <s v="Male"/>
    <n v="45"/>
    <s v="Valid"/>
    <s v="lagos"/>
    <x v="0"/>
    <s v="Fashion"/>
    <s v="Fashion"/>
    <s v="Shirt"/>
    <s v="Shirt"/>
    <n v="264.02"/>
    <n v="10"/>
    <n v="10"/>
    <n v="120"/>
    <s v="invalid"/>
    <s v="Transfer"/>
    <s v="Transfer"/>
    <s v="Ben"/>
    <x v="3"/>
    <x v="1"/>
    <n v="5"/>
    <s v="ok"/>
    <n v="-528.03999999999985"/>
  </r>
  <r>
    <s v="T100124"/>
    <s v="2026-05-02"/>
    <s v="C1157"/>
    <s v="Peter"/>
    <s v="Peter"/>
    <s v="Female"/>
    <n v="47"/>
    <s v="Valid"/>
    <s v="lagos"/>
    <x v="0"/>
    <s v="Electronics"/>
    <s v="Electronics"/>
    <s v="Phone"/>
    <s v="Phone"/>
    <n v="439.73"/>
    <n v="7"/>
    <n v="7"/>
    <n v="-10"/>
    <s v="invalid"/>
    <s v="Transfer"/>
    <s v="Transfer"/>
    <s v="Dan"/>
    <x v="0"/>
    <x v="1"/>
    <n v="4"/>
    <s v="ok"/>
    <n v="3385.9210000000003"/>
  </r>
  <r>
    <s v="T100125"/>
    <s v="2025-04-29"/>
    <s v="C5232"/>
    <s v="John"/>
    <s v="John"/>
    <s v="Female"/>
    <n v="34"/>
    <s v="Valid"/>
    <s v="Abuja"/>
    <x v="3"/>
    <s v="groceris"/>
    <s v="Groceris"/>
    <s v="Rice"/>
    <s v="Rice"/>
    <n v="211.58"/>
    <n v="3"/>
    <n v="3"/>
    <n v="-10"/>
    <s v="invalid"/>
    <s v="Mobile Money"/>
    <s v="Mobile Money"/>
    <s v="Ben"/>
    <x v="3"/>
    <x v="0"/>
    <n v="4"/>
    <s v="ok"/>
    <n v="698.21400000000006"/>
  </r>
  <r>
    <s v="T100126"/>
    <s v="28/03/2025"/>
    <s v="C1758"/>
    <m/>
    <s v=""/>
    <s v="Male"/>
    <n v="8"/>
    <s v="Invalid"/>
    <s v="lagos"/>
    <x v="0"/>
    <s v="Fashion"/>
    <s v="Fashion"/>
    <s v="Shirt"/>
    <s v="Shirt"/>
    <n v="169.5"/>
    <n v="2"/>
    <n v="2"/>
    <n v="15"/>
    <s v="Valid"/>
    <s v="Mobile Money"/>
    <s v="Mobile Money"/>
    <s v="Ada"/>
    <x v="2"/>
    <x v="3"/>
    <n v="5"/>
    <s v="Missing"/>
    <n v="288.14999999999998"/>
  </r>
  <r>
    <s v="T100127"/>
    <s v="2026-01-01"/>
    <s v="C6754"/>
    <s v="Aisha"/>
    <s v="Aisha"/>
    <s v="Male"/>
    <n v="51"/>
    <s v="Valid"/>
    <s v="Enugu"/>
    <x v="2"/>
    <s v="Fashion"/>
    <s v="Fashion"/>
    <s v="Shirt"/>
    <s v="Shirt"/>
    <n v="484.53"/>
    <n v="7"/>
    <n v="7"/>
    <n v="15"/>
    <s v="Valid"/>
    <s v="Mobile Money"/>
    <s v="Mobile Money"/>
    <s v="Chi"/>
    <x v="1"/>
    <x v="1"/>
    <n v="3"/>
    <s v="ok"/>
    <n v="2882.9535000000001"/>
  </r>
  <r>
    <s v="T100128"/>
    <s v="2025-03-09"/>
    <s v="C1678"/>
    <s v="Grace"/>
    <s v="Grace"/>
    <s v="Male"/>
    <n v="8"/>
    <s v="Invalid"/>
    <s v="Enugu"/>
    <x v="2"/>
    <s v="Home"/>
    <s v="Home"/>
    <s v="Chair"/>
    <s v="Chair"/>
    <n v="38.25"/>
    <n v="-2"/>
    <n v="1"/>
    <n v="5"/>
    <s v="Valid"/>
    <m/>
    <s v=""/>
    <s v="Ada"/>
    <x v="2"/>
    <x v="2"/>
    <n v="5"/>
    <s v="ok"/>
    <n v="36.337499999999999"/>
  </r>
  <r>
    <s v="T100129"/>
    <s v="2026-06-01"/>
    <s v="C6147"/>
    <m/>
    <s v=""/>
    <s v="Male"/>
    <n v="28"/>
    <s v="Valid"/>
    <s v="Abuja"/>
    <x v="3"/>
    <s v="Electronics"/>
    <s v="Electronics"/>
    <s v="Phone"/>
    <s v="Phone"/>
    <n v="443.49"/>
    <n v="7"/>
    <n v="7"/>
    <n v="-10"/>
    <s v="invalid"/>
    <m/>
    <s v=""/>
    <s v="Chi"/>
    <x v="1"/>
    <x v="2"/>
    <m/>
    <s v="Missing"/>
    <n v="3414.8730000000005"/>
  </r>
  <r>
    <s v="T100130"/>
    <s v="2025-10-10"/>
    <s v="C3753"/>
    <s v="  James "/>
    <s v="James"/>
    <s v="Female"/>
    <n v="130"/>
    <s v="Invalid"/>
    <s v="lagos"/>
    <x v="0"/>
    <s v="Home"/>
    <s v="Home"/>
    <s v="Chair"/>
    <s v="Chair"/>
    <n v="147.80000000000001"/>
    <n v="6"/>
    <n v="6"/>
    <n v="0"/>
    <s v="Valid"/>
    <m/>
    <s v=""/>
    <s v="Dan"/>
    <x v="0"/>
    <x v="2"/>
    <n v="5"/>
    <s v="ok"/>
    <n v="886.80000000000007"/>
  </r>
  <r>
    <s v="T100131"/>
    <s v="2025-10-10"/>
    <s v="C1843"/>
    <s v="Aisha"/>
    <s v="Aisha"/>
    <s v="Female"/>
    <n v="8"/>
    <s v="Invalid"/>
    <s v="lagos"/>
    <x v="0"/>
    <s v="groceris"/>
    <s v="Groceris"/>
    <s v="Rice"/>
    <s v="Rice"/>
    <n v="146.55000000000001"/>
    <n v="3"/>
    <n v="3"/>
    <n v="120"/>
    <s v="invalid"/>
    <s v="POS"/>
    <s v="Pos"/>
    <s v="Ada"/>
    <x v="2"/>
    <x v="1"/>
    <n v="4"/>
    <s v="ok"/>
    <n v="-87.929999999999993"/>
  </r>
  <r>
    <s v="T100132"/>
    <s v="2025-08-03"/>
    <s v="C3434"/>
    <s v="John"/>
    <s v="John"/>
    <s v="Female"/>
    <n v="8"/>
    <s v="Invalid"/>
    <s v="Abuja"/>
    <x v="3"/>
    <s v="Fashion"/>
    <s v="Fashion"/>
    <s v="Shirt"/>
    <s v="Shirt"/>
    <n v="5.66"/>
    <n v="1"/>
    <n v="1"/>
    <n v="15"/>
    <s v="Valid"/>
    <s v="Mobile Money"/>
    <s v="Mobile Money"/>
    <s v="Ada"/>
    <x v="2"/>
    <x v="1"/>
    <n v="2"/>
    <s v="ok"/>
    <n v="4.8109999999999999"/>
  </r>
  <r>
    <s v="T100133"/>
    <s v="31/05/2026"/>
    <s v="C8400"/>
    <m/>
    <s v=""/>
    <s v="Female"/>
    <n v="22"/>
    <s v="Valid"/>
    <s v="lagos"/>
    <x v="0"/>
    <s v="Home"/>
    <s v="Home"/>
    <s v="Chair"/>
    <s v="Chair"/>
    <n v="391.69"/>
    <n v="-2"/>
    <n v="1"/>
    <n v="15"/>
    <s v="Valid"/>
    <s v="Transfer"/>
    <s v="Transfer"/>
    <s v="Dan"/>
    <x v="0"/>
    <x v="3"/>
    <n v="1"/>
    <s v="Missing"/>
    <n v="332.93649999999997"/>
  </r>
  <r>
    <s v="T100134"/>
    <s v="2025-09-21"/>
    <s v="C9579"/>
    <s v="John"/>
    <s v="John"/>
    <s v="Female"/>
    <n v="130"/>
    <s v="Invalid"/>
    <s v="lagos"/>
    <x v="0"/>
    <s v="Sports"/>
    <s v="Sports"/>
    <s v="Ball"/>
    <s v="Ball"/>
    <n v="392.96"/>
    <n v="-2"/>
    <n v="1"/>
    <n v="15"/>
    <s v="Valid"/>
    <m/>
    <s v=""/>
    <s v="Ada"/>
    <x v="2"/>
    <x v="2"/>
    <n v="2"/>
    <s v="ok"/>
    <n v="334.01599999999996"/>
  </r>
  <r>
    <s v="T100135"/>
    <s v="2025-05-04"/>
    <s v="C7200"/>
    <s v="David"/>
    <s v="David"/>
    <s v="Male"/>
    <n v="130"/>
    <s v="Invalid"/>
    <s v="Kano"/>
    <x v="4"/>
    <s v="Groceries"/>
    <s v="Groceries"/>
    <s v="Rice"/>
    <s v="Rice"/>
    <n v="200.45"/>
    <n v="6"/>
    <n v="6"/>
    <n v="-10"/>
    <s v="invalid"/>
    <m/>
    <s v=""/>
    <s v="Ada"/>
    <x v="2"/>
    <x v="1"/>
    <n v="5"/>
    <s v="ok"/>
    <n v="1322.9699999999998"/>
  </r>
  <r>
    <s v="T100136"/>
    <s v="2025-11-10"/>
    <s v="C9373"/>
    <m/>
    <s v=""/>
    <s v="Female"/>
    <n v="130"/>
    <s v="Invalid"/>
    <s v="PH"/>
    <x v="1"/>
    <s v="Electronics"/>
    <s v="Electronics"/>
    <s v="Phone"/>
    <s v="Phone"/>
    <n v="331.64"/>
    <n v="9"/>
    <n v="9"/>
    <n v="15"/>
    <s v="Valid"/>
    <s v="Transfer"/>
    <s v="Transfer"/>
    <s v="Dan"/>
    <x v="0"/>
    <x v="1"/>
    <n v="5"/>
    <s v="Missing"/>
    <n v="2537.0459999999998"/>
  </r>
  <r>
    <s v="T100137"/>
    <s v="2026-06-14"/>
    <s v="C9420"/>
    <s v="Mary"/>
    <s v="Mary"/>
    <s v="Female"/>
    <n v="8"/>
    <s v="Invalid"/>
    <s v="lagos"/>
    <x v="0"/>
    <s v="Home"/>
    <s v="Home"/>
    <s v="Chair"/>
    <s v="Chair"/>
    <n v="322.72000000000003"/>
    <n v="5"/>
    <n v="5"/>
    <n v="120"/>
    <s v="invalid"/>
    <s v="Transfer"/>
    <s v="Transfer"/>
    <s v="Chi"/>
    <x v="1"/>
    <x v="1"/>
    <n v="1"/>
    <s v="ok"/>
    <n v="-322.71999999999997"/>
  </r>
  <r>
    <s v="T100138"/>
    <s v="2026-05-29"/>
    <s v="C3350"/>
    <s v="Peter"/>
    <s v="Peter"/>
    <s v="Male"/>
    <n v="35"/>
    <s v="Valid"/>
    <s v="Enugu"/>
    <x v="2"/>
    <s v="Sports"/>
    <s v="Sports"/>
    <s v="Ball"/>
    <s v="Ball"/>
    <n v="229"/>
    <n v="6"/>
    <n v="6"/>
    <n v="10"/>
    <s v="Valid"/>
    <m/>
    <s v=""/>
    <s v="Ben"/>
    <x v="3"/>
    <x v="3"/>
    <n v="5"/>
    <s v="ok"/>
    <n v="1236.6000000000001"/>
  </r>
  <r>
    <s v="T100139"/>
    <s v="2025-02-27"/>
    <s v="C4522"/>
    <s v="David"/>
    <s v="David"/>
    <s v="Female"/>
    <n v="25"/>
    <s v="Valid"/>
    <s v="lagos"/>
    <x v="0"/>
    <s v="Fashion"/>
    <s v="Fashion"/>
    <s v="Shirt"/>
    <s v="Shirt"/>
    <n v="73.31"/>
    <n v="-2"/>
    <n v="1"/>
    <n v="-10"/>
    <s v="invalid"/>
    <s v="Cash"/>
    <s v="Cash"/>
    <s v="Ben"/>
    <x v="3"/>
    <x v="2"/>
    <n v="4"/>
    <s v="ok"/>
    <n v="80.641000000000005"/>
  </r>
  <r>
    <s v="T100140"/>
    <s v="21/02/2026"/>
    <s v="C9808"/>
    <s v="Mary"/>
    <s v="Mary"/>
    <s v="Male"/>
    <n v="8"/>
    <s v="Invalid"/>
    <s v="lagos"/>
    <x v="0"/>
    <s v="groceris"/>
    <s v="Groceris"/>
    <s v="Rice"/>
    <s v="Rice"/>
    <n v="222.41"/>
    <n v="-2"/>
    <n v="1"/>
    <n v="-10"/>
    <s v="invalid"/>
    <s v="Transfer"/>
    <s v="Transfer"/>
    <s v="Ada"/>
    <x v="2"/>
    <x v="1"/>
    <n v="5"/>
    <s v="ok"/>
    <n v="244.65100000000001"/>
  </r>
  <r>
    <s v="T100141"/>
    <s v="2025-08-20"/>
    <s v="C8528"/>
    <s v="Grace"/>
    <s v="Grace"/>
    <s v="Male"/>
    <n v="52"/>
    <s v="Valid"/>
    <s v="lagos"/>
    <x v="0"/>
    <s v="Fashion"/>
    <s v="Fashion"/>
    <s v="Shirt"/>
    <s v="Shirt"/>
    <n v="325.52999999999997"/>
    <n v="9"/>
    <n v="9"/>
    <n v="15"/>
    <s v="Valid"/>
    <s v="Cash"/>
    <s v="Cash"/>
    <s v="Ada"/>
    <x v="2"/>
    <x v="1"/>
    <n v="2"/>
    <s v="ok"/>
    <n v="2490.3044999999997"/>
  </r>
  <r>
    <s v="T100142"/>
    <s v="2025-12-20"/>
    <s v="C8657"/>
    <s v="John"/>
    <s v="John"/>
    <s v="Male"/>
    <n v="8"/>
    <s v="Invalid"/>
    <s v="lagos"/>
    <x v="0"/>
    <s v="groceris"/>
    <s v="Groceris"/>
    <s v="Rice"/>
    <s v="Rice"/>
    <n v="421.83"/>
    <n v="6"/>
    <n v="6"/>
    <n v="15"/>
    <s v="Valid"/>
    <m/>
    <s v=""/>
    <s v="Dan"/>
    <x v="0"/>
    <x v="1"/>
    <n v="1"/>
    <s v="ok"/>
    <n v="2151.3330000000001"/>
  </r>
  <r>
    <s v="T100143"/>
    <s v="2025-10-07"/>
    <s v="C3100"/>
    <m/>
    <s v=""/>
    <s v="Male"/>
    <n v="59"/>
    <s v="Valid"/>
    <s v="lagos"/>
    <x v="0"/>
    <s v="Fashion"/>
    <s v="Fashion"/>
    <s v="Shirt"/>
    <s v="Shirt"/>
    <n v="91.76"/>
    <n v="10"/>
    <n v="10"/>
    <n v="5"/>
    <s v="Valid"/>
    <s v="Cash"/>
    <s v="Cash"/>
    <s v="Ben"/>
    <x v="3"/>
    <x v="1"/>
    <n v="5"/>
    <s v="Missing"/>
    <n v="871.72"/>
  </r>
  <r>
    <s v="T100144"/>
    <s v="2026-01-09"/>
    <s v="C9665"/>
    <s v="Mary"/>
    <s v="Mary"/>
    <s v="Female"/>
    <n v="8"/>
    <s v="Invalid"/>
    <s v="Enugu"/>
    <x v="2"/>
    <s v="Sports"/>
    <s v="Sports"/>
    <s v="Ball"/>
    <s v="Ball"/>
    <n v="8.01"/>
    <n v="-2"/>
    <n v="1"/>
    <n v="120"/>
    <s v="invalid"/>
    <s v="Cash"/>
    <s v="Cash"/>
    <s v="Chi"/>
    <x v="1"/>
    <x v="3"/>
    <n v="5"/>
    <s v="ok"/>
    <n v="-1.6019999999999996"/>
  </r>
  <r>
    <s v="T100145"/>
    <s v="2025-02-20"/>
    <s v="C4806"/>
    <s v="Peter"/>
    <s v="Peter"/>
    <s v="Male"/>
    <n v="130"/>
    <s v="Invalid"/>
    <s v="lagos"/>
    <x v="0"/>
    <s v="Beauty"/>
    <s v="Beauty"/>
    <s v="Cream"/>
    <s v="Cream"/>
    <n v="180.51"/>
    <n v="-2"/>
    <n v="1"/>
    <n v="15"/>
    <s v="Valid"/>
    <s v="Mobile Money"/>
    <s v="Mobile Money"/>
    <s v="Dan"/>
    <x v="0"/>
    <x v="0"/>
    <m/>
    <s v="ok"/>
    <n v="153.43349999999998"/>
  </r>
  <r>
    <s v="T100146"/>
    <s v="2025-02-01"/>
    <s v="C4176"/>
    <s v="Aisha"/>
    <s v="Aisha"/>
    <s v="Female"/>
    <n v="130"/>
    <s v="Invalid"/>
    <s v="Enugu"/>
    <x v="2"/>
    <s v="Beauty"/>
    <s v="Beauty"/>
    <s v="Cream"/>
    <s v="Cream"/>
    <n v="252.52"/>
    <n v="9"/>
    <n v="9"/>
    <n v="15"/>
    <s v="Valid"/>
    <s v="Cash"/>
    <s v="Cash"/>
    <s v="Ada"/>
    <x v="2"/>
    <x v="1"/>
    <n v="1"/>
    <s v="ok"/>
    <n v="1931.7780000000002"/>
  </r>
  <r>
    <s v="T100147"/>
    <s v="02/04/2025"/>
    <s v="C6172"/>
    <s v="John"/>
    <s v="John"/>
    <s v="Female"/>
    <n v="130"/>
    <s v="Invalid"/>
    <s v="PH"/>
    <x v="1"/>
    <s v="Home"/>
    <s v="Home"/>
    <s v="Chair"/>
    <s v="Chair"/>
    <n v="494.33"/>
    <n v="9"/>
    <n v="9"/>
    <n v="5"/>
    <s v="Valid"/>
    <s v="Mobile Money"/>
    <s v="Mobile Money"/>
    <s v="Ada"/>
    <x v="2"/>
    <x v="3"/>
    <n v="4"/>
    <s v="ok"/>
    <n v="4226.5214999999998"/>
  </r>
  <r>
    <s v="T100148"/>
    <s v="2026-01-01"/>
    <s v="C4142"/>
    <s v="  James "/>
    <s v="James"/>
    <s v="Male"/>
    <n v="130"/>
    <s v="Invalid"/>
    <s v="Abuja"/>
    <x v="3"/>
    <s v="Beauty"/>
    <s v="Beauty"/>
    <s v="Cream"/>
    <s v="Cream"/>
    <n v="145.80000000000001"/>
    <n v="-2"/>
    <n v="1"/>
    <n v="120"/>
    <s v="invalid"/>
    <s v="Transfer"/>
    <s v="Transfer"/>
    <s v="Dan"/>
    <x v="0"/>
    <x v="0"/>
    <n v="5"/>
    <s v="ok"/>
    <n v="-29.159999999999997"/>
  </r>
  <r>
    <s v="T100149"/>
    <s v="2025-01-21"/>
    <s v="C7533"/>
    <s v="Mary"/>
    <s v="Mary"/>
    <s v="Female"/>
    <n v="49"/>
    <s v="Valid"/>
    <s v="lagos"/>
    <x v="0"/>
    <s v="Beauty"/>
    <s v="Beauty"/>
    <s v="Cream"/>
    <s v="Cream"/>
    <n v="234.56"/>
    <n v="-2"/>
    <n v="1"/>
    <n v="120"/>
    <s v="invalid"/>
    <s v="Mobile Money"/>
    <s v="Mobile Money"/>
    <s v="Chi"/>
    <x v="1"/>
    <x v="2"/>
    <n v="3"/>
    <s v="ok"/>
    <n v="-46.911999999999992"/>
  </r>
  <r>
    <s v="T100150"/>
    <s v="2025-04-19"/>
    <s v="C4468"/>
    <s v="Aisha"/>
    <s v="Aisha"/>
    <s v="Male"/>
    <n v="130"/>
    <s v="Invalid"/>
    <s v="Enugu"/>
    <x v="2"/>
    <s v="Home"/>
    <s v="Home"/>
    <s v="Chair"/>
    <s v="Chair"/>
    <n v="181.14"/>
    <n v="10"/>
    <n v="10"/>
    <n v="15"/>
    <s v="Valid"/>
    <s v="Mobile Money"/>
    <s v="Mobile Money"/>
    <s v="Ada"/>
    <x v="2"/>
    <x v="3"/>
    <n v="4"/>
    <s v="ok"/>
    <n v="1539.6899999999998"/>
  </r>
  <r>
    <s v="T100151"/>
    <s v="2025-10-12"/>
    <s v="C9164"/>
    <m/>
    <s v=""/>
    <s v="Male"/>
    <n v="130"/>
    <s v="Invalid"/>
    <s v="PH"/>
    <x v="1"/>
    <s v="Home"/>
    <s v="Home"/>
    <s v="Chair"/>
    <s v="Chair"/>
    <n v="263.45999999999998"/>
    <n v="4"/>
    <n v="4"/>
    <n v="15"/>
    <s v="Valid"/>
    <s v="POS"/>
    <s v="Pos"/>
    <s v="Ben"/>
    <x v="3"/>
    <x v="0"/>
    <n v="5"/>
    <s v="Missing"/>
    <n v="895.7639999999999"/>
  </r>
  <r>
    <s v="T100152"/>
    <s v="2025-04-14"/>
    <s v="C6431"/>
    <s v="  James "/>
    <s v="James"/>
    <s v="Female"/>
    <n v="130"/>
    <s v="Invalid"/>
    <s v="lagos"/>
    <x v="0"/>
    <s v="Sports"/>
    <s v="Sports"/>
    <s v="Ball"/>
    <s v="Ball"/>
    <n v="232.6"/>
    <n v="-2"/>
    <n v="1"/>
    <n v="120"/>
    <s v="invalid"/>
    <m/>
    <s v=""/>
    <s v="Dan"/>
    <x v="0"/>
    <x v="1"/>
    <n v="2"/>
    <s v="ok"/>
    <n v="-46.519999999999989"/>
  </r>
  <r>
    <s v="T100153"/>
    <s v="2026-02-22"/>
    <s v="C2433"/>
    <s v="Peter"/>
    <s v="Peter"/>
    <s v="Male"/>
    <n v="8"/>
    <s v="Invalid"/>
    <s v="Kano"/>
    <x v="4"/>
    <s v="Electronics"/>
    <s v="Electronics"/>
    <s v="Phone"/>
    <s v="Phone"/>
    <n v="61.05"/>
    <n v="-2"/>
    <n v="1"/>
    <n v="10"/>
    <s v="Valid"/>
    <s v="POS"/>
    <s v="Pos"/>
    <s v="Dan"/>
    <x v="0"/>
    <x v="1"/>
    <m/>
    <s v="ok"/>
    <n v="54.945"/>
  </r>
  <r>
    <s v="T100154"/>
    <s v="05/03/2025"/>
    <s v="C9863"/>
    <s v="Peter"/>
    <s v="Peter"/>
    <s v="Female"/>
    <n v="130"/>
    <s v="Invalid"/>
    <s v="Kano"/>
    <x v="4"/>
    <s v="Fashion"/>
    <s v="Fashion"/>
    <s v="Shirt"/>
    <s v="Shirt"/>
    <n v="51.52"/>
    <n v="1"/>
    <n v="1"/>
    <n v="0"/>
    <s v="Valid"/>
    <s v="Mobile Money"/>
    <s v="Mobile Money"/>
    <s v="Chi"/>
    <x v="1"/>
    <x v="0"/>
    <n v="3"/>
    <s v="ok"/>
    <n v="51.52"/>
  </r>
  <r>
    <s v="T100155"/>
    <s v="2026-04-28"/>
    <s v="C8601"/>
    <s v="  James "/>
    <s v="James"/>
    <s v="Male"/>
    <n v="8"/>
    <s v="Invalid"/>
    <s v="Kano"/>
    <x v="4"/>
    <s v="groceris"/>
    <s v="Groceris"/>
    <s v="Rice"/>
    <s v="Rice"/>
    <n v="395.87"/>
    <n v="-2"/>
    <n v="1"/>
    <n v="120"/>
    <s v="invalid"/>
    <m/>
    <s v=""/>
    <s v="Ben"/>
    <x v="3"/>
    <x v="2"/>
    <n v="4"/>
    <s v="ok"/>
    <n v="-79.173999999999978"/>
  </r>
  <r>
    <s v="T100156"/>
    <s v="2025-08-19"/>
    <s v="C1169"/>
    <s v="John"/>
    <s v="John"/>
    <s v="Male"/>
    <n v="130"/>
    <s v="Invalid"/>
    <s v="lagos"/>
    <x v="0"/>
    <s v="Sports"/>
    <s v="Sports"/>
    <s v="Ball"/>
    <s v="Ball"/>
    <n v="215.93"/>
    <n v="-2"/>
    <n v="1"/>
    <n v="120"/>
    <s v="invalid"/>
    <s v="Transfer"/>
    <s v="Transfer"/>
    <s v="Ben"/>
    <x v="3"/>
    <x v="0"/>
    <n v="4"/>
    <s v="ok"/>
    <n v="-43.185999999999993"/>
  </r>
  <r>
    <s v="T100157"/>
    <s v="2025-04-06"/>
    <s v="C8722"/>
    <s v="Peter"/>
    <s v="Peter"/>
    <s v="Male"/>
    <n v="8"/>
    <s v="Invalid"/>
    <s v="lagos"/>
    <x v="0"/>
    <s v="Sports"/>
    <s v="Sports"/>
    <s v="Ball"/>
    <s v="Ball"/>
    <n v="481.63"/>
    <n v="5"/>
    <n v="5"/>
    <n v="15"/>
    <s v="Valid"/>
    <s v="Mobile Money"/>
    <s v="Mobile Money"/>
    <s v="Dan"/>
    <x v="0"/>
    <x v="0"/>
    <n v="3"/>
    <s v="ok"/>
    <n v="2046.9275"/>
  </r>
  <r>
    <s v="T100158"/>
    <s v="2025-01-13"/>
    <s v="C2928"/>
    <s v="David"/>
    <s v="David"/>
    <s v="Female"/>
    <n v="65"/>
    <s v="Invalid"/>
    <s v="Enugu"/>
    <x v="2"/>
    <s v="Electronics"/>
    <s v="Electronics"/>
    <s v="Phone"/>
    <s v="Phone"/>
    <n v="285.27"/>
    <n v="5"/>
    <n v="5"/>
    <n v="15"/>
    <s v="Valid"/>
    <m/>
    <s v=""/>
    <s v="Ada"/>
    <x v="2"/>
    <x v="2"/>
    <n v="5"/>
    <s v="ok"/>
    <n v="1212.3974999999998"/>
  </r>
  <r>
    <s v="T100159"/>
    <s v="2025-01-13"/>
    <s v="C5843"/>
    <s v="Mary"/>
    <s v="Mary"/>
    <s v="Male"/>
    <n v="130"/>
    <s v="Invalid"/>
    <s v="lagos"/>
    <x v="0"/>
    <s v="groceris"/>
    <s v="Groceris"/>
    <s v="Rice"/>
    <s v="Rice"/>
    <n v="330.13"/>
    <n v="-2"/>
    <n v="1"/>
    <n v="0"/>
    <s v="Valid"/>
    <s v="POS"/>
    <s v="Pos"/>
    <s v="Ada"/>
    <x v="2"/>
    <x v="2"/>
    <n v="5"/>
    <s v="ok"/>
    <n v="330.13"/>
  </r>
  <r>
    <s v="T100160"/>
    <s v="2025-07-03"/>
    <s v="C2622"/>
    <m/>
    <s v=""/>
    <s v="Female"/>
    <n v="40"/>
    <s v="Valid"/>
    <s v="Kano"/>
    <x v="4"/>
    <s v="Sports"/>
    <s v="Sports"/>
    <s v="Ball"/>
    <s v="Ball"/>
    <n v="335.99"/>
    <n v="-2"/>
    <n v="1"/>
    <n v="120"/>
    <s v="invalid"/>
    <s v="Mobile Money"/>
    <s v="Mobile Money"/>
    <s v="Dan"/>
    <x v="0"/>
    <x v="2"/>
    <n v="2"/>
    <s v="Missing"/>
    <n v="-67.197999999999993"/>
  </r>
  <r>
    <s v="T100161"/>
    <s v="31/01/2025"/>
    <s v="C9402"/>
    <s v="  James "/>
    <s v="James"/>
    <s v="Male"/>
    <n v="23"/>
    <s v="Valid"/>
    <s v="lagos"/>
    <x v="0"/>
    <s v="Electronics"/>
    <s v="Electronics"/>
    <s v="Phone"/>
    <s v="Phone"/>
    <n v="397.16"/>
    <n v="9"/>
    <n v="9"/>
    <n v="-10"/>
    <s v="invalid"/>
    <s v="Cash"/>
    <s v="Cash"/>
    <s v="Ben"/>
    <x v="3"/>
    <x v="3"/>
    <n v="4"/>
    <s v="ok"/>
    <n v="3931.8840000000005"/>
  </r>
  <r>
    <s v="T100162"/>
    <s v="2025-04-30"/>
    <s v="C4564"/>
    <s v="Aisha"/>
    <s v="Aisha"/>
    <s v="Male"/>
    <n v="130"/>
    <s v="Invalid"/>
    <s v="Kano"/>
    <x v="4"/>
    <s v="Beauty"/>
    <s v="Beauty"/>
    <s v="Cream"/>
    <s v="Cream"/>
    <n v="347.05"/>
    <n v="-2"/>
    <n v="1"/>
    <n v="15"/>
    <s v="Valid"/>
    <s v="POS"/>
    <s v="Pos"/>
    <s v="Chi"/>
    <x v="1"/>
    <x v="0"/>
    <n v="3"/>
    <s v="ok"/>
    <n v="294.99250000000001"/>
  </r>
  <r>
    <s v="T100163"/>
    <s v="2025-02-21"/>
    <s v="C4242"/>
    <s v="Peter"/>
    <s v="Peter"/>
    <s v="Female"/>
    <n v="130"/>
    <s v="Invalid"/>
    <s v="PH"/>
    <x v="1"/>
    <s v="Electronics"/>
    <s v="Electronics"/>
    <s v="Phone"/>
    <s v="Phone"/>
    <n v="142.99"/>
    <n v="-2"/>
    <n v="1"/>
    <n v="0"/>
    <s v="Valid"/>
    <s v="Transfer"/>
    <s v="Transfer"/>
    <s v="Ben"/>
    <x v="3"/>
    <x v="0"/>
    <n v="1"/>
    <s v="ok"/>
    <n v="142.99"/>
  </r>
  <r>
    <s v="T100164"/>
    <s v="2025-12-16"/>
    <s v="C2671"/>
    <s v="John"/>
    <s v="John"/>
    <s v="Male"/>
    <n v="61"/>
    <s v="Valid"/>
    <s v="lagos"/>
    <x v="0"/>
    <s v="groceris"/>
    <s v="Groceris"/>
    <s v="Rice"/>
    <s v="Rice"/>
    <n v="141.72999999999999"/>
    <n v="-2"/>
    <n v="1"/>
    <n v="0"/>
    <s v="Valid"/>
    <s v="POS"/>
    <s v="Pos"/>
    <s v="Ben"/>
    <x v="3"/>
    <x v="2"/>
    <n v="3"/>
    <s v="ok"/>
    <n v="141.72999999999999"/>
  </r>
  <r>
    <s v="T100165"/>
    <s v="2026-05-21"/>
    <s v="C6617"/>
    <s v="Grace"/>
    <s v="Grace"/>
    <s v="Male"/>
    <n v="8"/>
    <s v="Invalid"/>
    <s v="lagos"/>
    <x v="0"/>
    <s v="Home"/>
    <s v="Home"/>
    <s v="Chair"/>
    <s v="Chair"/>
    <n v="168.9"/>
    <n v="-2"/>
    <n v="1"/>
    <n v="10"/>
    <s v="Valid"/>
    <m/>
    <s v=""/>
    <s v="Dan"/>
    <x v="0"/>
    <x v="0"/>
    <n v="5"/>
    <s v="ok"/>
    <n v="152.01000000000002"/>
  </r>
  <r>
    <s v="T100166"/>
    <s v="2025-03-26"/>
    <s v="C8406"/>
    <s v="Aisha"/>
    <s v="Aisha"/>
    <s v="Male"/>
    <n v="8"/>
    <s v="Invalid"/>
    <s v="lagos"/>
    <x v="0"/>
    <s v="Electronics"/>
    <s v="Electronics"/>
    <s v="Phone"/>
    <s v="Phone"/>
    <n v="196.51"/>
    <n v="8"/>
    <n v="8"/>
    <n v="120"/>
    <s v="invalid"/>
    <m/>
    <s v=""/>
    <s v="Ada"/>
    <x v="2"/>
    <x v="1"/>
    <n v="1"/>
    <s v="ok"/>
    <n v="-314.41599999999994"/>
  </r>
  <r>
    <s v="T100167"/>
    <s v="2026-04-08"/>
    <s v="C4413"/>
    <m/>
    <s v=""/>
    <s v="Male"/>
    <n v="25"/>
    <s v="Valid"/>
    <s v="lagos"/>
    <x v="0"/>
    <s v="Electronics"/>
    <s v="Electronics"/>
    <s v="Phone"/>
    <s v="Phone"/>
    <n v="98.13"/>
    <n v="-2"/>
    <n v="1"/>
    <n v="10"/>
    <s v="Valid"/>
    <s v="Cash"/>
    <s v="Cash"/>
    <s v="Dan"/>
    <x v="0"/>
    <x v="1"/>
    <n v="1"/>
    <s v="Missing"/>
    <n v="88.316999999999993"/>
  </r>
  <r>
    <s v="T100168"/>
    <s v="10/01/2026"/>
    <s v="C2909"/>
    <s v="Aisha"/>
    <s v="Aisha"/>
    <s v="Female"/>
    <n v="61"/>
    <s v="Valid"/>
    <s v="PH"/>
    <x v="1"/>
    <s v="Electronics"/>
    <s v="Electronics"/>
    <s v="Phone"/>
    <s v="Phone"/>
    <n v="374.35"/>
    <n v="-2"/>
    <n v="1"/>
    <n v="5"/>
    <s v="Valid"/>
    <s v="Transfer"/>
    <s v="Transfer"/>
    <s v="Chi"/>
    <x v="1"/>
    <x v="1"/>
    <n v="5"/>
    <s v="ok"/>
    <n v="355.63249999999999"/>
  </r>
  <r>
    <s v="T100169"/>
    <s v="2025-05-01"/>
    <s v="C7044"/>
    <s v="Grace"/>
    <s v="Grace"/>
    <s v="Female"/>
    <n v="8"/>
    <s v="Invalid"/>
    <s v="lagos"/>
    <x v="0"/>
    <s v="Groceries"/>
    <s v="Groceries"/>
    <s v="Rice"/>
    <s v="Rice"/>
    <n v="30.14"/>
    <n v="2"/>
    <n v="2"/>
    <n v="15"/>
    <s v="Valid"/>
    <s v="Mobile Money"/>
    <s v="Mobile Money"/>
    <s v="Ben"/>
    <x v="3"/>
    <x v="0"/>
    <n v="1"/>
    <s v="ok"/>
    <n v="51.238"/>
  </r>
  <r>
    <s v="T100170"/>
    <s v="2025-05-26"/>
    <s v="C4917"/>
    <s v="Mary"/>
    <s v="Mary"/>
    <s v="Female"/>
    <n v="130"/>
    <s v="Invalid"/>
    <s v="Enugu"/>
    <x v="2"/>
    <s v="Electronics"/>
    <s v="Electronics"/>
    <s v="Phone"/>
    <s v="Phone"/>
    <n v="91.57"/>
    <n v="5"/>
    <n v="5"/>
    <n v="-10"/>
    <s v="invalid"/>
    <m/>
    <s v=""/>
    <s v="Ben"/>
    <x v="3"/>
    <x v="3"/>
    <n v="5"/>
    <s v="ok"/>
    <n v="503.63499999999999"/>
  </r>
  <r>
    <s v="T100171"/>
    <s v="2025-05-04"/>
    <s v="C3767"/>
    <s v="Mary"/>
    <s v="Mary"/>
    <s v="Female"/>
    <n v="130"/>
    <s v="Invalid"/>
    <s v="PH"/>
    <x v="1"/>
    <s v="Sports"/>
    <s v="Sports"/>
    <s v="Ball"/>
    <s v="Ball"/>
    <n v="419.13"/>
    <n v="1"/>
    <n v="1"/>
    <n v="5"/>
    <s v="Valid"/>
    <s v="POS"/>
    <s v="Pos"/>
    <s v="Chi"/>
    <x v="1"/>
    <x v="1"/>
    <n v="1"/>
    <s v="ok"/>
    <n v="398.17349999999999"/>
  </r>
  <r>
    <s v="T100172"/>
    <s v="2026-01-23"/>
    <s v="C9664"/>
    <s v="  James "/>
    <s v="James"/>
    <s v="Male"/>
    <n v="8"/>
    <s v="Invalid"/>
    <s v="lagos"/>
    <x v="0"/>
    <s v="Sports"/>
    <s v="Sports"/>
    <s v="Ball"/>
    <s v="Ball"/>
    <n v="35.43"/>
    <n v="10"/>
    <n v="10"/>
    <n v="0"/>
    <s v="Valid"/>
    <s v="Mobile Money"/>
    <s v="Mobile Money"/>
    <s v="Ben"/>
    <x v="3"/>
    <x v="0"/>
    <n v="5"/>
    <s v="ok"/>
    <n v="354.3"/>
  </r>
  <r>
    <s v="T100173"/>
    <s v="2026-06-05"/>
    <s v="C4423"/>
    <s v="Aisha"/>
    <s v="Aisha"/>
    <s v="Male"/>
    <n v="130"/>
    <s v="Invalid"/>
    <s v="Kano"/>
    <x v="4"/>
    <s v="Beauty"/>
    <s v="Beauty"/>
    <s v="Cream"/>
    <s v="Cream"/>
    <n v="194.9"/>
    <n v="-2"/>
    <n v="1"/>
    <n v="0"/>
    <s v="Valid"/>
    <s v="Cash"/>
    <s v="Cash"/>
    <s v="Dan"/>
    <x v="0"/>
    <x v="3"/>
    <n v="3"/>
    <s v="ok"/>
    <n v="194.9"/>
  </r>
  <r>
    <s v="T100174"/>
    <s v="2026-04-26"/>
    <s v="C9088"/>
    <s v="David"/>
    <s v="David"/>
    <s v="Male"/>
    <n v="130"/>
    <s v="Invalid"/>
    <s v="Kano"/>
    <x v="4"/>
    <s v="Groceries"/>
    <s v="Groceries"/>
    <s v="Rice"/>
    <s v="Rice"/>
    <n v="410.47"/>
    <n v="-2"/>
    <n v="1"/>
    <n v="120"/>
    <s v="invalid"/>
    <s v="Mobile Money"/>
    <s v="Mobile Money"/>
    <s v="Dan"/>
    <x v="0"/>
    <x v="0"/>
    <n v="1"/>
    <s v="ok"/>
    <n v="-82.093999999999994"/>
  </r>
  <r>
    <s v="T100175"/>
    <s v="08/06/2026"/>
    <s v="C6900"/>
    <s v="John"/>
    <s v="John"/>
    <s v="Female"/>
    <n v="130"/>
    <s v="Invalid"/>
    <s v="lagos"/>
    <x v="0"/>
    <s v="Electronics"/>
    <s v="Electronics"/>
    <s v="Phone"/>
    <s v="Phone"/>
    <n v="191.91"/>
    <n v="-2"/>
    <n v="1"/>
    <n v="5"/>
    <s v="Valid"/>
    <s v="Transfer"/>
    <s v="Transfer"/>
    <s v="Ada"/>
    <x v="2"/>
    <x v="3"/>
    <m/>
    <s v="ok"/>
    <n v="182.31449999999998"/>
  </r>
  <r>
    <s v="T100176"/>
    <s v="2025-03-18"/>
    <s v="C4434"/>
    <m/>
    <s v=""/>
    <s v="Male"/>
    <n v="130"/>
    <s v="Invalid"/>
    <s v="lagos"/>
    <x v="0"/>
    <s v="Beauty"/>
    <s v="Beauty"/>
    <s v="Cream"/>
    <s v="Cream"/>
    <n v="379.48"/>
    <n v="-2"/>
    <n v="1"/>
    <n v="15"/>
    <s v="Valid"/>
    <m/>
    <s v=""/>
    <s v="Chi"/>
    <x v="1"/>
    <x v="2"/>
    <m/>
    <s v="Missing"/>
    <n v="322.55799999999999"/>
  </r>
  <r>
    <s v="T100177"/>
    <s v="2025-04-01"/>
    <s v="C1586"/>
    <s v="John"/>
    <s v="John"/>
    <s v="Female"/>
    <n v="130"/>
    <s v="Invalid"/>
    <s v="lagos"/>
    <x v="0"/>
    <s v="Electronics"/>
    <s v="Electronics"/>
    <s v="Phone"/>
    <s v="Phone"/>
    <n v="252.91"/>
    <n v="-2"/>
    <n v="1"/>
    <n v="5"/>
    <s v="Valid"/>
    <s v="Mobile Money"/>
    <s v="Mobile Money"/>
    <s v="Chi"/>
    <x v="1"/>
    <x v="3"/>
    <n v="1"/>
    <s v="ok"/>
    <n v="240.2645"/>
  </r>
  <r>
    <s v="T100178"/>
    <s v="2025-12-02"/>
    <s v="C7048"/>
    <m/>
    <s v=""/>
    <s v="Female"/>
    <n v="60"/>
    <s v="Valid"/>
    <s v="Abuja"/>
    <x v="3"/>
    <s v="Beauty"/>
    <s v="Beauty"/>
    <s v="Cream"/>
    <s v="Cream"/>
    <n v="140.94999999999999"/>
    <n v="9"/>
    <n v="9"/>
    <n v="0"/>
    <s v="Valid"/>
    <s v="POS"/>
    <s v="Pos"/>
    <s v="Chi"/>
    <x v="1"/>
    <x v="1"/>
    <n v="2"/>
    <s v="Missing"/>
    <n v="1268.55"/>
  </r>
  <r>
    <s v="T100179"/>
    <s v="2026-05-17"/>
    <s v="C6064"/>
    <s v="  James "/>
    <s v="James"/>
    <s v="Male"/>
    <n v="8"/>
    <s v="Invalid"/>
    <s v="lagos"/>
    <x v="0"/>
    <s v="Home"/>
    <s v="Home"/>
    <s v="Chair"/>
    <s v="Chair"/>
    <n v="409.81"/>
    <n v="-2"/>
    <n v="1"/>
    <n v="10"/>
    <s v="Valid"/>
    <s v="Cash"/>
    <s v="Cash"/>
    <s v="Ada"/>
    <x v="2"/>
    <x v="0"/>
    <n v="5"/>
    <s v="ok"/>
    <n v="368.82900000000001"/>
  </r>
  <r>
    <s v="T100180"/>
    <s v="2026-06-17"/>
    <s v="C9866"/>
    <s v="Peter"/>
    <s v="Peter"/>
    <s v="Female"/>
    <n v="25"/>
    <s v="Valid"/>
    <s v="lagos"/>
    <x v="0"/>
    <s v="groceris"/>
    <s v="Groceris"/>
    <s v="Rice"/>
    <s v="Rice"/>
    <n v="187.05"/>
    <n v="-2"/>
    <n v="1"/>
    <n v="10"/>
    <s v="Valid"/>
    <s v="Transfer"/>
    <s v="Transfer"/>
    <s v="Ben"/>
    <x v="3"/>
    <x v="3"/>
    <n v="2"/>
    <s v="ok"/>
    <n v="168.34500000000003"/>
  </r>
  <r>
    <s v="T100181"/>
    <s v="2025-10-31"/>
    <s v="C2430"/>
    <s v="David"/>
    <s v="David"/>
    <s v="Male"/>
    <n v="8"/>
    <s v="Invalid"/>
    <s v="lagos"/>
    <x v="0"/>
    <s v="Electronics"/>
    <s v="Electronics"/>
    <s v="Phone"/>
    <s v="Phone"/>
    <n v="189.11"/>
    <n v="-2"/>
    <n v="1"/>
    <n v="120"/>
    <s v="invalid"/>
    <s v="Cash"/>
    <s v="Cash"/>
    <s v="Ada"/>
    <x v="2"/>
    <x v="3"/>
    <n v="5"/>
    <s v="ok"/>
    <n v="-37.821999999999996"/>
  </r>
  <r>
    <s v="T100182"/>
    <s v="30/08/2025"/>
    <s v="C7535"/>
    <m/>
    <s v=""/>
    <s v="Female"/>
    <n v="42"/>
    <s v="Valid"/>
    <s v="Abuja"/>
    <x v="3"/>
    <s v="Fashion"/>
    <s v="Fashion"/>
    <s v="Shirt"/>
    <s v="Shirt"/>
    <n v="207.67"/>
    <n v="-2"/>
    <n v="1"/>
    <n v="-10"/>
    <s v="invalid"/>
    <s v="Cash"/>
    <s v="Cash"/>
    <s v="Ben"/>
    <x v="3"/>
    <x v="3"/>
    <n v="1"/>
    <s v="Missing"/>
    <n v="228.43700000000001"/>
  </r>
  <r>
    <s v="T100183"/>
    <s v="2025-01-08"/>
    <s v="C2325"/>
    <s v="Mary"/>
    <s v="Mary"/>
    <s v="Male"/>
    <n v="130"/>
    <s v="Invalid"/>
    <s v="Kano"/>
    <x v="4"/>
    <s v="Electronics"/>
    <s v="Electronics"/>
    <s v="Phone"/>
    <s v="Phone"/>
    <n v="152.19"/>
    <n v="-2"/>
    <n v="1"/>
    <n v="0"/>
    <s v="Valid"/>
    <s v="Cash"/>
    <s v="Cash"/>
    <s v="Dan"/>
    <x v="0"/>
    <x v="0"/>
    <n v="1"/>
    <s v="ok"/>
    <n v="152.19"/>
  </r>
  <r>
    <s v="T100184"/>
    <s v="2025-03-23"/>
    <s v="C1461"/>
    <s v="David"/>
    <s v="David"/>
    <s v="Female"/>
    <n v="130"/>
    <s v="Invalid"/>
    <s v="Abuja"/>
    <x v="3"/>
    <s v="Fashion"/>
    <s v="Fashion"/>
    <s v="Shirt"/>
    <s v="Shirt"/>
    <n v="455.38"/>
    <n v="-2"/>
    <n v="1"/>
    <n v="0"/>
    <s v="Valid"/>
    <m/>
    <s v=""/>
    <s v="Chi"/>
    <x v="1"/>
    <x v="3"/>
    <n v="4"/>
    <s v="ok"/>
    <n v="455.38"/>
  </r>
  <r>
    <s v="T100185"/>
    <s v="2026-06-05"/>
    <s v="C7432"/>
    <s v="David"/>
    <s v="David"/>
    <s v="Female"/>
    <n v="18"/>
    <s v="Invalid"/>
    <s v="Enugu"/>
    <x v="2"/>
    <s v="groceris"/>
    <s v="Groceris"/>
    <s v="Rice"/>
    <s v="Rice"/>
    <n v="165.41"/>
    <n v="3"/>
    <n v="3"/>
    <n v="15"/>
    <s v="Valid"/>
    <m/>
    <s v=""/>
    <s v="Dan"/>
    <x v="0"/>
    <x v="3"/>
    <n v="5"/>
    <s v="ok"/>
    <n v="421.7955"/>
  </r>
  <r>
    <s v="T100186"/>
    <s v="2025-04-27"/>
    <s v="C8428"/>
    <s v="John"/>
    <s v="John"/>
    <s v="Female"/>
    <n v="8"/>
    <s v="Invalid"/>
    <s v="PH"/>
    <x v="1"/>
    <s v="Sports"/>
    <s v="Sports"/>
    <s v="Ball"/>
    <s v="Ball"/>
    <n v="464.09"/>
    <n v="-2"/>
    <n v="1"/>
    <n v="5"/>
    <s v="Valid"/>
    <m/>
    <s v=""/>
    <s v="Ada"/>
    <x v="2"/>
    <x v="0"/>
    <n v="2"/>
    <s v="ok"/>
    <n v="440.88549999999998"/>
  </r>
  <r>
    <s v="T100187"/>
    <s v="2026-05-06"/>
    <s v="C8348"/>
    <s v="John"/>
    <s v="John"/>
    <s v="Male"/>
    <n v="8"/>
    <s v="Invalid"/>
    <s v="PH"/>
    <x v="1"/>
    <s v="Electronics"/>
    <s v="Electronics"/>
    <s v="Phone"/>
    <s v="Phone"/>
    <n v="336.04"/>
    <n v="7"/>
    <n v="7"/>
    <n v="10"/>
    <s v="Valid"/>
    <m/>
    <s v=""/>
    <s v="Dan"/>
    <x v="0"/>
    <x v="3"/>
    <n v="2"/>
    <s v="ok"/>
    <n v="2117.0520000000001"/>
  </r>
  <r>
    <s v="T100188"/>
    <s v="2025-04-24"/>
    <s v="C1623"/>
    <s v="Peter"/>
    <s v="Peter"/>
    <s v="Male"/>
    <n v="56"/>
    <s v="Valid"/>
    <s v="Enugu"/>
    <x v="2"/>
    <s v="Electronics"/>
    <s v="Electronics"/>
    <s v="Phone"/>
    <s v="Phone"/>
    <n v="312.10000000000002"/>
    <n v="-2"/>
    <n v="1"/>
    <n v="0"/>
    <s v="Valid"/>
    <s v="POS"/>
    <s v="Pos"/>
    <s v="Ada"/>
    <x v="2"/>
    <x v="0"/>
    <m/>
    <s v="ok"/>
    <n v="312.10000000000002"/>
  </r>
  <r>
    <s v="T100189"/>
    <s v="25/01/2025"/>
    <s v="C5953"/>
    <s v="Mary"/>
    <s v="Mary"/>
    <s v="Female"/>
    <n v="27"/>
    <s v="Valid"/>
    <s v="Abuja"/>
    <x v="3"/>
    <s v="Fashion"/>
    <s v="Fashion"/>
    <s v="Shirt"/>
    <s v="Shirt"/>
    <n v="213.62"/>
    <n v="3"/>
    <n v="3"/>
    <n v="15"/>
    <s v="Valid"/>
    <s v="Cash"/>
    <s v="Cash"/>
    <s v="Ada"/>
    <x v="2"/>
    <x v="2"/>
    <n v="2"/>
    <s v="ok"/>
    <n v="544.73099999999999"/>
  </r>
  <r>
    <s v="T100190"/>
    <s v="2025-02-05"/>
    <s v="C5229"/>
    <s v="David"/>
    <s v="David"/>
    <s v="Male"/>
    <n v="130"/>
    <s v="Invalid"/>
    <s v="Kano"/>
    <x v="4"/>
    <s v="Home"/>
    <s v="Home"/>
    <s v="Chair"/>
    <s v="Chair"/>
    <n v="97.2"/>
    <n v="10"/>
    <n v="10"/>
    <n v="10"/>
    <s v="Valid"/>
    <s v="Cash"/>
    <s v="Cash"/>
    <s v="Ben"/>
    <x v="3"/>
    <x v="3"/>
    <n v="4"/>
    <s v="ok"/>
    <n v="874.80000000000007"/>
  </r>
  <r>
    <s v="T100191"/>
    <s v="2025-08-09"/>
    <s v="C3859"/>
    <s v="David"/>
    <s v="David"/>
    <s v="Female"/>
    <n v="130"/>
    <s v="Invalid"/>
    <s v="Kano"/>
    <x v="4"/>
    <s v="Fashion"/>
    <s v="Fashion"/>
    <s v="Shirt"/>
    <s v="Shirt"/>
    <n v="487.19"/>
    <n v="-2"/>
    <n v="1"/>
    <n v="15"/>
    <s v="Valid"/>
    <s v="POS"/>
    <s v="Pos"/>
    <s v="Ada"/>
    <x v="2"/>
    <x v="3"/>
    <n v="1"/>
    <s v="ok"/>
    <n v="414.11149999999998"/>
  </r>
  <r>
    <s v="T100192"/>
    <s v="2025-04-24"/>
    <s v="C8031"/>
    <s v="Aisha"/>
    <s v="Aisha"/>
    <s v="Female"/>
    <n v="8"/>
    <s v="Invalid"/>
    <s v="lagos"/>
    <x v="0"/>
    <s v="Home"/>
    <s v="Home"/>
    <s v="Chair"/>
    <s v="Chair"/>
    <n v="194.33"/>
    <n v="-2"/>
    <n v="1"/>
    <n v="0"/>
    <s v="Valid"/>
    <s v="POS"/>
    <s v="Pos"/>
    <s v="Ben"/>
    <x v="3"/>
    <x v="2"/>
    <n v="5"/>
    <s v="ok"/>
    <n v="194.33"/>
  </r>
  <r>
    <s v="T100193"/>
    <s v="2026-04-01"/>
    <s v="C6270"/>
    <m/>
    <s v=""/>
    <s v="Male"/>
    <n v="25"/>
    <s v="Valid"/>
    <s v="lagos"/>
    <x v="0"/>
    <s v="Fashion"/>
    <s v="Fashion"/>
    <s v="Shirt"/>
    <s v="Shirt"/>
    <n v="180.8"/>
    <n v="6"/>
    <n v="6"/>
    <n v="120"/>
    <s v="invalid"/>
    <s v="Mobile Money"/>
    <s v="Mobile Money"/>
    <s v="Ben"/>
    <x v="3"/>
    <x v="1"/>
    <n v="3"/>
    <s v="Missing"/>
    <n v="-216.95999999999998"/>
  </r>
  <r>
    <s v="T100194"/>
    <s v="2026-06-15"/>
    <s v="C3889"/>
    <s v="John"/>
    <s v="John"/>
    <s v="Male"/>
    <n v="130"/>
    <s v="Invalid"/>
    <s v="lagos"/>
    <x v="0"/>
    <s v="Sports"/>
    <s v="Sports"/>
    <s v="Ball"/>
    <s v="Ball"/>
    <n v="367.76"/>
    <n v="-2"/>
    <n v="1"/>
    <n v="15"/>
    <s v="Valid"/>
    <s v="Mobile Money"/>
    <s v="Mobile Money"/>
    <s v="Chi"/>
    <x v="1"/>
    <x v="1"/>
    <n v="1"/>
    <s v="ok"/>
    <n v="312.596"/>
  </r>
  <r>
    <s v="T100195"/>
    <s v="2025-08-05"/>
    <s v="C3683"/>
    <s v="  James "/>
    <s v="James"/>
    <s v="Male"/>
    <n v="8"/>
    <s v="Invalid"/>
    <s v="lagos"/>
    <x v="0"/>
    <s v="Electronics"/>
    <s v="Electronics"/>
    <s v="Phone"/>
    <s v="Phone"/>
    <n v="88.67"/>
    <n v="8"/>
    <n v="8"/>
    <n v="10"/>
    <s v="Valid"/>
    <m/>
    <s v=""/>
    <s v="Ben"/>
    <x v="3"/>
    <x v="1"/>
    <n v="5"/>
    <s v="ok"/>
    <n v="638.42399999999998"/>
  </r>
  <r>
    <s v="T100196"/>
    <s v="01/05/2025"/>
    <s v="C6603"/>
    <s v="Peter"/>
    <s v="Peter"/>
    <s v="Male"/>
    <n v="130"/>
    <s v="Invalid"/>
    <s v="Kano"/>
    <x v="4"/>
    <s v="Electronics"/>
    <s v="Electronics"/>
    <s v="Phone"/>
    <s v="Phone"/>
    <n v="163.12"/>
    <n v="-2"/>
    <n v="1"/>
    <n v="10"/>
    <s v="Valid"/>
    <s v="Cash"/>
    <s v="Cash"/>
    <s v="Chi"/>
    <x v="1"/>
    <x v="0"/>
    <n v="4"/>
    <s v="ok"/>
    <n v="146.80800000000002"/>
  </r>
  <r>
    <s v="T100197"/>
    <s v="2026-03-16"/>
    <s v="C1933"/>
    <s v="  James "/>
    <s v="James"/>
    <s v="Female"/>
    <n v="34"/>
    <s v="Valid"/>
    <s v="lagos"/>
    <x v="0"/>
    <s v="Fashion"/>
    <s v="Fashion"/>
    <s v="Shirt"/>
    <s v="Shirt"/>
    <n v="349.52"/>
    <n v="-2"/>
    <n v="1"/>
    <n v="-10"/>
    <s v="invalid"/>
    <m/>
    <s v=""/>
    <s v="Ada"/>
    <x v="2"/>
    <x v="0"/>
    <m/>
    <s v="ok"/>
    <n v="384.47200000000004"/>
  </r>
  <r>
    <s v="T100198"/>
    <s v="2026-01-21"/>
    <s v="C2906"/>
    <s v="David"/>
    <s v="David"/>
    <s v="Male"/>
    <n v="29"/>
    <s v="Valid"/>
    <s v="Enugu"/>
    <x v="2"/>
    <s v="Groceries"/>
    <s v="Groceries"/>
    <s v="Rice"/>
    <s v="Rice"/>
    <n v="291.16000000000003"/>
    <n v="-2"/>
    <n v="1"/>
    <n v="15"/>
    <s v="Valid"/>
    <s v="POS"/>
    <s v="Pos"/>
    <s v="Ben"/>
    <x v="3"/>
    <x v="1"/>
    <n v="2"/>
    <s v="ok"/>
    <n v="247.48600000000002"/>
  </r>
  <r>
    <s v="T100199"/>
    <s v="2025-01-06"/>
    <s v="C8713"/>
    <s v="John"/>
    <s v="John"/>
    <s v="Female"/>
    <n v="8"/>
    <s v="Invalid"/>
    <s v="lagos"/>
    <x v="0"/>
    <s v="groceris"/>
    <s v="Groceris"/>
    <s v="Rice"/>
    <s v="Rice"/>
    <n v="167.71"/>
    <n v="-2"/>
    <n v="1"/>
    <n v="0"/>
    <s v="Valid"/>
    <s v="POS"/>
    <s v="Pos"/>
    <s v="Ada"/>
    <x v="2"/>
    <x v="1"/>
    <n v="4"/>
    <s v="ok"/>
    <n v="167.71"/>
  </r>
  <r>
    <s v="T100200"/>
    <s v="2026-05-03"/>
    <s v="C3292"/>
    <m/>
    <s v=""/>
    <s v="Male"/>
    <n v="8"/>
    <s v="Invalid"/>
    <s v="Abuja"/>
    <x v="3"/>
    <s v="Fashion"/>
    <s v="Fashion"/>
    <s v="Shirt"/>
    <s v="Shirt"/>
    <n v="197.34"/>
    <n v="-2"/>
    <n v="1"/>
    <n v="15"/>
    <s v="Valid"/>
    <s v="Cash"/>
    <s v="Cash"/>
    <s v="Dan"/>
    <x v="0"/>
    <x v="1"/>
    <m/>
    <s v="Missing"/>
    <n v="167.739"/>
  </r>
  <r>
    <s v="T100201"/>
    <s v="2025-06-20"/>
    <s v="C5776"/>
    <m/>
    <s v=""/>
    <s v="Male"/>
    <n v="130"/>
    <s v="Invalid"/>
    <s v="PH"/>
    <x v="1"/>
    <s v="groceris"/>
    <s v="Groceris"/>
    <s v="Rice"/>
    <s v="Rice"/>
    <n v="100.18"/>
    <n v="8"/>
    <n v="8"/>
    <n v="5"/>
    <s v="Valid"/>
    <s v="Transfer"/>
    <s v="Transfer"/>
    <s v="Chi"/>
    <x v="1"/>
    <x v="1"/>
    <m/>
    <s v="Missing"/>
    <n v="761.36800000000005"/>
  </r>
  <r>
    <s v="T100202"/>
    <s v="2026-06-22"/>
    <s v="C2105"/>
    <s v="Mary"/>
    <s v="Mary"/>
    <s v="Male"/>
    <n v="8"/>
    <s v="Invalid"/>
    <s v="lagos"/>
    <x v="0"/>
    <s v="groceris"/>
    <s v="Groceris"/>
    <s v="Rice"/>
    <s v="Rice"/>
    <n v="481.94"/>
    <n v="-2"/>
    <n v="1"/>
    <n v="-10"/>
    <s v="invalid"/>
    <s v="Transfer"/>
    <s v="Transfer"/>
    <s v="Ben"/>
    <x v="3"/>
    <x v="1"/>
    <n v="5"/>
    <s v="ok"/>
    <n v="530.13400000000001"/>
  </r>
  <r>
    <s v="T100203"/>
    <s v="03/12/2025"/>
    <s v="C6801"/>
    <s v="  James "/>
    <s v="James"/>
    <s v="Female"/>
    <n v="58"/>
    <s v="Valid"/>
    <s v="lagos"/>
    <x v="0"/>
    <s v="Sports"/>
    <s v="Sports"/>
    <s v="Ball"/>
    <s v="Ball"/>
    <n v="157.81"/>
    <n v="-2"/>
    <n v="1"/>
    <n v="0"/>
    <s v="Valid"/>
    <s v="POS"/>
    <s v="Pos"/>
    <s v="Ada"/>
    <x v="2"/>
    <x v="3"/>
    <n v="3"/>
    <s v="ok"/>
    <n v="157.81"/>
  </r>
  <r>
    <s v="T100204"/>
    <s v="2025-12-18"/>
    <s v="C4306"/>
    <m/>
    <s v=""/>
    <s v="Male"/>
    <n v="8"/>
    <s v="Invalid"/>
    <s v="PH"/>
    <x v="1"/>
    <s v="groceris"/>
    <s v="Groceris"/>
    <s v="Rice"/>
    <s v="Rice"/>
    <n v="151.04"/>
    <n v="10"/>
    <n v="10"/>
    <n v="0"/>
    <s v="Valid"/>
    <s v="POS"/>
    <s v="Pos"/>
    <s v="Chi"/>
    <x v="1"/>
    <x v="1"/>
    <n v="1"/>
    <s v="Missing"/>
    <n v="1510.3999999999999"/>
  </r>
  <r>
    <s v="T100205"/>
    <s v="2026-04-05"/>
    <s v="C2489"/>
    <s v="David"/>
    <s v="David"/>
    <s v="Female"/>
    <n v="58"/>
    <s v="Valid"/>
    <s v="Kano"/>
    <x v="4"/>
    <s v="Home"/>
    <s v="Home"/>
    <s v="Chair"/>
    <s v="Chair"/>
    <n v="473.97"/>
    <n v="-2"/>
    <n v="1"/>
    <n v="5"/>
    <s v="Valid"/>
    <s v="POS"/>
    <s v="Pos"/>
    <s v="Ben"/>
    <x v="3"/>
    <x v="1"/>
    <n v="1"/>
    <s v="ok"/>
    <n v="450.2715"/>
  </r>
  <r>
    <s v="T100206"/>
    <s v="2026-06-01"/>
    <s v="C8837"/>
    <s v="Grace"/>
    <s v="Grace"/>
    <s v="Male"/>
    <n v="130"/>
    <s v="Invalid"/>
    <s v="lagos"/>
    <x v="0"/>
    <s v="Sports"/>
    <s v="Sports"/>
    <s v="Ball"/>
    <s v="Ball"/>
    <n v="323.41000000000003"/>
    <n v="-2"/>
    <n v="1"/>
    <n v="0"/>
    <s v="Valid"/>
    <s v="Cash"/>
    <s v="Cash"/>
    <s v="Dan"/>
    <x v="0"/>
    <x v="0"/>
    <n v="1"/>
    <s v="ok"/>
    <n v="323.41000000000003"/>
  </r>
  <r>
    <s v="T100207"/>
    <s v="2025-06-22"/>
    <s v="C9280"/>
    <s v="Peter"/>
    <s v="Peter"/>
    <s v="Male"/>
    <n v="8"/>
    <s v="Invalid"/>
    <s v="lagos"/>
    <x v="0"/>
    <s v="groceris"/>
    <s v="Groceris"/>
    <s v="Rice"/>
    <s v="Rice"/>
    <n v="25.2"/>
    <n v="8"/>
    <n v="8"/>
    <n v="-10"/>
    <s v="invalid"/>
    <m/>
    <s v=""/>
    <s v="Ben"/>
    <x v="3"/>
    <x v="2"/>
    <n v="4"/>
    <s v="ok"/>
    <n v="221.76000000000002"/>
  </r>
  <r>
    <s v="T100208"/>
    <s v="2025-03-24"/>
    <s v="C2263"/>
    <s v="Peter"/>
    <s v="Peter"/>
    <s v="Male"/>
    <n v="8"/>
    <s v="Invalid"/>
    <s v="PH"/>
    <x v="1"/>
    <s v="Electronics"/>
    <s v="Electronics"/>
    <s v="Phone"/>
    <s v="Phone"/>
    <n v="463.62"/>
    <n v="6"/>
    <n v="6"/>
    <n v="0"/>
    <s v="Valid"/>
    <s v="Mobile Money"/>
    <s v="Mobile Money"/>
    <s v="Chi"/>
    <x v="1"/>
    <x v="3"/>
    <n v="3"/>
    <s v="ok"/>
    <n v="2781.7200000000003"/>
  </r>
  <r>
    <s v="T100209"/>
    <s v="2026-03-09"/>
    <s v="C8552"/>
    <s v="Peter"/>
    <s v="Peter"/>
    <s v="Female"/>
    <n v="22"/>
    <s v="Valid"/>
    <s v="lagos"/>
    <x v="0"/>
    <s v="Fashion"/>
    <s v="Fashion"/>
    <s v="Shirt"/>
    <s v="Shirt"/>
    <n v="320.36"/>
    <n v="3"/>
    <n v="3"/>
    <n v="10"/>
    <s v="Valid"/>
    <s v="POS"/>
    <s v="Pos"/>
    <s v="Dan"/>
    <x v="0"/>
    <x v="1"/>
    <n v="1"/>
    <s v="ok"/>
    <n v="864.97200000000009"/>
  </r>
  <r>
    <s v="T100210"/>
    <s v="03/03/2025"/>
    <s v="C5892"/>
    <m/>
    <s v=""/>
    <s v="Female"/>
    <n v="61"/>
    <s v="Valid"/>
    <s v="Abuja"/>
    <x v="3"/>
    <s v="Fashion"/>
    <s v="Fashion"/>
    <s v="Shirt"/>
    <s v="Shirt"/>
    <n v="53.98"/>
    <n v="-2"/>
    <n v="1"/>
    <n v="-10"/>
    <s v="invalid"/>
    <s v="Cash"/>
    <s v="Cash"/>
    <s v="Ada"/>
    <x v="2"/>
    <x v="1"/>
    <n v="5"/>
    <s v="Missing"/>
    <n v="59.378"/>
  </r>
  <r>
    <s v="T100211"/>
    <s v="2025-01-10"/>
    <s v="C4000"/>
    <m/>
    <s v=""/>
    <s v="Female"/>
    <n v="130"/>
    <s v="Invalid"/>
    <s v="Kano"/>
    <x v="4"/>
    <s v="Fashion"/>
    <s v="Fashion"/>
    <s v="Shirt"/>
    <s v="Shirt"/>
    <n v="240.46"/>
    <n v="1"/>
    <n v="1"/>
    <n v="-10"/>
    <s v="invalid"/>
    <m/>
    <s v=""/>
    <s v="Chi"/>
    <x v="1"/>
    <x v="0"/>
    <m/>
    <s v="Missing"/>
    <n v="264.50600000000003"/>
  </r>
  <r>
    <s v="T100212"/>
    <s v="2026-03-26"/>
    <s v="C7370"/>
    <m/>
    <s v=""/>
    <s v="Male"/>
    <n v="61"/>
    <s v="Valid"/>
    <s v="lagos"/>
    <x v="0"/>
    <s v="Beauty"/>
    <s v="Beauty"/>
    <s v="Cream"/>
    <s v="Cream"/>
    <n v="432.18"/>
    <n v="-2"/>
    <n v="1"/>
    <n v="120"/>
    <s v="invalid"/>
    <s v="Mobile Money"/>
    <s v="Mobile Money"/>
    <s v="Chi"/>
    <x v="1"/>
    <x v="2"/>
    <n v="5"/>
    <s v="Missing"/>
    <n v="-86.435999999999979"/>
  </r>
  <r>
    <s v="T100213"/>
    <s v="2026-02-08"/>
    <s v="C7131"/>
    <s v="Aisha"/>
    <s v="Aisha"/>
    <s v="Male"/>
    <n v="130"/>
    <s v="Invalid"/>
    <s v="lagos"/>
    <x v="0"/>
    <s v="Home"/>
    <s v="Home"/>
    <s v="Chair"/>
    <s v="Chair"/>
    <n v="31.49"/>
    <n v="4"/>
    <n v="4"/>
    <n v="0"/>
    <s v="Valid"/>
    <s v="Transfer"/>
    <s v="Transfer"/>
    <s v="Ben"/>
    <x v="3"/>
    <x v="2"/>
    <m/>
    <s v="ok"/>
    <n v="125.96"/>
  </r>
  <r>
    <s v="T100214"/>
    <s v="2025-06-05"/>
    <s v="C3971"/>
    <s v="Grace"/>
    <s v="Grace"/>
    <s v="Female"/>
    <n v="8"/>
    <s v="Invalid"/>
    <s v="lagos"/>
    <x v="0"/>
    <s v="Electronics"/>
    <s v="Electronics"/>
    <s v="Phone"/>
    <s v="Phone"/>
    <n v="160.16"/>
    <n v="10"/>
    <n v="10"/>
    <n v="120"/>
    <s v="invalid"/>
    <m/>
    <s v=""/>
    <s v="Ben"/>
    <x v="3"/>
    <x v="3"/>
    <n v="2"/>
    <s v="ok"/>
    <n v="-320.31999999999994"/>
  </r>
  <r>
    <s v="T100215"/>
    <s v="2025-06-24"/>
    <s v="C7931"/>
    <s v="Grace"/>
    <s v="Grace"/>
    <s v="Male"/>
    <n v="130"/>
    <s v="Invalid"/>
    <s v="lagos"/>
    <x v="0"/>
    <s v="Groceries"/>
    <s v="Groceries"/>
    <s v="Rice"/>
    <s v="Rice"/>
    <n v="318.8"/>
    <n v="-2"/>
    <n v="1"/>
    <n v="15"/>
    <s v="Valid"/>
    <s v="Mobile Money"/>
    <s v="Mobile Money"/>
    <s v="Dan"/>
    <x v="0"/>
    <x v="3"/>
    <n v="1"/>
    <s v="ok"/>
    <n v="270.98"/>
  </r>
  <r>
    <s v="T100216"/>
    <s v="2025-01-25"/>
    <s v="C5410"/>
    <m/>
    <s v=""/>
    <s v="Male"/>
    <n v="8"/>
    <s v="Invalid"/>
    <s v="Abuja"/>
    <x v="3"/>
    <s v="groceris"/>
    <s v="Groceris"/>
    <s v="Rice"/>
    <s v="Rice"/>
    <n v="452.68"/>
    <n v="6"/>
    <n v="6"/>
    <n v="15"/>
    <s v="Valid"/>
    <s v="Transfer"/>
    <s v="Transfer"/>
    <s v="Ada"/>
    <x v="2"/>
    <x v="3"/>
    <n v="3"/>
    <s v="Missing"/>
    <n v="2308.6679999999997"/>
  </r>
  <r>
    <s v="T100217"/>
    <s v="19/04/2025"/>
    <s v="C4756"/>
    <s v="  James "/>
    <s v="James"/>
    <s v="Female"/>
    <n v="8"/>
    <s v="Invalid"/>
    <s v="lagos"/>
    <x v="0"/>
    <s v="Fashion"/>
    <s v="Fashion"/>
    <s v="Shirt"/>
    <s v="Shirt"/>
    <n v="148.74"/>
    <n v="7"/>
    <n v="7"/>
    <n v="0"/>
    <s v="Valid"/>
    <s v="POS"/>
    <s v="Pos"/>
    <s v="Ada"/>
    <x v="2"/>
    <x v="3"/>
    <n v="4"/>
    <s v="ok"/>
    <n v="1041.18"/>
  </r>
  <r>
    <s v="T100218"/>
    <s v="2025-08-18"/>
    <s v="C3338"/>
    <s v="Grace"/>
    <s v="Grace"/>
    <s v="Male"/>
    <n v="43"/>
    <s v="Valid"/>
    <s v="Abuja"/>
    <x v="3"/>
    <s v="groceris"/>
    <s v="Groceris"/>
    <s v="Rice"/>
    <s v="Rice"/>
    <n v="367.69"/>
    <n v="7"/>
    <n v="7"/>
    <n v="5"/>
    <s v="Valid"/>
    <s v="Mobile Money"/>
    <s v="Mobile Money"/>
    <s v="Chi"/>
    <x v="1"/>
    <x v="3"/>
    <m/>
    <s v="ok"/>
    <n v="2445.1385"/>
  </r>
  <r>
    <s v="T100219"/>
    <s v="2026-03-29"/>
    <s v="C2376"/>
    <s v="Grace"/>
    <s v="Grace"/>
    <s v="Female"/>
    <n v="37"/>
    <s v="Valid"/>
    <s v="lagos"/>
    <x v="0"/>
    <s v="Fashion"/>
    <s v="Fashion"/>
    <s v="Shirt"/>
    <s v="Shirt"/>
    <n v="140.03"/>
    <n v="10"/>
    <n v="10"/>
    <n v="10"/>
    <s v="Valid"/>
    <s v="Cash"/>
    <s v="Cash"/>
    <s v="Dan"/>
    <x v="0"/>
    <x v="3"/>
    <n v="1"/>
    <s v="ok"/>
    <n v="1260.27"/>
  </r>
  <r>
    <s v="T100220"/>
    <s v="2025-11-06"/>
    <s v="C6925"/>
    <s v="David"/>
    <s v="David"/>
    <s v="Male"/>
    <n v="8"/>
    <s v="Invalid"/>
    <s v="lagos"/>
    <x v="0"/>
    <s v="Fashion"/>
    <s v="Fashion"/>
    <s v="Shirt"/>
    <s v="Shirt"/>
    <n v="230.26"/>
    <n v="10"/>
    <n v="10"/>
    <n v="15"/>
    <s v="Valid"/>
    <s v="POS"/>
    <s v="Pos"/>
    <s v="Dan"/>
    <x v="0"/>
    <x v="2"/>
    <n v="2"/>
    <s v="ok"/>
    <n v="1957.2099999999998"/>
  </r>
  <r>
    <s v="T100221"/>
    <s v="2025-07-10"/>
    <s v="C3473"/>
    <s v="John"/>
    <s v="John"/>
    <s v="Male"/>
    <n v="8"/>
    <s v="Invalid"/>
    <s v="Kano"/>
    <x v="4"/>
    <s v="Groceries"/>
    <s v="Groceries"/>
    <s v="Rice"/>
    <s v="Rice"/>
    <n v="363.68"/>
    <n v="-2"/>
    <n v="1"/>
    <n v="5"/>
    <s v="Valid"/>
    <s v="Cash"/>
    <s v="Cash"/>
    <s v="Chi"/>
    <x v="1"/>
    <x v="3"/>
    <n v="4"/>
    <s v="ok"/>
    <n v="345.49599999999998"/>
  </r>
  <r>
    <s v="T100222"/>
    <s v="2025-06-25"/>
    <s v="C4324"/>
    <s v="John"/>
    <s v="John"/>
    <s v="Female"/>
    <n v="130"/>
    <s v="Invalid"/>
    <s v="Kano"/>
    <x v="4"/>
    <s v="Home"/>
    <s v="Home"/>
    <s v="Chair"/>
    <s v="Chair"/>
    <n v="157.32"/>
    <n v="-2"/>
    <n v="1"/>
    <n v="10"/>
    <s v="Valid"/>
    <s v="Cash"/>
    <s v="Cash"/>
    <s v="Ada"/>
    <x v="2"/>
    <x v="0"/>
    <n v="5"/>
    <s v="ok"/>
    <n v="141.58799999999999"/>
  </r>
  <r>
    <s v="T100223"/>
    <s v="2025-10-07"/>
    <s v="C2445"/>
    <s v="  James "/>
    <s v="James"/>
    <s v="Female"/>
    <n v="130"/>
    <s v="Invalid"/>
    <s v="lagos"/>
    <x v="0"/>
    <s v="Groceries"/>
    <s v="Groceries"/>
    <s v="Rice"/>
    <s v="Rice"/>
    <n v="304.22000000000003"/>
    <n v="7"/>
    <n v="7"/>
    <n v="120"/>
    <s v="invalid"/>
    <s v="Mobile Money"/>
    <s v="Mobile Money"/>
    <s v="Chi"/>
    <x v="1"/>
    <x v="3"/>
    <m/>
    <s v="ok"/>
    <n v="-425.9079999999999"/>
  </r>
  <r>
    <s v="T100224"/>
    <s v="10/10/2025"/>
    <s v="C9157"/>
    <s v="Mary"/>
    <s v="Mary"/>
    <s v="Female"/>
    <n v="130"/>
    <s v="Invalid"/>
    <s v="PH"/>
    <x v="1"/>
    <s v="Electronics"/>
    <s v="Electronics"/>
    <s v="Phone"/>
    <s v="Phone"/>
    <n v="415.65"/>
    <n v="-2"/>
    <n v="1"/>
    <n v="5"/>
    <s v="Valid"/>
    <s v="POS"/>
    <s v="Pos"/>
    <s v="Ada"/>
    <x v="2"/>
    <x v="2"/>
    <n v="5"/>
    <s v="ok"/>
    <n v="394.86749999999995"/>
  </r>
  <r>
    <s v="T100225"/>
    <s v="2025-12-30"/>
    <s v="C9089"/>
    <s v="John"/>
    <s v="John"/>
    <s v="Female"/>
    <n v="47"/>
    <s v="Valid"/>
    <s v="lagos"/>
    <x v="0"/>
    <s v="Home"/>
    <s v="Home"/>
    <s v="Chair"/>
    <s v="Chair"/>
    <n v="149.13999999999999"/>
    <n v="-2"/>
    <n v="1"/>
    <n v="15"/>
    <s v="Valid"/>
    <s v="Mobile Money"/>
    <s v="Mobile Money"/>
    <s v="Dan"/>
    <x v="0"/>
    <x v="0"/>
    <n v="3"/>
    <s v="ok"/>
    <n v="126.76899999999999"/>
  </r>
  <r>
    <s v="T100226"/>
    <s v="2025-02-24"/>
    <s v="C8707"/>
    <s v="David"/>
    <s v="David"/>
    <s v="Female"/>
    <n v="130"/>
    <s v="Invalid"/>
    <s v="lagos"/>
    <x v="0"/>
    <s v="Electronics"/>
    <s v="Electronics"/>
    <s v="Phone"/>
    <s v="Phone"/>
    <n v="383.69"/>
    <n v="6"/>
    <n v="6"/>
    <n v="15"/>
    <s v="Valid"/>
    <s v="POS"/>
    <s v="Pos"/>
    <s v="Ben"/>
    <x v="3"/>
    <x v="3"/>
    <n v="4"/>
    <s v="ok"/>
    <n v="1956.8189999999997"/>
  </r>
  <r>
    <s v="T100227"/>
    <s v="2026-01-14"/>
    <s v="C8188"/>
    <s v="John"/>
    <s v="John"/>
    <s v="Male"/>
    <n v="8"/>
    <s v="Invalid"/>
    <s v="lagos"/>
    <x v="0"/>
    <s v="groceris"/>
    <s v="Groceris"/>
    <s v="Rice"/>
    <s v="Rice"/>
    <n v="449.22"/>
    <n v="-2"/>
    <n v="1"/>
    <n v="0"/>
    <s v="Valid"/>
    <s v="Transfer"/>
    <s v="Transfer"/>
    <s v="Ada"/>
    <x v="2"/>
    <x v="1"/>
    <n v="4"/>
    <s v="ok"/>
    <n v="449.22"/>
  </r>
  <r>
    <s v="T100228"/>
    <s v="2025-09-09"/>
    <s v="C4533"/>
    <s v="Aisha"/>
    <s v="Aisha"/>
    <s v="Female"/>
    <n v="22"/>
    <s v="Valid"/>
    <s v="lagos"/>
    <x v="0"/>
    <s v="Fashion"/>
    <s v="Fashion"/>
    <s v="Shirt"/>
    <s v="Shirt"/>
    <n v="409.08"/>
    <n v="-2"/>
    <n v="1"/>
    <n v="15"/>
    <s v="Valid"/>
    <s v="Cash"/>
    <s v="Cash"/>
    <s v="Ben"/>
    <x v="3"/>
    <x v="3"/>
    <n v="5"/>
    <s v="ok"/>
    <n v="347.71799999999996"/>
  </r>
  <r>
    <s v="T100229"/>
    <s v="2025-11-08"/>
    <s v="C1988"/>
    <s v="Mary"/>
    <s v="Mary"/>
    <s v="Female"/>
    <n v="61"/>
    <s v="Valid"/>
    <s v="lagos"/>
    <x v="0"/>
    <s v="Fashion"/>
    <s v="Fashion"/>
    <s v="Shirt"/>
    <s v="Shirt"/>
    <n v="220.85"/>
    <n v="9"/>
    <n v="9"/>
    <n v="5"/>
    <s v="Valid"/>
    <s v="POS"/>
    <s v="Pos"/>
    <s v="Ben"/>
    <x v="3"/>
    <x v="3"/>
    <n v="5"/>
    <s v="ok"/>
    <n v="1888.2674999999997"/>
  </r>
  <r>
    <s v="T100230"/>
    <s v="2026-01-13"/>
    <s v="C2672"/>
    <s v="David"/>
    <s v="David"/>
    <s v="Female"/>
    <n v="8"/>
    <s v="Invalid"/>
    <s v="Abuja"/>
    <x v="3"/>
    <s v="Groceries"/>
    <s v="Groceries"/>
    <s v="Rice"/>
    <s v="Rice"/>
    <n v="56.27"/>
    <n v="10"/>
    <n v="10"/>
    <n v="0"/>
    <s v="Valid"/>
    <s v="Mobile Money"/>
    <s v="Mobile Money"/>
    <s v="Ben"/>
    <x v="3"/>
    <x v="2"/>
    <n v="3"/>
    <s v="ok"/>
    <n v="562.70000000000005"/>
  </r>
  <r>
    <s v="T100231"/>
    <s v="27/10/2025"/>
    <s v="C6680"/>
    <s v="Grace"/>
    <s v="Grace"/>
    <s v="Female"/>
    <n v="22"/>
    <s v="Valid"/>
    <s v="Abuja"/>
    <x v="3"/>
    <s v="Fashion"/>
    <s v="Fashion"/>
    <s v="Shirt"/>
    <s v="Shirt"/>
    <n v="497.24"/>
    <n v="-2"/>
    <n v="1"/>
    <n v="0"/>
    <s v="Valid"/>
    <s v="Transfer"/>
    <s v="Transfer"/>
    <s v="Ada"/>
    <x v="2"/>
    <x v="2"/>
    <n v="4"/>
    <s v="ok"/>
    <n v="497.24"/>
  </r>
  <r>
    <s v="T100232"/>
    <s v="2026-03-28"/>
    <s v="C2357"/>
    <s v="Aisha"/>
    <s v="Aisha"/>
    <s v="Male"/>
    <n v="56"/>
    <s v="Valid"/>
    <s v="Kano"/>
    <x v="4"/>
    <s v="Home"/>
    <s v="Home"/>
    <s v="Chair"/>
    <s v="Chair"/>
    <n v="243.22"/>
    <n v="3"/>
    <n v="3"/>
    <n v="-10"/>
    <s v="invalid"/>
    <s v="Cash"/>
    <s v="Cash"/>
    <s v="Ada"/>
    <x v="2"/>
    <x v="3"/>
    <n v="2"/>
    <s v="ok"/>
    <n v="802.62599999999998"/>
  </r>
  <r>
    <s v="T100233"/>
    <s v="2026-04-13"/>
    <s v="C3882"/>
    <s v="John"/>
    <s v="John"/>
    <s v="Male"/>
    <n v="8"/>
    <s v="Invalid"/>
    <s v="PH"/>
    <x v="1"/>
    <s v="Electronics"/>
    <s v="Electronics"/>
    <s v="Phone"/>
    <s v="Phone"/>
    <n v="391"/>
    <n v="5"/>
    <n v="5"/>
    <n v="15"/>
    <s v="Valid"/>
    <m/>
    <s v=""/>
    <s v="Ben"/>
    <x v="3"/>
    <x v="0"/>
    <n v="4"/>
    <s v="ok"/>
    <n v="1661.75"/>
  </r>
  <r>
    <s v="T100234"/>
    <s v="2025-03-24"/>
    <s v="C6844"/>
    <s v="Grace"/>
    <s v="Grace"/>
    <s v="Female"/>
    <n v="8"/>
    <s v="Invalid"/>
    <s v="PH"/>
    <x v="1"/>
    <s v="Electronics"/>
    <s v="Electronics"/>
    <s v="Phone"/>
    <s v="Phone"/>
    <n v="471.86"/>
    <n v="10"/>
    <n v="10"/>
    <n v="15"/>
    <s v="Valid"/>
    <m/>
    <s v=""/>
    <s v="Dan"/>
    <x v="0"/>
    <x v="1"/>
    <n v="3"/>
    <s v="ok"/>
    <n v="4010.8100000000004"/>
  </r>
  <r>
    <s v="T100235"/>
    <s v="2025-11-28"/>
    <s v="C4917"/>
    <s v="David"/>
    <s v="David"/>
    <s v="Female"/>
    <n v="8"/>
    <s v="Invalid"/>
    <s v="PH"/>
    <x v="1"/>
    <s v="Home"/>
    <s v="Home"/>
    <s v="Chair"/>
    <s v="Chair"/>
    <n v="56.21"/>
    <n v="-2"/>
    <n v="1"/>
    <n v="0"/>
    <s v="Valid"/>
    <m/>
    <s v=""/>
    <s v="Chi"/>
    <x v="1"/>
    <x v="2"/>
    <n v="2"/>
    <s v="ok"/>
    <n v="56.21"/>
  </r>
  <r>
    <s v="T100236"/>
    <s v="2025-10-13"/>
    <s v="C5676"/>
    <s v="David"/>
    <s v="David"/>
    <s v="Female"/>
    <n v="130"/>
    <s v="Invalid"/>
    <s v="Kano"/>
    <x v="4"/>
    <s v="Home"/>
    <s v="Home"/>
    <s v="Chair"/>
    <s v="Chair"/>
    <n v="104.55"/>
    <n v="10"/>
    <n v="10"/>
    <n v="-10"/>
    <s v="invalid"/>
    <m/>
    <s v=""/>
    <s v="Dan"/>
    <x v="0"/>
    <x v="1"/>
    <n v="2"/>
    <s v="ok"/>
    <n v="1150.0500000000002"/>
  </r>
  <r>
    <s v="T100237"/>
    <s v="2025-05-20"/>
    <s v="C4941"/>
    <s v="Grace"/>
    <s v="Grace"/>
    <s v="Male"/>
    <n v="8"/>
    <s v="Invalid"/>
    <s v="lagos"/>
    <x v="0"/>
    <s v="groceris"/>
    <s v="Groceris"/>
    <s v="Rice"/>
    <s v="Rice"/>
    <n v="63.29"/>
    <n v="9"/>
    <n v="9"/>
    <n v="10"/>
    <s v="Valid"/>
    <s v="Mobile Money"/>
    <s v="Mobile Money"/>
    <s v="Ben"/>
    <x v="3"/>
    <x v="0"/>
    <n v="1"/>
    <s v="ok"/>
    <n v="512.649"/>
  </r>
  <r>
    <s v="T100238"/>
    <s v="24/02/2025"/>
    <s v="C7316"/>
    <s v="Peter"/>
    <s v="Peter"/>
    <s v="Male"/>
    <n v="50"/>
    <s v="Valid"/>
    <s v="Kano"/>
    <x v="4"/>
    <s v="Electronics"/>
    <s v="Electronics"/>
    <s v="Phone"/>
    <s v="Phone"/>
    <n v="437.51"/>
    <n v="-2"/>
    <n v="1"/>
    <n v="5"/>
    <s v="Valid"/>
    <s v="Mobile Money"/>
    <s v="Mobile Money"/>
    <s v="Ada"/>
    <x v="2"/>
    <x v="1"/>
    <m/>
    <s v="ok"/>
    <n v="415.63449999999995"/>
  </r>
  <r>
    <s v="T100239"/>
    <s v="2026-03-03"/>
    <s v="C5660"/>
    <s v="  James "/>
    <s v="James"/>
    <s v="Female"/>
    <n v="51"/>
    <s v="Valid"/>
    <s v="lagos"/>
    <x v="0"/>
    <s v="Fashion"/>
    <s v="Fashion"/>
    <s v="Shirt"/>
    <s v="Shirt"/>
    <n v="197.02"/>
    <n v="6"/>
    <n v="6"/>
    <n v="120"/>
    <s v="invalid"/>
    <s v="Cash"/>
    <s v="Cash"/>
    <s v="Dan"/>
    <x v="0"/>
    <x v="2"/>
    <n v="4"/>
    <s v="ok"/>
    <n v="-236.42399999999998"/>
  </r>
  <r>
    <s v="T100240"/>
    <s v="2025-09-20"/>
    <s v="C7355"/>
    <m/>
    <s v=""/>
    <s v="Male"/>
    <n v="59"/>
    <s v="Valid"/>
    <s v="Kano"/>
    <x v="4"/>
    <s v="Home"/>
    <s v="Home"/>
    <s v="Chair"/>
    <s v="Chair"/>
    <n v="228.79"/>
    <n v="4"/>
    <n v="4"/>
    <n v="15"/>
    <s v="Valid"/>
    <m/>
    <s v=""/>
    <s v="Ada"/>
    <x v="2"/>
    <x v="3"/>
    <n v="5"/>
    <s v="Missing"/>
    <n v="777.88599999999997"/>
  </r>
  <r>
    <s v="T100241"/>
    <s v="2025-09-29"/>
    <s v="C8504"/>
    <s v="Grace"/>
    <s v="Grace"/>
    <s v="Male"/>
    <n v="55"/>
    <s v="Valid"/>
    <s v="lagos"/>
    <x v="0"/>
    <s v="Electronics"/>
    <s v="Electronics"/>
    <s v="Phone"/>
    <s v="Phone"/>
    <n v="220.66"/>
    <n v="-2"/>
    <n v="1"/>
    <n v="5"/>
    <s v="Valid"/>
    <s v="Mobile Money"/>
    <s v="Mobile Money"/>
    <s v="Ada"/>
    <x v="2"/>
    <x v="0"/>
    <n v="2"/>
    <s v="ok"/>
    <n v="209.62699999999998"/>
  </r>
  <r>
    <s v="T100242"/>
    <s v="2025-12-07"/>
    <s v="C3256"/>
    <s v="Aisha"/>
    <s v="Aisha"/>
    <s v="Male"/>
    <n v="8"/>
    <s v="Invalid"/>
    <s v="lagos"/>
    <x v="0"/>
    <s v="Fashion"/>
    <s v="Fashion"/>
    <s v="Shirt"/>
    <s v="Shirt"/>
    <n v="364.31"/>
    <n v="-2"/>
    <n v="1"/>
    <n v="0"/>
    <s v="Valid"/>
    <s v="Mobile Money"/>
    <s v="Mobile Money"/>
    <s v="Chi"/>
    <x v="1"/>
    <x v="0"/>
    <n v="1"/>
    <s v="ok"/>
    <n v="364.31"/>
  </r>
  <r>
    <s v="T100243"/>
    <s v="2026-05-23"/>
    <s v="C2918"/>
    <s v="Mary"/>
    <s v="Mary"/>
    <s v="Male"/>
    <n v="44"/>
    <s v="Valid"/>
    <s v="Abuja"/>
    <x v="3"/>
    <s v="groceris"/>
    <s v="Groceris"/>
    <s v="Rice"/>
    <s v="Rice"/>
    <n v="347.88"/>
    <n v="6"/>
    <n v="6"/>
    <n v="15"/>
    <s v="Valid"/>
    <m/>
    <s v=""/>
    <s v="Chi"/>
    <x v="1"/>
    <x v="2"/>
    <n v="3"/>
    <s v="ok"/>
    <n v="1774.1879999999996"/>
  </r>
  <r>
    <s v="T100244"/>
    <s v="2025-08-26"/>
    <s v="C2830"/>
    <m/>
    <s v=""/>
    <s v="Female"/>
    <n v="8"/>
    <s v="Invalid"/>
    <s v="lagos"/>
    <x v="0"/>
    <s v="Sports"/>
    <s v="Sports"/>
    <s v="Ball"/>
    <s v="Ball"/>
    <n v="171.06"/>
    <n v="5"/>
    <n v="5"/>
    <n v="120"/>
    <s v="invalid"/>
    <s v="Transfer"/>
    <s v="Transfer"/>
    <s v="Chi"/>
    <x v="1"/>
    <x v="2"/>
    <n v="1"/>
    <s v="Missing"/>
    <n v="-171.05999999999995"/>
  </r>
  <r>
    <s v="T100245"/>
    <s v="15/04/2025"/>
    <s v="C8892"/>
    <s v="Peter"/>
    <s v="Peter"/>
    <s v="Female"/>
    <n v="130"/>
    <s v="Invalid"/>
    <s v="Enugu"/>
    <x v="2"/>
    <s v="groceris"/>
    <s v="Groceris"/>
    <s v="Rice"/>
    <s v="Rice"/>
    <n v="454.71"/>
    <n v="-2"/>
    <n v="1"/>
    <n v="10"/>
    <s v="Valid"/>
    <s v="Mobile Money"/>
    <s v="Mobile Money"/>
    <s v="Chi"/>
    <x v="1"/>
    <x v="1"/>
    <n v="2"/>
    <s v="ok"/>
    <n v="409.23899999999998"/>
  </r>
  <r>
    <s v="T100246"/>
    <s v="2025-09-18"/>
    <s v="C2060"/>
    <s v="Mary"/>
    <s v="Mary"/>
    <s v="Male"/>
    <n v="130"/>
    <s v="Invalid"/>
    <s v="PH"/>
    <x v="1"/>
    <s v="groceris"/>
    <s v="Groceris"/>
    <s v="Rice"/>
    <s v="Rice"/>
    <n v="77.11"/>
    <n v="-2"/>
    <n v="1"/>
    <n v="10"/>
    <s v="Valid"/>
    <s v="Mobile Money"/>
    <s v="Mobile Money"/>
    <s v="Chi"/>
    <x v="1"/>
    <x v="2"/>
    <m/>
    <s v="ok"/>
    <n v="69.399000000000001"/>
  </r>
  <r>
    <s v="T100247"/>
    <s v="2026-05-02"/>
    <s v="C7852"/>
    <s v="David"/>
    <s v="David"/>
    <s v="Female"/>
    <n v="130"/>
    <s v="Invalid"/>
    <s v="Kano"/>
    <x v="4"/>
    <s v="Electronics"/>
    <s v="Electronics"/>
    <s v="Phone"/>
    <s v="Phone"/>
    <n v="165.99"/>
    <n v="-2"/>
    <n v="1"/>
    <n v="15"/>
    <s v="Valid"/>
    <m/>
    <s v=""/>
    <s v="Ben"/>
    <x v="3"/>
    <x v="2"/>
    <m/>
    <s v="ok"/>
    <n v="141.0915"/>
  </r>
  <r>
    <s v="T100248"/>
    <s v="2026-01-08"/>
    <s v="C7890"/>
    <s v="Grace"/>
    <s v="Grace"/>
    <s v="Female"/>
    <n v="52"/>
    <s v="Valid"/>
    <s v="Kano"/>
    <x v="4"/>
    <s v="Fashion"/>
    <s v="Fashion"/>
    <s v="Shirt"/>
    <s v="Shirt"/>
    <n v="305.92"/>
    <n v="4"/>
    <n v="4"/>
    <n v="15"/>
    <s v="Valid"/>
    <s v="Cash"/>
    <s v="Cash"/>
    <s v="Ben"/>
    <x v="3"/>
    <x v="3"/>
    <n v="3"/>
    <s v="ok"/>
    <n v="1040.1279999999999"/>
  </r>
  <r>
    <s v="T100249"/>
    <s v="2025-08-12"/>
    <s v="C8541"/>
    <s v="  James "/>
    <s v="James"/>
    <s v="Male"/>
    <n v="8"/>
    <s v="Invalid"/>
    <s v="Kano"/>
    <x v="4"/>
    <s v="Sports"/>
    <s v="Sports"/>
    <s v="Ball"/>
    <s v="Ball"/>
    <n v="451.34"/>
    <n v="8"/>
    <n v="8"/>
    <n v="15"/>
    <s v="Valid"/>
    <s v="Mobile Money"/>
    <s v="Mobile Money"/>
    <s v="Ada"/>
    <x v="2"/>
    <x v="2"/>
    <m/>
    <s v="ok"/>
    <n v="3069.1119999999996"/>
  </r>
  <r>
    <s v="T100251"/>
    <s v="2025-08-27"/>
    <s v="C3948"/>
    <s v="David"/>
    <s v="David"/>
    <s v="Male"/>
    <n v="8"/>
    <s v="Invalid"/>
    <s v="lagos"/>
    <x v="0"/>
    <s v="Home"/>
    <s v="Home"/>
    <s v="Chair"/>
    <s v="Chair"/>
    <n v="300.24"/>
    <n v="7"/>
    <n v="7"/>
    <n v="5"/>
    <s v="Valid"/>
    <s v="Mobile Money"/>
    <s v="Mobile Money"/>
    <s v="Ben"/>
    <x v="3"/>
    <x v="1"/>
    <n v="3"/>
    <s v="ok"/>
    <n v="1996.5960000000002"/>
  </r>
  <r>
    <s v="T100252"/>
    <s v="24/04/2025"/>
    <s v="C2712"/>
    <m/>
    <s v=""/>
    <s v="Female"/>
    <n v="130"/>
    <s v="Invalid"/>
    <s v="lagos"/>
    <x v="0"/>
    <s v="Fashion"/>
    <s v="Fashion"/>
    <s v="Shirt"/>
    <s v="Shirt"/>
    <n v="194.88"/>
    <n v="3"/>
    <n v="3"/>
    <n v="-10"/>
    <s v="invalid"/>
    <s v="Cash"/>
    <s v="Cash"/>
    <s v="Ben"/>
    <x v="3"/>
    <x v="2"/>
    <n v="5"/>
    <s v="Missing"/>
    <n v="643.10400000000004"/>
  </r>
  <r>
    <s v="T100253"/>
    <s v="2025-12-10"/>
    <s v="C8624"/>
    <s v="Mary"/>
    <s v="Mary"/>
    <s v="Female"/>
    <n v="130"/>
    <s v="Invalid"/>
    <s v="Abuja"/>
    <x v="3"/>
    <s v="groceris"/>
    <s v="Groceris"/>
    <s v="Rice"/>
    <s v="Rice"/>
    <n v="125.84"/>
    <n v="5"/>
    <n v="5"/>
    <n v="-10"/>
    <s v="invalid"/>
    <s v="POS"/>
    <s v="Pos"/>
    <s v="Dan"/>
    <x v="0"/>
    <x v="2"/>
    <n v="2"/>
    <s v="ok"/>
    <n v="692.12000000000012"/>
  </r>
  <r>
    <s v="T100254"/>
    <s v="2025-02-27"/>
    <s v="C9216"/>
    <s v="Peter"/>
    <s v="Peter"/>
    <s v="Female"/>
    <n v="8"/>
    <s v="Invalid"/>
    <s v="lagos"/>
    <x v="0"/>
    <s v="Groceries"/>
    <s v="Groceries"/>
    <s v="Rice"/>
    <s v="Rice"/>
    <n v="50.18"/>
    <n v="-2"/>
    <n v="1"/>
    <n v="0"/>
    <s v="Valid"/>
    <s v="Mobile Money"/>
    <s v="Mobile Money"/>
    <s v="Ada"/>
    <x v="2"/>
    <x v="3"/>
    <m/>
    <s v="ok"/>
    <n v="50.18"/>
  </r>
  <r>
    <s v="T100255"/>
    <s v="2025-02-04"/>
    <s v="C4836"/>
    <s v="David"/>
    <s v="David"/>
    <s v="Male"/>
    <n v="8"/>
    <s v="Invalid"/>
    <s v="PH"/>
    <x v="1"/>
    <s v="Electronics"/>
    <s v="Electronics"/>
    <s v="Phone"/>
    <s v="Phone"/>
    <n v="229.48"/>
    <n v="-2"/>
    <n v="1"/>
    <n v="10"/>
    <s v="Valid"/>
    <s v="POS"/>
    <s v="Pos"/>
    <s v="Dan"/>
    <x v="0"/>
    <x v="3"/>
    <n v="2"/>
    <s v="ok"/>
    <n v="206.53199999999998"/>
  </r>
  <r>
    <s v="T100256"/>
    <s v="2025-11-20"/>
    <s v="C4576"/>
    <m/>
    <s v=""/>
    <s v="Male"/>
    <n v="130"/>
    <s v="Invalid"/>
    <s v="Enugu"/>
    <x v="2"/>
    <s v="Beauty"/>
    <s v="Beauty"/>
    <s v="Cream"/>
    <s v="Cream"/>
    <n v="397.89"/>
    <n v="-2"/>
    <n v="1"/>
    <n v="-10"/>
    <s v="invalid"/>
    <s v="POS"/>
    <s v="Pos"/>
    <s v="Dan"/>
    <x v="0"/>
    <x v="1"/>
    <n v="2"/>
    <s v="Missing"/>
    <n v="437.67900000000003"/>
  </r>
  <r>
    <s v="T100257"/>
    <s v="2025-03-31"/>
    <s v="C5642"/>
    <s v="Aisha"/>
    <s v="Aisha"/>
    <s v="Male"/>
    <n v="130"/>
    <s v="Invalid"/>
    <s v="Enugu"/>
    <x v="2"/>
    <s v="Electronics"/>
    <s v="Electronics"/>
    <s v="Phone"/>
    <s v="Phone"/>
    <n v="162.24"/>
    <n v="-2"/>
    <n v="1"/>
    <n v="10"/>
    <s v="Valid"/>
    <s v="Cash"/>
    <s v="Cash"/>
    <s v="Ben"/>
    <x v="3"/>
    <x v="1"/>
    <n v="2"/>
    <s v="ok"/>
    <n v="146.01600000000002"/>
  </r>
  <r>
    <s v="T100258"/>
    <s v="2025-03-01"/>
    <s v="C9260"/>
    <s v="Aisha"/>
    <s v="Aisha"/>
    <s v="Male"/>
    <n v="130"/>
    <s v="Invalid"/>
    <s v="PH"/>
    <x v="1"/>
    <s v="Electronics"/>
    <s v="Electronics"/>
    <s v="Phone"/>
    <s v="Phone"/>
    <n v="139.97999999999999"/>
    <n v="10"/>
    <n v="10"/>
    <n v="0"/>
    <s v="Valid"/>
    <s v="Mobile Money"/>
    <s v="Mobile Money"/>
    <s v="Dan"/>
    <x v="0"/>
    <x v="1"/>
    <n v="3"/>
    <s v="ok"/>
    <n v="1399.8"/>
  </r>
  <r>
    <s v="T100259"/>
    <s v="19/10/2025"/>
    <s v="C7046"/>
    <s v="John"/>
    <s v="John"/>
    <s v="Female"/>
    <n v="36"/>
    <s v="Valid"/>
    <s v="Enugu"/>
    <x v="2"/>
    <s v="Home"/>
    <s v="Home"/>
    <s v="Chair"/>
    <s v="Chair"/>
    <n v="261.94"/>
    <n v="6"/>
    <n v="6"/>
    <n v="10"/>
    <s v="Valid"/>
    <s v="Cash"/>
    <s v="Cash"/>
    <s v="Dan"/>
    <x v="0"/>
    <x v="2"/>
    <n v="4"/>
    <s v="ok"/>
    <n v="1414.4759999999999"/>
  </r>
  <r>
    <s v="T100260"/>
    <s v="2026-04-23"/>
    <s v="C4533"/>
    <s v="Grace"/>
    <s v="Grace"/>
    <s v="Male"/>
    <n v="8"/>
    <s v="Invalid"/>
    <s v="Enugu"/>
    <x v="2"/>
    <s v="Beauty"/>
    <s v="Beauty"/>
    <s v="Cream"/>
    <s v="Cream"/>
    <n v="487.03"/>
    <n v="-2"/>
    <n v="1"/>
    <n v="10"/>
    <s v="Valid"/>
    <s v="Mobile Money"/>
    <s v="Mobile Money"/>
    <s v="Ben"/>
    <x v="3"/>
    <x v="3"/>
    <n v="1"/>
    <s v="ok"/>
    <n v="438.327"/>
  </r>
  <r>
    <s v="T100261"/>
    <s v="2025-04-05"/>
    <s v="C6397"/>
    <s v="David"/>
    <s v="David"/>
    <s v="Female"/>
    <n v="47"/>
    <s v="Valid"/>
    <s v="lagos"/>
    <x v="0"/>
    <s v="Fashion"/>
    <s v="Fashion"/>
    <s v="Shirt"/>
    <s v="Shirt"/>
    <n v="222.18"/>
    <n v="-2"/>
    <n v="1"/>
    <n v="-10"/>
    <s v="invalid"/>
    <m/>
    <s v=""/>
    <s v="Ada"/>
    <x v="2"/>
    <x v="0"/>
    <n v="3"/>
    <s v="ok"/>
    <n v="244.39800000000002"/>
  </r>
  <r>
    <s v="T100262"/>
    <s v="2025-12-31"/>
    <s v="C4427"/>
    <s v="  James "/>
    <s v="James"/>
    <s v="Female"/>
    <n v="49"/>
    <s v="Valid"/>
    <s v="PH"/>
    <x v="1"/>
    <s v="Beauty"/>
    <s v="Beauty"/>
    <s v="Cream"/>
    <s v="Cream"/>
    <n v="198.37"/>
    <n v="2"/>
    <n v="2"/>
    <n v="-10"/>
    <s v="invalid"/>
    <s v="POS"/>
    <s v="Pos"/>
    <s v="Dan"/>
    <x v="0"/>
    <x v="0"/>
    <n v="4"/>
    <s v="ok"/>
    <n v="436.41400000000004"/>
  </r>
  <r>
    <s v="T100263"/>
    <s v="2025-06-29"/>
    <s v="C5464"/>
    <s v="Peter"/>
    <s v="Peter"/>
    <s v="Male"/>
    <n v="38"/>
    <s v="Valid"/>
    <s v="Enugu"/>
    <x v="2"/>
    <s v="Electronics"/>
    <s v="Electronics"/>
    <s v="Phone"/>
    <s v="Phone"/>
    <n v="463.54"/>
    <n v="10"/>
    <n v="10"/>
    <n v="15"/>
    <s v="Valid"/>
    <s v="Cash"/>
    <s v="Cash"/>
    <s v="Chi"/>
    <x v="1"/>
    <x v="2"/>
    <n v="2"/>
    <s v="ok"/>
    <n v="3940.09"/>
  </r>
  <r>
    <s v="T100264"/>
    <s v="2025-06-26"/>
    <s v="C3173"/>
    <s v="Peter"/>
    <s v="Peter"/>
    <s v="Female"/>
    <n v="130"/>
    <s v="Invalid"/>
    <s v="lagos"/>
    <x v="0"/>
    <s v="groceris"/>
    <s v="Groceris"/>
    <s v="Rice"/>
    <s v="Rice"/>
    <n v="149.38"/>
    <n v="-2"/>
    <n v="1"/>
    <n v="15"/>
    <s v="Valid"/>
    <s v="Transfer"/>
    <s v="Transfer"/>
    <s v="Dan"/>
    <x v="0"/>
    <x v="0"/>
    <n v="5"/>
    <s v="ok"/>
    <n v="126.973"/>
  </r>
  <r>
    <s v="T100265"/>
    <s v="2025-05-26"/>
    <s v="C8482"/>
    <s v="Grace"/>
    <s v="Grace"/>
    <s v="Female"/>
    <n v="8"/>
    <s v="Invalid"/>
    <s v="PH"/>
    <x v="1"/>
    <s v="Sports"/>
    <s v="Sports"/>
    <s v="Ball"/>
    <s v="Ball"/>
    <n v="420.97"/>
    <n v="-2"/>
    <n v="1"/>
    <n v="120"/>
    <s v="invalid"/>
    <m/>
    <s v=""/>
    <s v="Ben"/>
    <x v="3"/>
    <x v="0"/>
    <n v="2"/>
    <s v="ok"/>
    <n v="-84.193999999999988"/>
  </r>
  <r>
    <s v="T100266"/>
    <s v="26/04/2025"/>
    <s v="C8909"/>
    <s v="Mary"/>
    <s v="Mary"/>
    <s v="Male"/>
    <n v="8"/>
    <s v="Invalid"/>
    <s v="lagos"/>
    <x v="0"/>
    <s v="Sports"/>
    <s v="Sports"/>
    <s v="Ball"/>
    <s v="Ball"/>
    <n v="250.35"/>
    <n v="6"/>
    <n v="6"/>
    <n v="15"/>
    <s v="Valid"/>
    <s v="Cash"/>
    <s v="Cash"/>
    <s v="Ben"/>
    <x v="3"/>
    <x v="0"/>
    <n v="5"/>
    <s v="ok"/>
    <n v="1276.7849999999999"/>
  </r>
  <r>
    <s v="T100267"/>
    <s v="2025-05-14"/>
    <s v="C5732"/>
    <m/>
    <s v=""/>
    <s v="Female"/>
    <n v="8"/>
    <s v="Invalid"/>
    <s v="Abuja"/>
    <x v="3"/>
    <s v="Electronics"/>
    <s v="Electronics"/>
    <s v="Phone"/>
    <s v="Phone"/>
    <n v="259.60000000000002"/>
    <n v="5"/>
    <n v="5"/>
    <n v="120"/>
    <s v="invalid"/>
    <s v="POS"/>
    <s v="Pos"/>
    <s v="Chi"/>
    <x v="1"/>
    <x v="2"/>
    <n v="2"/>
    <s v="Missing"/>
    <n v="-259.59999999999997"/>
  </r>
  <r>
    <s v="T100268"/>
    <s v="2025-04-02"/>
    <s v="C3305"/>
    <s v="Grace"/>
    <s v="Grace"/>
    <s v="Male"/>
    <n v="130"/>
    <s v="Invalid"/>
    <s v="Kano"/>
    <x v="4"/>
    <s v="Beauty"/>
    <s v="Beauty"/>
    <s v="Cream"/>
    <s v="Cream"/>
    <n v="120.62"/>
    <n v="-2"/>
    <n v="1"/>
    <n v="-10"/>
    <s v="invalid"/>
    <m/>
    <s v=""/>
    <s v="Dan"/>
    <x v="0"/>
    <x v="0"/>
    <n v="2"/>
    <s v="ok"/>
    <n v="132.68200000000002"/>
  </r>
  <r>
    <s v="T100269"/>
    <s v="2026-01-17"/>
    <s v="C5259"/>
    <s v="Peter"/>
    <s v="Peter"/>
    <s v="Female"/>
    <n v="130"/>
    <s v="Invalid"/>
    <s v="PH"/>
    <x v="1"/>
    <s v="Beauty"/>
    <s v="Beauty"/>
    <s v="Cream"/>
    <s v="Cream"/>
    <n v="314.72000000000003"/>
    <n v="5"/>
    <n v="5"/>
    <n v="10"/>
    <s v="Valid"/>
    <m/>
    <s v=""/>
    <s v="Ben"/>
    <x v="3"/>
    <x v="3"/>
    <n v="2"/>
    <s v="ok"/>
    <n v="1416.2400000000002"/>
  </r>
  <r>
    <s v="T100270"/>
    <s v="2025-04-21"/>
    <s v="C2181"/>
    <s v="Peter"/>
    <s v="Peter"/>
    <s v="Male"/>
    <n v="130"/>
    <s v="Invalid"/>
    <s v="lagos"/>
    <x v="0"/>
    <s v="Beauty"/>
    <s v="Beauty"/>
    <s v="Cream"/>
    <s v="Cream"/>
    <n v="363.06"/>
    <n v="-2"/>
    <n v="1"/>
    <n v="10"/>
    <s v="Valid"/>
    <s v="POS"/>
    <s v="Pos"/>
    <s v="Ada"/>
    <x v="2"/>
    <x v="1"/>
    <n v="5"/>
    <s v="ok"/>
    <n v="326.75400000000002"/>
  </r>
  <r>
    <s v="T100271"/>
    <s v="2026-04-17"/>
    <s v="C9081"/>
    <s v="Aisha"/>
    <s v="Aisha"/>
    <s v="Female"/>
    <n v="8"/>
    <s v="Invalid"/>
    <s v="Abuja"/>
    <x v="3"/>
    <s v="groceris"/>
    <s v="Groceris"/>
    <s v="Rice"/>
    <s v="Rice"/>
    <n v="234.27"/>
    <n v="6"/>
    <n v="6"/>
    <n v="120"/>
    <s v="invalid"/>
    <s v="Cash"/>
    <s v="Cash"/>
    <s v="Dan"/>
    <x v="0"/>
    <x v="0"/>
    <n v="5"/>
    <s v="ok"/>
    <n v="-281.12399999999997"/>
  </r>
  <r>
    <s v="T100272"/>
    <s v="2026-03-28"/>
    <s v="C3913"/>
    <s v="Mary"/>
    <s v="Mary"/>
    <s v="Male"/>
    <n v="8"/>
    <s v="Invalid"/>
    <s v="Kano"/>
    <x v="4"/>
    <s v="Fashion"/>
    <s v="Fashion"/>
    <s v="Shirt"/>
    <s v="Shirt"/>
    <n v="114.87"/>
    <n v="2"/>
    <n v="2"/>
    <n v="-10"/>
    <s v="invalid"/>
    <s v="Cash"/>
    <s v="Cash"/>
    <s v="Ada"/>
    <x v="2"/>
    <x v="0"/>
    <n v="5"/>
    <s v="ok"/>
    <n v="252.71400000000003"/>
  </r>
  <r>
    <s v="T100273"/>
    <s v="29/03/2026"/>
    <s v="C2700"/>
    <s v="David"/>
    <s v="David"/>
    <s v="Female"/>
    <n v="130"/>
    <s v="Invalid"/>
    <s v="lagos"/>
    <x v="0"/>
    <s v="groceris"/>
    <s v="Groceris"/>
    <s v="Rice"/>
    <s v="Rice"/>
    <n v="251.75"/>
    <n v="3"/>
    <n v="3"/>
    <n v="0"/>
    <s v="Valid"/>
    <s v="Mobile Money"/>
    <s v="Mobile Money"/>
    <s v="Ben"/>
    <x v="3"/>
    <x v="0"/>
    <n v="2"/>
    <s v="ok"/>
    <n v="755.25"/>
  </r>
  <r>
    <s v="T100274"/>
    <s v="2025-03-27"/>
    <s v="C4194"/>
    <s v="John"/>
    <s v="John"/>
    <s v="Female"/>
    <n v="130"/>
    <s v="Invalid"/>
    <s v="Abuja"/>
    <x v="3"/>
    <s v="Beauty"/>
    <s v="Beauty"/>
    <s v="Cream"/>
    <s v="Cream"/>
    <n v="291.39999999999998"/>
    <n v="-2"/>
    <n v="1"/>
    <n v="15"/>
    <s v="Valid"/>
    <s v="Cash"/>
    <s v="Cash"/>
    <s v="Chi"/>
    <x v="1"/>
    <x v="2"/>
    <m/>
    <s v="ok"/>
    <n v="247.68999999999997"/>
  </r>
  <r>
    <s v="T100275"/>
    <s v="2025-08-17"/>
    <s v="C6822"/>
    <s v="Aisha"/>
    <s v="Aisha"/>
    <s v="Male"/>
    <n v="8"/>
    <s v="Invalid"/>
    <s v="lagos"/>
    <x v="0"/>
    <s v="Fashion"/>
    <s v="Fashion"/>
    <s v="Shirt"/>
    <s v="Shirt"/>
    <n v="377.27"/>
    <n v="-2"/>
    <n v="1"/>
    <n v="120"/>
    <s v="invalid"/>
    <s v="Cash"/>
    <s v="Cash"/>
    <s v="Ada"/>
    <x v="2"/>
    <x v="2"/>
    <n v="4"/>
    <s v="ok"/>
    <n v="-75.453999999999979"/>
  </r>
  <r>
    <s v="T100276"/>
    <s v="2026-02-10"/>
    <s v="C2359"/>
    <s v="John"/>
    <s v="John"/>
    <s v="Male"/>
    <n v="64"/>
    <s v="Valid"/>
    <s v="lagos"/>
    <x v="0"/>
    <s v="groceris"/>
    <s v="Groceris"/>
    <s v="Rice"/>
    <s v="Rice"/>
    <n v="421.9"/>
    <n v="8"/>
    <n v="8"/>
    <n v="-10"/>
    <s v="invalid"/>
    <s v="Mobile Money"/>
    <s v="Mobile Money"/>
    <s v="Ada"/>
    <x v="2"/>
    <x v="1"/>
    <n v="4"/>
    <s v="ok"/>
    <n v="3712.7200000000003"/>
  </r>
  <r>
    <s v="T100277"/>
    <s v="2026-05-11"/>
    <s v="C6590"/>
    <m/>
    <s v=""/>
    <s v="Male"/>
    <n v="130"/>
    <s v="Invalid"/>
    <s v="Enugu"/>
    <x v="2"/>
    <s v="Fashion"/>
    <s v="Fashion"/>
    <s v="Shirt"/>
    <s v="Shirt"/>
    <n v="463.7"/>
    <n v="-2"/>
    <n v="1"/>
    <n v="10"/>
    <s v="Valid"/>
    <s v="POS"/>
    <s v="Pos"/>
    <s v="Dan"/>
    <x v="0"/>
    <x v="3"/>
    <n v="2"/>
    <s v="Missing"/>
    <n v="417.33"/>
  </r>
  <r>
    <s v="T100278"/>
    <s v="2026-01-25"/>
    <s v="C1091"/>
    <s v="David"/>
    <s v="David"/>
    <s v="Male"/>
    <n v="8"/>
    <s v="Invalid"/>
    <s v="PH"/>
    <x v="1"/>
    <s v="Groceries"/>
    <s v="Groceries"/>
    <s v="Rice"/>
    <s v="Rice"/>
    <n v="311.81"/>
    <n v="-2"/>
    <n v="1"/>
    <n v="5"/>
    <s v="Valid"/>
    <m/>
    <s v=""/>
    <s v="Dan"/>
    <x v="0"/>
    <x v="0"/>
    <n v="2"/>
    <s v="ok"/>
    <n v="296.21949999999998"/>
  </r>
  <r>
    <s v="T100279"/>
    <s v="2025-04-24"/>
    <s v="C4799"/>
    <s v="Aisha"/>
    <s v="Aisha"/>
    <s v="Male"/>
    <n v="58"/>
    <s v="Valid"/>
    <s v="lagos"/>
    <x v="0"/>
    <s v="Groceries"/>
    <s v="Groceries"/>
    <s v="Rice"/>
    <s v="Rice"/>
    <n v="126.95"/>
    <n v="9"/>
    <n v="9"/>
    <n v="-10"/>
    <s v="invalid"/>
    <s v="Mobile Money"/>
    <s v="Mobile Money"/>
    <s v="Ben"/>
    <x v="3"/>
    <x v="3"/>
    <n v="1"/>
    <s v="ok"/>
    <n v="1256.8050000000001"/>
  </r>
  <r>
    <s v="T100280"/>
    <s v="13/08/2025"/>
    <s v="C9222"/>
    <s v="Peter"/>
    <s v="Peter"/>
    <s v="Male"/>
    <n v="8"/>
    <s v="Invalid"/>
    <s v="PH"/>
    <x v="1"/>
    <s v="Home"/>
    <s v="Home"/>
    <s v="Chair"/>
    <s v="Chair"/>
    <n v="255.74"/>
    <n v="-2"/>
    <n v="1"/>
    <n v="120"/>
    <s v="invalid"/>
    <s v="POS"/>
    <s v="Pos"/>
    <s v="Ben"/>
    <x v="3"/>
    <x v="0"/>
    <n v="4"/>
    <s v="ok"/>
    <n v="-51.147999999999989"/>
  </r>
  <r>
    <s v="T100281"/>
    <s v="2025-11-17"/>
    <s v="C4457"/>
    <s v="Peter"/>
    <s v="Peter"/>
    <s v="Female"/>
    <n v="130"/>
    <s v="Invalid"/>
    <s v="lagos"/>
    <x v="0"/>
    <s v="Sports"/>
    <s v="Sports"/>
    <s v="Ball"/>
    <s v="Ball"/>
    <n v="449.44"/>
    <n v="-2"/>
    <n v="1"/>
    <n v="10"/>
    <s v="Valid"/>
    <s v="Transfer"/>
    <s v="Transfer"/>
    <s v="Ada"/>
    <x v="2"/>
    <x v="0"/>
    <n v="5"/>
    <s v="ok"/>
    <n v="404.49599999999998"/>
  </r>
  <r>
    <s v="T100282"/>
    <s v="2026-05-28"/>
    <s v="C3907"/>
    <m/>
    <s v=""/>
    <s v="Male"/>
    <n v="130"/>
    <s v="Invalid"/>
    <s v="PH"/>
    <x v="1"/>
    <s v="Sports"/>
    <s v="Sports"/>
    <s v="Ball"/>
    <s v="Ball"/>
    <n v="28.4"/>
    <n v="-2"/>
    <n v="1"/>
    <n v="-10"/>
    <s v="invalid"/>
    <s v="POS"/>
    <s v="Pos"/>
    <s v="Chi"/>
    <x v="1"/>
    <x v="3"/>
    <n v="3"/>
    <s v="Missing"/>
    <n v="31.240000000000002"/>
  </r>
  <r>
    <s v="T100283"/>
    <s v="2025-07-02"/>
    <s v="C3908"/>
    <s v="David"/>
    <s v="David"/>
    <s v="Female"/>
    <n v="130"/>
    <s v="Invalid"/>
    <s v="lagos"/>
    <x v="0"/>
    <s v="Beauty"/>
    <s v="Beauty"/>
    <s v="Cream"/>
    <s v="Cream"/>
    <n v="68.55"/>
    <n v="10"/>
    <n v="10"/>
    <n v="10"/>
    <s v="Valid"/>
    <m/>
    <s v=""/>
    <s v="Chi"/>
    <x v="1"/>
    <x v="1"/>
    <m/>
    <s v="ok"/>
    <n v="616.95000000000005"/>
  </r>
  <r>
    <s v="T100284"/>
    <s v="2025-04-21"/>
    <s v="C7992"/>
    <s v="  James "/>
    <s v="James"/>
    <s v="Female"/>
    <n v="130"/>
    <s v="Invalid"/>
    <s v="lagos"/>
    <x v="0"/>
    <s v="Sports"/>
    <s v="Sports"/>
    <s v="Ball"/>
    <s v="Ball"/>
    <n v="157.43"/>
    <n v="-2"/>
    <n v="1"/>
    <n v="0"/>
    <s v="Valid"/>
    <s v="POS"/>
    <s v="Pos"/>
    <s v="Ben"/>
    <x v="3"/>
    <x v="1"/>
    <n v="2"/>
    <s v="ok"/>
    <n v="157.43"/>
  </r>
  <r>
    <s v="T100285"/>
    <s v="2026-06-13"/>
    <s v="C7040"/>
    <s v="Peter"/>
    <s v="Peter"/>
    <s v="Male"/>
    <n v="33"/>
    <s v="Valid"/>
    <s v="Enugu"/>
    <x v="2"/>
    <s v="Groceries"/>
    <s v="Groceries"/>
    <s v="Rice"/>
    <s v="Rice"/>
    <n v="261.36"/>
    <n v="9"/>
    <n v="9"/>
    <n v="5"/>
    <s v="Valid"/>
    <s v="Cash"/>
    <s v="Cash"/>
    <s v="Chi"/>
    <x v="1"/>
    <x v="3"/>
    <n v="1"/>
    <s v="ok"/>
    <n v="2234.6280000000002"/>
  </r>
  <r>
    <s v="T100286"/>
    <s v="2026-01-05"/>
    <s v="C9438"/>
    <s v="Grace"/>
    <s v="Grace"/>
    <s v="Female"/>
    <n v="45"/>
    <s v="Valid"/>
    <s v="Kano"/>
    <x v="4"/>
    <s v="Sports"/>
    <s v="Sports"/>
    <s v="Ball"/>
    <s v="Ball"/>
    <n v="447.81"/>
    <n v="-2"/>
    <n v="1"/>
    <n v="5"/>
    <s v="Valid"/>
    <s v="Mobile Money"/>
    <s v="Mobile Money"/>
    <s v="Chi"/>
    <x v="1"/>
    <x v="2"/>
    <n v="4"/>
    <s v="ok"/>
    <n v="425.41949999999997"/>
  </r>
  <r>
    <s v="T100287"/>
    <s v="19/03/2026"/>
    <s v="C6490"/>
    <s v="David"/>
    <s v="David"/>
    <s v="Male"/>
    <n v="33"/>
    <s v="Valid"/>
    <s v="lagos"/>
    <x v="0"/>
    <s v="Beauty"/>
    <s v="Beauty"/>
    <s v="Cream"/>
    <s v="Cream"/>
    <n v="130.33000000000001"/>
    <n v="-2"/>
    <n v="1"/>
    <n v="5"/>
    <s v="Valid"/>
    <s v="Cash"/>
    <s v="Cash"/>
    <s v="Ada"/>
    <x v="2"/>
    <x v="3"/>
    <n v="3"/>
    <s v="ok"/>
    <n v="123.8135"/>
  </r>
  <r>
    <s v="T100288"/>
    <s v="2025-12-16"/>
    <s v="C1512"/>
    <s v="John"/>
    <s v="John"/>
    <s v="Female"/>
    <n v="8"/>
    <s v="Invalid"/>
    <s v="lagos"/>
    <x v="0"/>
    <s v="Sports"/>
    <s v="Sports"/>
    <s v="Ball"/>
    <s v="Ball"/>
    <n v="377.74"/>
    <n v="8"/>
    <n v="8"/>
    <n v="10"/>
    <s v="Valid"/>
    <m/>
    <s v=""/>
    <s v="Ada"/>
    <x v="2"/>
    <x v="3"/>
    <n v="5"/>
    <s v="ok"/>
    <n v="2719.7280000000001"/>
  </r>
  <r>
    <s v="T100289"/>
    <s v="2026-05-30"/>
    <s v="C4072"/>
    <s v="  James "/>
    <s v="James"/>
    <s v="Male"/>
    <n v="8"/>
    <s v="Invalid"/>
    <s v="Enugu"/>
    <x v="2"/>
    <s v="Home"/>
    <s v="Home"/>
    <s v="Chair"/>
    <s v="Chair"/>
    <n v="230.19"/>
    <n v="-2"/>
    <n v="1"/>
    <n v="0"/>
    <s v="Valid"/>
    <s v="POS"/>
    <s v="Pos"/>
    <s v="Dan"/>
    <x v="0"/>
    <x v="0"/>
    <n v="3"/>
    <s v="ok"/>
    <n v="230.19"/>
  </r>
  <r>
    <s v="T100290"/>
    <s v="2025-11-10"/>
    <s v="C4200"/>
    <s v="Grace"/>
    <s v="Grace"/>
    <s v="Female"/>
    <n v="130"/>
    <s v="Invalid"/>
    <s v="lagos"/>
    <x v="0"/>
    <s v="Beauty"/>
    <s v="Beauty"/>
    <s v="Cream"/>
    <s v="Cream"/>
    <n v="85.95"/>
    <n v="10"/>
    <n v="10"/>
    <n v="10"/>
    <s v="Valid"/>
    <s v="POS"/>
    <s v="Pos"/>
    <s v="Ada"/>
    <x v="2"/>
    <x v="2"/>
    <n v="1"/>
    <s v="ok"/>
    <n v="773.55000000000007"/>
  </r>
  <r>
    <s v="T100291"/>
    <s v="2025-08-08"/>
    <s v="C8532"/>
    <s v="Peter"/>
    <s v="Peter"/>
    <s v="Female"/>
    <n v="130"/>
    <s v="Invalid"/>
    <s v="PH"/>
    <x v="1"/>
    <s v="Beauty"/>
    <s v="Beauty"/>
    <s v="Cream"/>
    <s v="Cream"/>
    <n v="83.81"/>
    <n v="-2"/>
    <n v="1"/>
    <n v="15"/>
    <s v="Valid"/>
    <m/>
    <s v=""/>
    <s v="Dan"/>
    <x v="0"/>
    <x v="3"/>
    <n v="3"/>
    <s v="ok"/>
    <n v="71.238500000000002"/>
  </r>
  <r>
    <s v="T100292"/>
    <s v="2025-02-17"/>
    <s v="C1292"/>
    <s v="John"/>
    <s v="John"/>
    <s v="Female"/>
    <n v="8"/>
    <s v="Invalid"/>
    <s v="lagos"/>
    <x v="0"/>
    <s v="groceris"/>
    <s v="Groceris"/>
    <s v="Rice"/>
    <s v="Rice"/>
    <n v="250.46"/>
    <n v="3"/>
    <n v="3"/>
    <n v="15"/>
    <s v="Valid"/>
    <s v="POS"/>
    <s v="Pos"/>
    <s v="Ben"/>
    <x v="3"/>
    <x v="0"/>
    <m/>
    <s v="ok"/>
    <n v="638.673"/>
  </r>
  <r>
    <s v="T100293"/>
    <s v="2025-02-22"/>
    <s v="C4223"/>
    <s v="David"/>
    <s v="David"/>
    <s v="Male"/>
    <n v="130"/>
    <s v="Invalid"/>
    <s v="lagos"/>
    <x v="0"/>
    <s v="Groceries"/>
    <s v="Groceries"/>
    <s v="Rice"/>
    <s v="Rice"/>
    <n v="21.28"/>
    <n v="-2"/>
    <n v="1"/>
    <n v="5"/>
    <s v="Valid"/>
    <s v="POS"/>
    <s v="Pos"/>
    <s v="Dan"/>
    <x v="0"/>
    <x v="2"/>
    <n v="2"/>
    <s v="ok"/>
    <n v="20.216000000000001"/>
  </r>
  <r>
    <s v="T100294"/>
    <s v="12/11/2025"/>
    <s v="C5688"/>
    <s v="Peter"/>
    <s v="Peter"/>
    <s v="Male"/>
    <n v="130"/>
    <s v="Invalid"/>
    <s v="PH"/>
    <x v="1"/>
    <s v="Beauty"/>
    <s v="Beauty"/>
    <s v="Cream"/>
    <s v="Cream"/>
    <n v="396.87"/>
    <n v="10"/>
    <n v="10"/>
    <n v="10"/>
    <s v="Valid"/>
    <s v="POS"/>
    <s v="Pos"/>
    <s v="Chi"/>
    <x v="1"/>
    <x v="2"/>
    <m/>
    <s v="ok"/>
    <n v="3571.83"/>
  </r>
  <r>
    <s v="T100295"/>
    <s v="2026-04-16"/>
    <s v="C2896"/>
    <s v="John"/>
    <s v="John"/>
    <s v="Female"/>
    <n v="20"/>
    <s v="Valid"/>
    <s v="lagos"/>
    <x v="0"/>
    <s v="Groceries"/>
    <s v="Groceries"/>
    <s v="Rice"/>
    <s v="Rice"/>
    <n v="214.85"/>
    <n v="-2"/>
    <n v="1"/>
    <n v="120"/>
    <s v="invalid"/>
    <s v="Cash"/>
    <s v="Cash"/>
    <s v="Dan"/>
    <x v="0"/>
    <x v="0"/>
    <n v="1"/>
    <s v="ok"/>
    <n v="-42.969999999999992"/>
  </r>
  <r>
    <s v="T100296"/>
    <s v="2025-06-05"/>
    <s v="C8382"/>
    <s v="David"/>
    <s v="David"/>
    <s v="Male"/>
    <n v="43"/>
    <s v="Valid"/>
    <s v="lagos"/>
    <x v="0"/>
    <s v="Groceries"/>
    <s v="Groceries"/>
    <s v="Rice"/>
    <s v="Rice"/>
    <n v="16.579999999999998"/>
    <n v="-2"/>
    <n v="1"/>
    <n v="0"/>
    <s v="Valid"/>
    <s v="Cash"/>
    <s v="Cash"/>
    <s v="Dan"/>
    <x v="0"/>
    <x v="0"/>
    <m/>
    <s v="ok"/>
    <n v="16.579999999999998"/>
  </r>
  <r>
    <s v="T100297"/>
    <s v="2025-07-26"/>
    <s v="C5315"/>
    <s v="John"/>
    <s v="John"/>
    <s v="Male"/>
    <n v="8"/>
    <s v="Invalid"/>
    <s v="lagos"/>
    <x v="0"/>
    <s v="Home"/>
    <s v="Home"/>
    <s v="Chair"/>
    <s v="Chair"/>
    <n v="328.87"/>
    <n v="-2"/>
    <n v="1"/>
    <n v="120"/>
    <s v="invalid"/>
    <s v="Cash"/>
    <s v="Cash"/>
    <s v="Dan"/>
    <x v="0"/>
    <x v="2"/>
    <n v="3"/>
    <s v="ok"/>
    <n v="-65.773999999999987"/>
  </r>
  <r>
    <s v="T100298"/>
    <s v="2025-07-10"/>
    <s v="C2719"/>
    <s v="Peter"/>
    <s v="Peter"/>
    <s v="Male"/>
    <n v="8"/>
    <s v="Invalid"/>
    <s v="Abuja"/>
    <x v="3"/>
    <s v="Sports"/>
    <s v="Sports"/>
    <s v="Ball"/>
    <s v="Ball"/>
    <n v="409.21"/>
    <n v="8"/>
    <n v="8"/>
    <n v="15"/>
    <s v="Valid"/>
    <s v="Transfer"/>
    <s v="Transfer"/>
    <s v="Dan"/>
    <x v="0"/>
    <x v="0"/>
    <n v="5"/>
    <s v="ok"/>
    <n v="2782.6279999999997"/>
  </r>
  <r>
    <s v="T100299"/>
    <s v="2025-05-29"/>
    <s v="C2201"/>
    <s v="Peter"/>
    <s v="Peter"/>
    <s v="Male"/>
    <n v="8"/>
    <s v="Invalid"/>
    <s v="lagos"/>
    <x v="0"/>
    <s v="Sports"/>
    <s v="Sports"/>
    <s v="Ball"/>
    <s v="Ball"/>
    <n v="91.17"/>
    <n v="-2"/>
    <n v="1"/>
    <n v="0"/>
    <s v="Valid"/>
    <s v="Cash"/>
    <s v="Cash"/>
    <s v="Chi"/>
    <x v="1"/>
    <x v="0"/>
    <n v="2"/>
    <s v="ok"/>
    <n v="91.17"/>
  </r>
  <r>
    <s v="T100300"/>
    <s v="2025-10-22"/>
    <s v="C1383"/>
    <s v="Grace"/>
    <s v="Grace"/>
    <s v="Female"/>
    <n v="8"/>
    <s v="Invalid"/>
    <s v="Abuja"/>
    <x v="3"/>
    <s v="Groceries"/>
    <s v="Groceries"/>
    <s v="Rice"/>
    <s v="Rice"/>
    <n v="212.85"/>
    <n v="10"/>
    <n v="10"/>
    <n v="5"/>
    <s v="Valid"/>
    <m/>
    <s v=""/>
    <s v="Ada"/>
    <x v="2"/>
    <x v="0"/>
    <m/>
    <s v="ok"/>
    <n v="2022.0749999999998"/>
  </r>
  <r>
    <s v="T100301"/>
    <s v="22/04/2025"/>
    <s v="C7551"/>
    <s v="David"/>
    <s v="David"/>
    <s v="Female"/>
    <n v="130"/>
    <s v="Invalid"/>
    <s v="Kano"/>
    <x v="4"/>
    <s v="Beauty"/>
    <s v="Beauty"/>
    <s v="Cream"/>
    <s v="Cream"/>
    <n v="31.83"/>
    <n v="9"/>
    <n v="9"/>
    <n v="10"/>
    <s v="Valid"/>
    <s v="Transfer"/>
    <s v="Transfer"/>
    <s v="Ben"/>
    <x v="3"/>
    <x v="0"/>
    <n v="2"/>
    <s v="ok"/>
    <n v="257.82299999999998"/>
  </r>
  <r>
    <s v="T100302"/>
    <s v="2025-04-28"/>
    <s v="C3517"/>
    <m/>
    <s v=""/>
    <s v="Female"/>
    <n v="19"/>
    <s v="Valid"/>
    <s v="lagos"/>
    <x v="0"/>
    <s v="Groceries"/>
    <s v="Groceries"/>
    <s v="Rice"/>
    <s v="Rice"/>
    <n v="196.21"/>
    <n v="7"/>
    <n v="7"/>
    <n v="10"/>
    <s v="Valid"/>
    <s v="Mobile Money"/>
    <s v="Mobile Money"/>
    <s v="Ada"/>
    <x v="2"/>
    <x v="2"/>
    <m/>
    <s v="Missing"/>
    <n v="1236.123"/>
  </r>
  <r>
    <s v="T100303"/>
    <s v="2025-11-15"/>
    <s v="C8984"/>
    <s v="John"/>
    <s v="John"/>
    <s v="Male"/>
    <n v="49"/>
    <s v="Valid"/>
    <s v="Enugu"/>
    <x v="2"/>
    <s v="groceris"/>
    <s v="Groceris"/>
    <s v="Rice"/>
    <s v="Rice"/>
    <n v="23.75"/>
    <n v="-2"/>
    <n v="1"/>
    <n v="10"/>
    <s v="Valid"/>
    <m/>
    <s v=""/>
    <s v="Chi"/>
    <x v="1"/>
    <x v="2"/>
    <n v="1"/>
    <s v="ok"/>
    <n v="21.375"/>
  </r>
  <r>
    <s v="T100304"/>
    <s v="2025-12-30"/>
    <s v="C5961"/>
    <s v="Peter"/>
    <s v="Peter"/>
    <s v="Female"/>
    <n v="61"/>
    <s v="Valid"/>
    <s v="PH"/>
    <x v="1"/>
    <s v="Home"/>
    <s v="Home"/>
    <s v="Chair"/>
    <s v="Chair"/>
    <n v="451.17"/>
    <n v="-2"/>
    <n v="1"/>
    <n v="120"/>
    <s v="invalid"/>
    <s v="Cash"/>
    <s v="Cash"/>
    <s v="Chi"/>
    <x v="1"/>
    <x v="1"/>
    <n v="2"/>
    <s v="ok"/>
    <n v="-90.23399999999998"/>
  </r>
  <r>
    <s v="T100305"/>
    <s v="2025-09-24"/>
    <s v="C3868"/>
    <s v="  James "/>
    <s v="James"/>
    <s v="Male"/>
    <n v="8"/>
    <s v="Invalid"/>
    <s v="Abuja"/>
    <x v="3"/>
    <s v="Beauty"/>
    <s v="Beauty"/>
    <s v="Cream"/>
    <s v="Cream"/>
    <n v="345.09"/>
    <n v="-2"/>
    <n v="1"/>
    <n v="15"/>
    <s v="Valid"/>
    <s v="Cash"/>
    <s v="Cash"/>
    <s v="Chi"/>
    <x v="1"/>
    <x v="1"/>
    <n v="2"/>
    <s v="ok"/>
    <n v="293.32649999999995"/>
  </r>
  <r>
    <s v="T100306"/>
    <s v="2025-12-22"/>
    <s v="C9301"/>
    <s v="  James "/>
    <s v="James"/>
    <s v="Female"/>
    <n v="130"/>
    <s v="Invalid"/>
    <s v="lagos"/>
    <x v="0"/>
    <s v="groceris"/>
    <s v="Groceris"/>
    <s v="Rice"/>
    <s v="Rice"/>
    <n v="426.5"/>
    <n v="-2"/>
    <n v="1"/>
    <n v="0"/>
    <s v="Valid"/>
    <s v="Cash"/>
    <s v="Cash"/>
    <s v="Dan"/>
    <x v="0"/>
    <x v="3"/>
    <n v="3"/>
    <s v="ok"/>
    <n v="426.5"/>
  </r>
  <r>
    <s v="T100307"/>
    <s v="2026-01-23"/>
    <s v="C7453"/>
    <s v="Aisha"/>
    <s v="Aisha"/>
    <s v="Female"/>
    <n v="130"/>
    <s v="Invalid"/>
    <s v="Enugu"/>
    <x v="2"/>
    <s v="Electronics"/>
    <s v="Electronics"/>
    <s v="Phone"/>
    <s v="Phone"/>
    <n v="371.71"/>
    <n v="10"/>
    <n v="10"/>
    <n v="120"/>
    <s v="invalid"/>
    <s v="Mobile Money"/>
    <s v="Mobile Money"/>
    <s v="Dan"/>
    <x v="0"/>
    <x v="3"/>
    <n v="1"/>
    <s v="ok"/>
    <n v="-743.41999999999985"/>
  </r>
  <r>
    <s v="T100308"/>
    <s v="05/01/2026"/>
    <s v="C9106"/>
    <s v="Mary"/>
    <s v="Mary"/>
    <s v="Male"/>
    <n v="59"/>
    <s v="Valid"/>
    <s v="lagos"/>
    <x v="0"/>
    <s v="Beauty"/>
    <s v="Beauty"/>
    <s v="Cream"/>
    <s v="Cream"/>
    <n v="167.16"/>
    <n v="-2"/>
    <n v="1"/>
    <n v="15"/>
    <s v="Valid"/>
    <s v="Transfer"/>
    <s v="Transfer"/>
    <s v="Chi"/>
    <x v="1"/>
    <x v="0"/>
    <m/>
    <s v="ok"/>
    <n v="142.08599999999998"/>
  </r>
  <r>
    <s v="T100309"/>
    <s v="2025-07-06"/>
    <s v="C9771"/>
    <s v="Aisha"/>
    <s v="Aisha"/>
    <s v="Female"/>
    <n v="130"/>
    <s v="Invalid"/>
    <s v="lagos"/>
    <x v="0"/>
    <s v="Electronics"/>
    <s v="Electronics"/>
    <s v="Phone"/>
    <s v="Phone"/>
    <n v="54.4"/>
    <n v="-2"/>
    <n v="1"/>
    <n v="5"/>
    <s v="Valid"/>
    <s v="Transfer"/>
    <s v="Transfer"/>
    <s v="Dan"/>
    <x v="0"/>
    <x v="1"/>
    <n v="1"/>
    <s v="ok"/>
    <n v="51.68"/>
  </r>
  <r>
    <s v="T100310"/>
    <s v="2025-09-03"/>
    <s v="C6319"/>
    <s v="Mary"/>
    <s v="Mary"/>
    <s v="Female"/>
    <n v="52"/>
    <s v="Valid"/>
    <s v="Enugu"/>
    <x v="2"/>
    <s v="groceris"/>
    <s v="Groceris"/>
    <s v="Rice"/>
    <s v="Rice"/>
    <n v="150.86000000000001"/>
    <n v="2"/>
    <n v="2"/>
    <n v="-10"/>
    <s v="invalid"/>
    <s v="Mobile Money"/>
    <s v="Mobile Money"/>
    <s v="Dan"/>
    <x v="0"/>
    <x v="1"/>
    <n v="4"/>
    <s v="ok"/>
    <n v="331.89200000000005"/>
  </r>
  <r>
    <s v="T100311"/>
    <s v="2026-02-11"/>
    <s v="C1571"/>
    <m/>
    <s v=""/>
    <s v="Female"/>
    <n v="130"/>
    <s v="Invalid"/>
    <s v="Abuja"/>
    <x v="3"/>
    <s v="Home"/>
    <s v="Home"/>
    <s v="Chair"/>
    <s v="Chair"/>
    <n v="134.79"/>
    <n v="10"/>
    <n v="10"/>
    <n v="-10"/>
    <s v="invalid"/>
    <s v="POS"/>
    <s v="Pos"/>
    <s v="Ben"/>
    <x v="3"/>
    <x v="0"/>
    <n v="2"/>
    <s v="Missing"/>
    <n v="1482.69"/>
  </r>
  <r>
    <s v="T100312"/>
    <s v="2025-03-20"/>
    <s v="C5326"/>
    <s v="Grace"/>
    <s v="Grace"/>
    <s v="Male"/>
    <n v="130"/>
    <s v="Invalid"/>
    <s v="Abuja"/>
    <x v="3"/>
    <s v="Sports"/>
    <s v="Sports"/>
    <s v="Ball"/>
    <s v="Ball"/>
    <n v="351.41"/>
    <n v="-2"/>
    <n v="1"/>
    <n v="10"/>
    <s v="Valid"/>
    <s v="Transfer"/>
    <s v="Transfer"/>
    <s v="Ada"/>
    <x v="2"/>
    <x v="3"/>
    <n v="1"/>
    <s v="ok"/>
    <n v="316.26900000000001"/>
  </r>
  <r>
    <s v="T100313"/>
    <s v="2026-06-05"/>
    <s v="C6647"/>
    <s v="Peter"/>
    <s v="Peter"/>
    <s v="Female"/>
    <n v="63"/>
    <s v="Valid"/>
    <s v="Enugu"/>
    <x v="2"/>
    <s v="Groceries"/>
    <s v="Groceries"/>
    <s v="Rice"/>
    <s v="Rice"/>
    <n v="310.12"/>
    <n v="-2"/>
    <n v="1"/>
    <n v="120"/>
    <s v="invalid"/>
    <s v="Transfer"/>
    <s v="Transfer"/>
    <s v="Ada"/>
    <x v="2"/>
    <x v="0"/>
    <n v="1"/>
    <s v="ok"/>
    <n v="-62.023999999999987"/>
  </r>
  <r>
    <s v="T100314"/>
    <s v="2025-06-20"/>
    <s v="C3524"/>
    <s v="Mary"/>
    <s v="Mary"/>
    <s v="Male"/>
    <n v="23"/>
    <s v="Valid"/>
    <s v="lagos"/>
    <x v="0"/>
    <s v="Groceries"/>
    <s v="Groceries"/>
    <s v="Rice"/>
    <s v="Rice"/>
    <n v="244.18"/>
    <n v="10"/>
    <n v="10"/>
    <n v="0"/>
    <s v="Valid"/>
    <s v="Transfer"/>
    <s v="Transfer"/>
    <s v="Dan"/>
    <x v="0"/>
    <x v="0"/>
    <n v="5"/>
    <s v="ok"/>
    <n v="2441.8000000000002"/>
  </r>
  <r>
    <s v="T100315"/>
    <s v="10/02/2026"/>
    <s v="C9699"/>
    <s v="Mary"/>
    <s v="Mary"/>
    <s v="Female"/>
    <n v="130"/>
    <s v="Invalid"/>
    <s v="Abuja"/>
    <x v="3"/>
    <s v="Fashion"/>
    <s v="Fashion"/>
    <s v="Shirt"/>
    <s v="Shirt"/>
    <n v="49.73"/>
    <n v="2"/>
    <n v="2"/>
    <n v="15"/>
    <s v="Valid"/>
    <s v="Cash"/>
    <s v="Cash"/>
    <s v="Ben"/>
    <x v="3"/>
    <x v="2"/>
    <n v="1"/>
    <s v="ok"/>
    <n v="84.540999999999997"/>
  </r>
  <r>
    <s v="T100316"/>
    <s v="2025-06-18"/>
    <s v="C9177"/>
    <s v="John"/>
    <s v="John"/>
    <s v="Male"/>
    <n v="130"/>
    <s v="Invalid"/>
    <s v="lagos"/>
    <x v="0"/>
    <s v="Electronics"/>
    <s v="Electronics"/>
    <s v="Phone"/>
    <s v="Phone"/>
    <n v="488.31"/>
    <n v="7"/>
    <n v="7"/>
    <n v="15"/>
    <s v="Valid"/>
    <s v="Mobile Money"/>
    <s v="Mobile Money"/>
    <s v="Ben"/>
    <x v="3"/>
    <x v="2"/>
    <m/>
    <s v="ok"/>
    <n v="2905.4445000000001"/>
  </r>
  <r>
    <s v="T100317"/>
    <s v="2026-02-20"/>
    <s v="C4885"/>
    <m/>
    <s v=""/>
    <s v="Female"/>
    <n v="130"/>
    <s v="Invalid"/>
    <s v="Kano"/>
    <x v="4"/>
    <s v="Groceries"/>
    <s v="Groceries"/>
    <s v="Rice"/>
    <s v="Rice"/>
    <n v="487.54"/>
    <n v="2"/>
    <n v="2"/>
    <n v="10"/>
    <s v="Valid"/>
    <s v="Mobile Money"/>
    <s v="Mobile Money"/>
    <s v="Dan"/>
    <x v="0"/>
    <x v="0"/>
    <m/>
    <s v="Missing"/>
    <n v="877.572"/>
  </r>
  <r>
    <s v="T100318"/>
    <s v="2025-07-20"/>
    <s v="C5331"/>
    <m/>
    <s v=""/>
    <s v="Female"/>
    <n v="8"/>
    <s v="Invalid"/>
    <s v="Kano"/>
    <x v="4"/>
    <s v="groceris"/>
    <s v="Groceris"/>
    <s v="Rice"/>
    <s v="Rice"/>
    <n v="316.06"/>
    <n v="-2"/>
    <n v="1"/>
    <n v="15"/>
    <s v="Valid"/>
    <s v="Mobile Money"/>
    <s v="Mobile Money"/>
    <s v="Ben"/>
    <x v="3"/>
    <x v="3"/>
    <n v="3"/>
    <s v="Missing"/>
    <n v="268.65100000000001"/>
  </r>
  <r>
    <s v="T100319"/>
    <s v="2025-09-23"/>
    <s v="C1622"/>
    <s v="Peter"/>
    <s v="Peter"/>
    <s v="Male"/>
    <n v="130"/>
    <s v="Invalid"/>
    <s v="Abuja"/>
    <x v="3"/>
    <s v="Fashion"/>
    <s v="Fashion"/>
    <s v="Shirt"/>
    <s v="Shirt"/>
    <n v="339.48"/>
    <n v="4"/>
    <n v="4"/>
    <n v="0"/>
    <s v="Valid"/>
    <s v="Transfer"/>
    <s v="Transfer"/>
    <s v="Chi"/>
    <x v="1"/>
    <x v="2"/>
    <n v="1"/>
    <s v="ok"/>
    <n v="1357.92"/>
  </r>
  <r>
    <s v="T100320"/>
    <s v="2026-04-05"/>
    <s v="C4169"/>
    <m/>
    <s v=""/>
    <s v="Male"/>
    <n v="8"/>
    <s v="Invalid"/>
    <s v="Kano"/>
    <x v="4"/>
    <s v="Groceries"/>
    <s v="Groceries"/>
    <s v="Rice"/>
    <s v="Rice"/>
    <n v="455.27"/>
    <n v="1"/>
    <n v="1"/>
    <n v="120"/>
    <s v="invalid"/>
    <m/>
    <s v=""/>
    <s v="Dan"/>
    <x v="0"/>
    <x v="2"/>
    <n v="1"/>
    <s v="Missing"/>
    <n v="-91.053999999999974"/>
  </r>
  <r>
    <s v="T100321"/>
    <s v="2026-02-27"/>
    <s v="C5300"/>
    <s v="Peter"/>
    <s v="Peter"/>
    <s v="Female"/>
    <n v="8"/>
    <s v="Invalid"/>
    <s v="lagos"/>
    <x v="0"/>
    <s v="Beauty"/>
    <s v="Beauty"/>
    <s v="Cream"/>
    <s v="Cream"/>
    <n v="369.06"/>
    <n v="-2"/>
    <n v="1"/>
    <n v="10"/>
    <s v="Valid"/>
    <s v="Transfer"/>
    <s v="Transfer"/>
    <s v="Ben"/>
    <x v="3"/>
    <x v="3"/>
    <n v="2"/>
    <s v="ok"/>
    <n v="332.154"/>
  </r>
  <r>
    <s v="T100322"/>
    <s v="25/01/2025"/>
    <s v="C3824"/>
    <s v="Mary"/>
    <s v="Mary"/>
    <s v="Female"/>
    <n v="130"/>
    <s v="Invalid"/>
    <s v="Kano"/>
    <x v="4"/>
    <s v="Fashion"/>
    <s v="Fashion"/>
    <s v="Shirt"/>
    <s v="Shirt"/>
    <n v="66.59"/>
    <n v="-2"/>
    <n v="1"/>
    <n v="15"/>
    <s v="Valid"/>
    <s v="POS"/>
    <s v="Pos"/>
    <s v="Ada"/>
    <x v="2"/>
    <x v="3"/>
    <n v="1"/>
    <s v="ok"/>
    <n v="56.601500000000001"/>
  </r>
  <r>
    <s v="T100323"/>
    <s v="2026-06-02"/>
    <s v="C8949"/>
    <s v="Grace"/>
    <s v="Grace"/>
    <s v="Female"/>
    <n v="130"/>
    <s v="Invalid"/>
    <s v="lagos"/>
    <x v="0"/>
    <s v="Electronics"/>
    <s v="Electronics"/>
    <s v="Phone"/>
    <s v="Phone"/>
    <n v="27.39"/>
    <n v="-2"/>
    <n v="1"/>
    <n v="5"/>
    <s v="Valid"/>
    <s v="POS"/>
    <s v="Pos"/>
    <s v="Chi"/>
    <x v="1"/>
    <x v="3"/>
    <n v="1"/>
    <s v="ok"/>
    <n v="26.020499999999998"/>
  </r>
  <r>
    <s v="T100324"/>
    <s v="2025-01-22"/>
    <s v="C2413"/>
    <s v="Mary"/>
    <s v="Mary"/>
    <s v="Female"/>
    <n v="130"/>
    <s v="Invalid"/>
    <s v="lagos"/>
    <x v="0"/>
    <s v="groceris"/>
    <s v="Groceris"/>
    <s v="Rice"/>
    <s v="Rice"/>
    <n v="37.28"/>
    <n v="8"/>
    <n v="8"/>
    <n v="-10"/>
    <s v="invalid"/>
    <m/>
    <s v=""/>
    <s v="Chi"/>
    <x v="1"/>
    <x v="1"/>
    <n v="3"/>
    <s v="ok"/>
    <n v="328.06400000000002"/>
  </r>
  <r>
    <s v="T100325"/>
    <s v="2025-09-23"/>
    <s v="C3732"/>
    <s v="  James "/>
    <s v="James"/>
    <s v="Male"/>
    <n v="49"/>
    <s v="Valid"/>
    <s v="Abuja"/>
    <x v="3"/>
    <s v="Electronics"/>
    <s v="Electronics"/>
    <s v="Phone"/>
    <s v="Phone"/>
    <n v="256.01"/>
    <n v="-2"/>
    <n v="1"/>
    <n v="-10"/>
    <s v="invalid"/>
    <s v="Mobile Money"/>
    <s v="Mobile Money"/>
    <s v="Dan"/>
    <x v="0"/>
    <x v="3"/>
    <n v="1"/>
    <s v="ok"/>
    <n v="281.61099999999999"/>
  </r>
  <r>
    <s v="T100326"/>
    <s v="2025-10-23"/>
    <s v="C2980"/>
    <s v="Aisha"/>
    <s v="Aisha"/>
    <s v="Male"/>
    <n v="45"/>
    <s v="Valid"/>
    <s v="Kano"/>
    <x v="4"/>
    <s v="Home"/>
    <s v="Home"/>
    <s v="Chair"/>
    <s v="Chair"/>
    <n v="346.31"/>
    <n v="-2"/>
    <n v="1"/>
    <n v="0"/>
    <s v="Valid"/>
    <s v="Transfer"/>
    <s v="Transfer"/>
    <s v="Chi"/>
    <x v="1"/>
    <x v="2"/>
    <n v="2"/>
    <s v="ok"/>
    <n v="346.31"/>
  </r>
  <r>
    <s v="T100327"/>
    <s v="2025-06-13"/>
    <s v="C1597"/>
    <s v="John"/>
    <s v="John"/>
    <s v="Female"/>
    <n v="8"/>
    <s v="Invalid"/>
    <s v="lagos"/>
    <x v="0"/>
    <s v="Beauty"/>
    <s v="Beauty"/>
    <s v="Cream"/>
    <s v="Cream"/>
    <n v="223.75"/>
    <n v="-2"/>
    <n v="1"/>
    <n v="0"/>
    <s v="Valid"/>
    <s v="Transfer"/>
    <s v="Transfer"/>
    <s v="Dan"/>
    <x v="0"/>
    <x v="1"/>
    <n v="3"/>
    <s v="ok"/>
    <n v="223.75"/>
  </r>
  <r>
    <s v="T100328"/>
    <s v="2025-06-04"/>
    <s v="C5927"/>
    <m/>
    <s v=""/>
    <s v="Male"/>
    <n v="130"/>
    <s v="Invalid"/>
    <s v="lagos"/>
    <x v="0"/>
    <s v="Home"/>
    <s v="Home"/>
    <s v="Chair"/>
    <s v="Chair"/>
    <n v="60.96"/>
    <n v="10"/>
    <n v="10"/>
    <n v="10"/>
    <s v="Valid"/>
    <s v="Cash"/>
    <s v="Cash"/>
    <s v="Dan"/>
    <x v="0"/>
    <x v="0"/>
    <n v="2"/>
    <s v="Missing"/>
    <n v="548.64"/>
  </r>
  <r>
    <s v="T100329"/>
    <s v="16/06/2025"/>
    <s v="C3259"/>
    <s v="Grace"/>
    <s v="Grace"/>
    <s v="Male"/>
    <n v="130"/>
    <s v="Invalid"/>
    <s v="PH"/>
    <x v="1"/>
    <s v="Sports"/>
    <s v="Sports"/>
    <s v="Ball"/>
    <s v="Ball"/>
    <n v="325.37"/>
    <n v="2"/>
    <n v="2"/>
    <n v="5"/>
    <s v="Valid"/>
    <s v="Transfer"/>
    <s v="Transfer"/>
    <s v="Dan"/>
    <x v="0"/>
    <x v="3"/>
    <n v="2"/>
    <s v="ok"/>
    <n v="618.20299999999997"/>
  </r>
  <r>
    <s v="T100330"/>
    <s v="2025-08-29"/>
    <s v="C8537"/>
    <m/>
    <s v=""/>
    <s v="Male"/>
    <n v="8"/>
    <s v="Invalid"/>
    <s v="lagos"/>
    <x v="0"/>
    <s v="Home"/>
    <s v="Home"/>
    <s v="Chair"/>
    <s v="Chair"/>
    <n v="178.63"/>
    <n v="-2"/>
    <n v="1"/>
    <n v="0"/>
    <s v="Valid"/>
    <s v="POS"/>
    <s v="Pos"/>
    <s v="Ada"/>
    <x v="2"/>
    <x v="0"/>
    <m/>
    <s v="Missing"/>
    <n v="178.63"/>
  </r>
  <r>
    <s v="T100331"/>
    <s v="2025-01-25"/>
    <s v="C7246"/>
    <s v="David"/>
    <s v="David"/>
    <s v="Female"/>
    <n v="41"/>
    <s v="Valid"/>
    <s v="Enugu"/>
    <x v="2"/>
    <s v="Home"/>
    <s v="Home"/>
    <s v="Chair"/>
    <s v="Chair"/>
    <n v="299.02999999999997"/>
    <n v="-2"/>
    <n v="1"/>
    <n v="120"/>
    <s v="invalid"/>
    <s v="Transfer"/>
    <s v="Transfer"/>
    <s v="Ben"/>
    <x v="3"/>
    <x v="3"/>
    <n v="3"/>
    <s v="ok"/>
    <n v="-59.805999999999983"/>
  </r>
  <r>
    <s v="T100332"/>
    <s v="2026-03-29"/>
    <s v="C4698"/>
    <s v="John"/>
    <s v="John"/>
    <s v="Male"/>
    <n v="8"/>
    <s v="Invalid"/>
    <s v="lagos"/>
    <x v="0"/>
    <s v="Electronics"/>
    <s v="Electronics"/>
    <s v="Phone"/>
    <s v="Phone"/>
    <n v="291.27"/>
    <n v="7"/>
    <n v="7"/>
    <n v="120"/>
    <s v="invalid"/>
    <s v="Transfer"/>
    <s v="Transfer"/>
    <s v="Ben"/>
    <x v="3"/>
    <x v="0"/>
    <m/>
    <s v="ok"/>
    <n v="-407.77799999999991"/>
  </r>
  <r>
    <s v="T100333"/>
    <s v="2026-04-25"/>
    <s v="C4579"/>
    <s v="John"/>
    <s v="John"/>
    <s v="Male"/>
    <n v="18"/>
    <s v="Invalid"/>
    <s v="Abuja"/>
    <x v="3"/>
    <s v="Home"/>
    <s v="Home"/>
    <s v="Chair"/>
    <s v="Chair"/>
    <n v="326.33"/>
    <n v="-2"/>
    <n v="1"/>
    <n v="120"/>
    <s v="invalid"/>
    <s v="Mobile Money"/>
    <s v="Mobile Money"/>
    <s v="Dan"/>
    <x v="0"/>
    <x v="0"/>
    <n v="1"/>
    <s v="ok"/>
    <n v="-65.265999999999977"/>
  </r>
  <r>
    <s v="T100334"/>
    <s v="2026-06-15"/>
    <s v="C7300"/>
    <s v="Mary"/>
    <s v="Mary"/>
    <s v="Male"/>
    <n v="8"/>
    <s v="Invalid"/>
    <s v="lagos"/>
    <x v="0"/>
    <s v="Fashion"/>
    <s v="Fashion"/>
    <s v="Shirt"/>
    <s v="Shirt"/>
    <n v="35.03"/>
    <n v="4"/>
    <n v="4"/>
    <n v="10"/>
    <s v="Valid"/>
    <s v="Transfer"/>
    <s v="Transfer"/>
    <s v="Chi"/>
    <x v="1"/>
    <x v="3"/>
    <n v="5"/>
    <s v="ok"/>
    <n v="126.108"/>
  </r>
  <r>
    <s v="T100335"/>
    <s v="2025-08-28"/>
    <s v="C1017"/>
    <s v="Aisha"/>
    <s v="Aisha"/>
    <s v="Male"/>
    <n v="130"/>
    <s v="Invalid"/>
    <s v="lagos"/>
    <x v="0"/>
    <s v="Electronics"/>
    <s v="Electronics"/>
    <s v="Phone"/>
    <s v="Phone"/>
    <n v="276.02999999999997"/>
    <n v="5"/>
    <n v="5"/>
    <n v="120"/>
    <s v="invalid"/>
    <s v="Mobile Money"/>
    <s v="Mobile Money"/>
    <s v="Ben"/>
    <x v="3"/>
    <x v="0"/>
    <n v="4"/>
    <s v="ok"/>
    <n v="-276.02999999999992"/>
  </r>
  <r>
    <s v="T100336"/>
    <s v="23/06/2025"/>
    <s v="C9219"/>
    <s v="John"/>
    <s v="John"/>
    <s v="Female"/>
    <n v="130"/>
    <s v="Invalid"/>
    <s v="lagos"/>
    <x v="0"/>
    <s v="Beauty"/>
    <s v="Beauty"/>
    <s v="Cream"/>
    <s v="Cream"/>
    <n v="331.43"/>
    <n v="4"/>
    <n v="4"/>
    <n v="-10"/>
    <s v="invalid"/>
    <s v="POS"/>
    <s v="Pos"/>
    <s v="Ben"/>
    <x v="3"/>
    <x v="0"/>
    <n v="3"/>
    <s v="ok"/>
    <n v="1458.2920000000001"/>
  </r>
  <r>
    <s v="T100337"/>
    <s v="2025-05-05"/>
    <s v="C4375"/>
    <s v="Grace"/>
    <s v="Grace"/>
    <s v="Female"/>
    <n v="130"/>
    <s v="Invalid"/>
    <s v="lagos"/>
    <x v="0"/>
    <s v="Fashion"/>
    <s v="Fashion"/>
    <s v="Shirt"/>
    <s v="Shirt"/>
    <n v="381.65"/>
    <n v="7"/>
    <n v="7"/>
    <n v="5"/>
    <s v="Valid"/>
    <s v="Transfer"/>
    <s v="Transfer"/>
    <s v="Ben"/>
    <x v="3"/>
    <x v="2"/>
    <m/>
    <s v="ok"/>
    <n v="2537.9724999999994"/>
  </r>
  <r>
    <s v="T100338"/>
    <s v="2025-09-12"/>
    <s v="C7387"/>
    <s v="Mary"/>
    <s v="Mary"/>
    <s v="Male"/>
    <n v="130"/>
    <s v="Invalid"/>
    <s v="lagos"/>
    <x v="0"/>
    <s v="Sports"/>
    <s v="Sports"/>
    <s v="Ball"/>
    <s v="Ball"/>
    <n v="422.15"/>
    <n v="-2"/>
    <n v="1"/>
    <n v="120"/>
    <s v="invalid"/>
    <s v="Cash"/>
    <s v="Cash"/>
    <s v="Dan"/>
    <x v="0"/>
    <x v="3"/>
    <n v="3"/>
    <s v="ok"/>
    <n v="-84.429999999999978"/>
  </r>
  <r>
    <s v="T100339"/>
    <s v="2025-07-08"/>
    <s v="C1790"/>
    <s v="Grace"/>
    <s v="Grace"/>
    <s v="Female"/>
    <n v="34"/>
    <s v="Valid"/>
    <s v="Kano"/>
    <x v="4"/>
    <s v="Electronics"/>
    <s v="Electronics"/>
    <s v="Phone"/>
    <s v="Phone"/>
    <n v="393.72"/>
    <n v="3"/>
    <n v="3"/>
    <n v="10"/>
    <s v="Valid"/>
    <s v="Transfer"/>
    <s v="Transfer"/>
    <s v="Ada"/>
    <x v="2"/>
    <x v="0"/>
    <n v="1"/>
    <s v="ok"/>
    <n v="1063.0440000000001"/>
  </r>
  <r>
    <s v="T100340"/>
    <s v="2025-06-20"/>
    <s v="C7287"/>
    <s v="Grace"/>
    <s v="Grace"/>
    <s v="Male"/>
    <n v="130"/>
    <s v="Invalid"/>
    <s v="Enugu"/>
    <x v="2"/>
    <s v="Groceries"/>
    <s v="Groceries"/>
    <s v="Rice"/>
    <s v="Rice"/>
    <n v="381.15"/>
    <n v="10"/>
    <n v="10"/>
    <n v="0"/>
    <s v="Valid"/>
    <s v="Transfer"/>
    <s v="Transfer"/>
    <s v="Chi"/>
    <x v="1"/>
    <x v="2"/>
    <n v="5"/>
    <s v="ok"/>
    <n v="3811.5"/>
  </r>
  <r>
    <s v="T100341"/>
    <s v="2025-08-12"/>
    <s v="C9407"/>
    <s v="  James "/>
    <s v="James"/>
    <s v="Female"/>
    <n v="8"/>
    <s v="Invalid"/>
    <s v="lagos"/>
    <x v="0"/>
    <s v="Sports"/>
    <s v="Sports"/>
    <s v="Ball"/>
    <s v="Ball"/>
    <n v="236.19"/>
    <n v="-2"/>
    <n v="1"/>
    <n v="10"/>
    <s v="Valid"/>
    <m/>
    <s v=""/>
    <s v="Ada"/>
    <x v="2"/>
    <x v="0"/>
    <n v="3"/>
    <s v="ok"/>
    <n v="212.571"/>
  </r>
  <r>
    <s v="T100342"/>
    <s v="2025-06-24"/>
    <s v="C5849"/>
    <s v="John"/>
    <s v="John"/>
    <s v="Female"/>
    <n v="8"/>
    <s v="Invalid"/>
    <s v="PH"/>
    <x v="1"/>
    <s v="groceris"/>
    <s v="Groceris"/>
    <s v="Rice"/>
    <s v="Rice"/>
    <n v="308.89999999999998"/>
    <n v="5"/>
    <n v="5"/>
    <n v="5"/>
    <s v="Valid"/>
    <s v="Mobile Money"/>
    <s v="Mobile Money"/>
    <s v="Ben"/>
    <x v="3"/>
    <x v="2"/>
    <n v="3"/>
    <s v="ok"/>
    <n v="1467.2749999999999"/>
  </r>
  <r>
    <s v="T100343"/>
    <s v="08/05/2025"/>
    <s v="C6647"/>
    <s v="Aisha"/>
    <s v="Aisha"/>
    <s v="Female"/>
    <n v="46"/>
    <s v="Valid"/>
    <s v="lagos"/>
    <x v="0"/>
    <s v="Groceries"/>
    <s v="Groceries"/>
    <s v="Rice"/>
    <s v="Rice"/>
    <n v="309.08"/>
    <n v="-2"/>
    <n v="1"/>
    <n v="15"/>
    <s v="Valid"/>
    <s v="Transfer"/>
    <s v="Transfer"/>
    <s v="Ben"/>
    <x v="3"/>
    <x v="3"/>
    <m/>
    <s v="ok"/>
    <n v="262.71799999999996"/>
  </r>
  <r>
    <s v="T100344"/>
    <s v="2025-11-03"/>
    <s v="C1695"/>
    <m/>
    <s v=""/>
    <s v="Female"/>
    <n v="130"/>
    <s v="Invalid"/>
    <s v="Abuja"/>
    <x v="3"/>
    <s v="Sports"/>
    <s v="Sports"/>
    <s v="Ball"/>
    <s v="Ball"/>
    <n v="496.22"/>
    <n v="-2"/>
    <n v="1"/>
    <n v="-10"/>
    <s v="invalid"/>
    <s v="POS"/>
    <s v="Pos"/>
    <s v="Ben"/>
    <x v="3"/>
    <x v="0"/>
    <n v="4"/>
    <s v="Missing"/>
    <n v="545.8420000000001"/>
  </r>
  <r>
    <s v="T100345"/>
    <s v="2025-10-25"/>
    <s v="C6070"/>
    <s v="Peter"/>
    <s v="Peter"/>
    <s v="Female"/>
    <n v="20"/>
    <s v="Valid"/>
    <s v="lagos"/>
    <x v="0"/>
    <s v="Fashion"/>
    <s v="Fashion"/>
    <s v="Shirt"/>
    <s v="Shirt"/>
    <n v="13.53"/>
    <n v="-2"/>
    <n v="1"/>
    <n v="-10"/>
    <s v="invalid"/>
    <s v="POS"/>
    <s v="Pos"/>
    <s v="Chi"/>
    <x v="1"/>
    <x v="3"/>
    <n v="3"/>
    <s v="ok"/>
    <n v="14.883000000000001"/>
  </r>
  <r>
    <s v="T100346"/>
    <s v="2026-04-05"/>
    <s v="C8437"/>
    <s v="Peter"/>
    <s v="Peter"/>
    <s v="Female"/>
    <n v="21"/>
    <s v="Valid"/>
    <s v="Enugu"/>
    <x v="2"/>
    <s v="Electronics"/>
    <s v="Electronics"/>
    <s v="Phone"/>
    <s v="Phone"/>
    <n v="297.92"/>
    <n v="-2"/>
    <n v="1"/>
    <n v="120"/>
    <s v="invalid"/>
    <m/>
    <s v=""/>
    <s v="Dan"/>
    <x v="0"/>
    <x v="2"/>
    <n v="4"/>
    <s v="ok"/>
    <n v="-59.583999999999989"/>
  </r>
  <r>
    <s v="T100347"/>
    <s v="2026-01-12"/>
    <s v="C9893"/>
    <s v="Aisha"/>
    <s v="Aisha"/>
    <s v="Male"/>
    <n v="8"/>
    <s v="Invalid"/>
    <s v="PH"/>
    <x v="1"/>
    <s v="Groceries"/>
    <s v="Groceries"/>
    <s v="Rice"/>
    <s v="Rice"/>
    <n v="321"/>
    <n v="4"/>
    <n v="4"/>
    <n v="0"/>
    <s v="Valid"/>
    <s v="Cash"/>
    <s v="Cash"/>
    <s v="Ben"/>
    <x v="3"/>
    <x v="1"/>
    <n v="2"/>
    <s v="ok"/>
    <n v="1284"/>
  </r>
  <r>
    <s v="T100348"/>
    <s v="2026-06-07"/>
    <s v="C6169"/>
    <s v="David"/>
    <s v="David"/>
    <s v="Female"/>
    <n v="30"/>
    <s v="Valid"/>
    <s v="Abuja"/>
    <x v="3"/>
    <s v="Fashion"/>
    <s v="Fashion"/>
    <s v="Shirt"/>
    <s v="Shirt"/>
    <n v="277.77"/>
    <n v="-2"/>
    <n v="1"/>
    <n v="5"/>
    <s v="Valid"/>
    <s v="Cash"/>
    <s v="Cash"/>
    <s v="Ben"/>
    <x v="3"/>
    <x v="1"/>
    <m/>
    <s v="ok"/>
    <n v="263.88149999999996"/>
  </r>
  <r>
    <s v="T100349"/>
    <s v="2025-07-26"/>
    <s v="C5228"/>
    <m/>
    <s v=""/>
    <s v="Female"/>
    <n v="130"/>
    <s v="Invalid"/>
    <s v="lagos"/>
    <x v="0"/>
    <s v="Fashion"/>
    <s v="Fashion"/>
    <s v="Shirt"/>
    <s v="Shirt"/>
    <n v="175.87"/>
    <n v="-2"/>
    <n v="1"/>
    <n v="5"/>
    <s v="Valid"/>
    <s v="POS"/>
    <s v="Pos"/>
    <s v="Dan"/>
    <x v="0"/>
    <x v="2"/>
    <m/>
    <s v="Missing"/>
    <n v="167.07650000000001"/>
  </r>
  <r>
    <s v="T100350"/>
    <s v="11/04/2025"/>
    <s v="C7096"/>
    <s v="Aisha"/>
    <s v="Aisha"/>
    <s v="Female"/>
    <n v="8"/>
    <s v="Invalid"/>
    <s v="Abuja"/>
    <x v="3"/>
    <s v="Beauty"/>
    <s v="Beauty"/>
    <s v="Cream"/>
    <s v="Cream"/>
    <n v="51.27"/>
    <n v="-2"/>
    <n v="1"/>
    <n v="-10"/>
    <s v="invalid"/>
    <s v="Mobile Money"/>
    <s v="Mobile Money"/>
    <s v="Chi"/>
    <x v="1"/>
    <x v="1"/>
    <n v="2"/>
    <s v="ok"/>
    <n v="56.397000000000006"/>
  </r>
  <r>
    <s v="T100351"/>
    <s v="2025-09-13"/>
    <s v="C7475"/>
    <s v="Peter"/>
    <s v="Peter"/>
    <s v="Male"/>
    <n v="8"/>
    <s v="Invalid"/>
    <s v="Kano"/>
    <x v="4"/>
    <s v="Fashion"/>
    <s v="Fashion"/>
    <s v="Shirt"/>
    <s v="Shirt"/>
    <n v="460.11"/>
    <n v="7"/>
    <n v="7"/>
    <n v="-10"/>
    <s v="invalid"/>
    <s v="POS"/>
    <s v="Pos"/>
    <s v="Ada"/>
    <x v="2"/>
    <x v="3"/>
    <n v="4"/>
    <s v="ok"/>
    <n v="3542.8470000000002"/>
  </r>
  <r>
    <s v="T100352"/>
    <s v="2026-01-25"/>
    <s v="C3826"/>
    <s v="David"/>
    <s v="David"/>
    <s v="Female"/>
    <n v="8"/>
    <s v="Invalid"/>
    <s v="Enugu"/>
    <x v="2"/>
    <s v="Beauty"/>
    <s v="Beauty"/>
    <s v="Cream"/>
    <s v="Cream"/>
    <n v="440.16"/>
    <n v="6"/>
    <n v="6"/>
    <n v="0"/>
    <s v="Valid"/>
    <m/>
    <s v=""/>
    <s v="Ben"/>
    <x v="3"/>
    <x v="0"/>
    <n v="5"/>
    <s v="ok"/>
    <n v="2640.96"/>
  </r>
  <r>
    <s v="T100353"/>
    <s v="2025-10-23"/>
    <s v="C5126"/>
    <s v="John"/>
    <s v="John"/>
    <s v="Female"/>
    <n v="130"/>
    <s v="Invalid"/>
    <s v="lagos"/>
    <x v="0"/>
    <s v="Fashion"/>
    <s v="Fashion"/>
    <s v="Shirt"/>
    <s v="Shirt"/>
    <n v="52.46"/>
    <n v="9"/>
    <n v="9"/>
    <n v="120"/>
    <s v="invalid"/>
    <s v="POS"/>
    <s v="Pos"/>
    <s v="Dan"/>
    <x v="0"/>
    <x v="0"/>
    <n v="2"/>
    <s v="ok"/>
    <n v="-94.427999999999983"/>
  </r>
  <r>
    <s v="T100354"/>
    <s v="2025-04-24"/>
    <s v="C6531"/>
    <s v="Aisha"/>
    <s v="Aisha"/>
    <s v="Male"/>
    <n v="60"/>
    <s v="Valid"/>
    <s v="Kano"/>
    <x v="4"/>
    <s v="Electronics"/>
    <s v="Electronics"/>
    <s v="Phone"/>
    <s v="Phone"/>
    <n v="413.22"/>
    <n v="-2"/>
    <n v="1"/>
    <n v="10"/>
    <s v="Valid"/>
    <s v="Cash"/>
    <s v="Cash"/>
    <s v="Dan"/>
    <x v="0"/>
    <x v="0"/>
    <n v="2"/>
    <s v="ok"/>
    <n v="371.89800000000002"/>
  </r>
  <r>
    <s v="T100355"/>
    <s v="2025-02-13"/>
    <s v="C7841"/>
    <s v="Grace"/>
    <s v="Grace"/>
    <s v="Male"/>
    <n v="130"/>
    <s v="Invalid"/>
    <s v="Abuja"/>
    <x v="3"/>
    <s v="Fashion"/>
    <s v="Fashion"/>
    <s v="Shirt"/>
    <s v="Shirt"/>
    <n v="281.83999999999997"/>
    <n v="7"/>
    <n v="7"/>
    <n v="120"/>
    <s v="invalid"/>
    <m/>
    <s v=""/>
    <s v="Ada"/>
    <x v="2"/>
    <x v="2"/>
    <n v="3"/>
    <s v="ok"/>
    <n v="-394.57599999999991"/>
  </r>
  <r>
    <s v="T100356"/>
    <s v="2025-02-07"/>
    <s v="C7282"/>
    <s v="Mary"/>
    <s v="Mary"/>
    <s v="Male"/>
    <n v="130"/>
    <s v="Invalid"/>
    <s v="lagos"/>
    <x v="0"/>
    <s v="Home"/>
    <s v="Home"/>
    <s v="Chair"/>
    <s v="Chair"/>
    <n v="108.81"/>
    <n v="-2"/>
    <n v="1"/>
    <n v="5"/>
    <s v="Valid"/>
    <s v="Cash"/>
    <s v="Cash"/>
    <s v="Chi"/>
    <x v="1"/>
    <x v="3"/>
    <n v="2"/>
    <s v="ok"/>
    <n v="103.3695"/>
  </r>
  <r>
    <s v="T100357"/>
    <s v="13/03/2026"/>
    <s v="C3198"/>
    <s v="John"/>
    <s v="John"/>
    <s v="Female"/>
    <n v="30"/>
    <s v="Valid"/>
    <s v="lagos"/>
    <x v="0"/>
    <s v="Groceries"/>
    <s v="Groceries"/>
    <s v="Rice"/>
    <s v="Rice"/>
    <n v="359.28"/>
    <n v="3"/>
    <n v="3"/>
    <n v="10"/>
    <s v="Valid"/>
    <m/>
    <s v=""/>
    <s v="Dan"/>
    <x v="0"/>
    <x v="2"/>
    <n v="4"/>
    <s v="ok"/>
    <n v="970.05599999999993"/>
  </r>
  <r>
    <s v="T100358"/>
    <s v="2025-03-19"/>
    <s v="C4013"/>
    <s v="  James "/>
    <s v="James"/>
    <s v="Female"/>
    <n v="27"/>
    <s v="Valid"/>
    <s v="lagos"/>
    <x v="0"/>
    <s v="Groceries"/>
    <s v="Groceries"/>
    <s v="Rice"/>
    <s v="Rice"/>
    <n v="156.76"/>
    <n v="-2"/>
    <n v="1"/>
    <n v="15"/>
    <s v="Valid"/>
    <s v="Mobile Money"/>
    <s v="Mobile Money"/>
    <s v="Ada"/>
    <x v="2"/>
    <x v="3"/>
    <n v="1"/>
    <s v="ok"/>
    <n v="133.24599999999998"/>
  </r>
  <r>
    <s v="T100359"/>
    <s v="2025-02-17"/>
    <s v="C7967"/>
    <s v="Peter"/>
    <s v="Peter"/>
    <s v="Male"/>
    <n v="8"/>
    <s v="Invalid"/>
    <s v="Kano"/>
    <x v="4"/>
    <s v="groceris"/>
    <s v="Groceris"/>
    <s v="Rice"/>
    <s v="Rice"/>
    <n v="382.92"/>
    <n v="-2"/>
    <n v="1"/>
    <n v="15"/>
    <s v="Valid"/>
    <s v="Cash"/>
    <s v="Cash"/>
    <s v="Chi"/>
    <x v="1"/>
    <x v="0"/>
    <n v="4"/>
    <s v="ok"/>
    <n v="325.48200000000003"/>
  </r>
  <r>
    <s v="T100360"/>
    <s v="2025-05-06"/>
    <s v="C4147"/>
    <s v="David"/>
    <s v="David"/>
    <s v="Female"/>
    <n v="18"/>
    <s v="Invalid"/>
    <s v="lagos"/>
    <x v="0"/>
    <s v="Sports"/>
    <s v="Sports"/>
    <s v="Ball"/>
    <s v="Ball"/>
    <n v="438.5"/>
    <n v="-2"/>
    <n v="1"/>
    <n v="0"/>
    <s v="Valid"/>
    <s v="POS"/>
    <s v="Pos"/>
    <s v="Ada"/>
    <x v="2"/>
    <x v="0"/>
    <n v="4"/>
    <s v="ok"/>
    <n v="438.5"/>
  </r>
  <r>
    <s v="T100361"/>
    <s v="2025-09-05"/>
    <s v="C9301"/>
    <s v="Aisha"/>
    <s v="Aisha"/>
    <s v="Female"/>
    <n v="8"/>
    <s v="Invalid"/>
    <s v="lagos"/>
    <x v="0"/>
    <s v="Fashion"/>
    <s v="Fashion"/>
    <s v="Shirt"/>
    <s v="Shirt"/>
    <n v="416.74"/>
    <n v="-2"/>
    <n v="1"/>
    <n v="5"/>
    <s v="Valid"/>
    <s v="Mobile Money"/>
    <s v="Mobile Money"/>
    <s v="Ada"/>
    <x v="2"/>
    <x v="1"/>
    <n v="5"/>
    <s v="ok"/>
    <n v="395.90299999999996"/>
  </r>
  <r>
    <s v="T100362"/>
    <s v="2026-04-13"/>
    <s v="C7340"/>
    <s v="Grace"/>
    <s v="Grace"/>
    <s v="Male"/>
    <n v="130"/>
    <s v="Invalid"/>
    <s v="Abuja"/>
    <x v="3"/>
    <s v="Electronics"/>
    <s v="Electronics"/>
    <s v="Phone"/>
    <s v="Phone"/>
    <n v="36.94"/>
    <n v="-2"/>
    <n v="1"/>
    <n v="-10"/>
    <s v="invalid"/>
    <m/>
    <s v=""/>
    <s v="Dan"/>
    <x v="0"/>
    <x v="3"/>
    <n v="2"/>
    <s v="ok"/>
    <n v="40.634"/>
  </r>
  <r>
    <s v="T100363"/>
    <s v="2025-03-15"/>
    <s v="C2266"/>
    <s v="David"/>
    <s v="David"/>
    <s v="Male"/>
    <n v="18"/>
    <s v="Invalid"/>
    <s v="lagos"/>
    <x v="0"/>
    <s v="Sports"/>
    <s v="Sports"/>
    <s v="Ball"/>
    <s v="Ball"/>
    <n v="396.39"/>
    <n v="-2"/>
    <n v="1"/>
    <n v="10"/>
    <s v="Valid"/>
    <m/>
    <s v=""/>
    <s v="Ben"/>
    <x v="3"/>
    <x v="3"/>
    <n v="2"/>
    <s v="ok"/>
    <n v="356.75099999999998"/>
  </r>
  <r>
    <s v="T100364"/>
    <s v="04/05/2025"/>
    <s v="C8461"/>
    <s v="Grace"/>
    <s v="Grace"/>
    <s v="Male"/>
    <n v="130"/>
    <s v="Invalid"/>
    <s v="Abuja"/>
    <x v="3"/>
    <s v="Beauty"/>
    <s v="Beauty"/>
    <s v="Cream"/>
    <s v="Cream"/>
    <n v="12.78"/>
    <n v="-2"/>
    <n v="1"/>
    <n v="5"/>
    <s v="Valid"/>
    <s v="Mobile Money"/>
    <s v="Mobile Money"/>
    <s v="Chi"/>
    <x v="1"/>
    <x v="3"/>
    <m/>
    <s v="ok"/>
    <n v="12.140999999999998"/>
  </r>
  <r>
    <s v="T100365"/>
    <s v="2025-09-16"/>
    <s v="C9589"/>
    <s v="David"/>
    <s v="David"/>
    <s v="Female"/>
    <n v="32"/>
    <s v="Valid"/>
    <s v="Enugu"/>
    <x v="2"/>
    <s v="Groceries"/>
    <s v="Groceries"/>
    <s v="Rice"/>
    <s v="Rice"/>
    <n v="214.16"/>
    <n v="10"/>
    <n v="10"/>
    <n v="5"/>
    <s v="Valid"/>
    <s v="POS"/>
    <s v="Pos"/>
    <s v="Ada"/>
    <x v="2"/>
    <x v="3"/>
    <n v="5"/>
    <s v="ok"/>
    <n v="2034.5199999999998"/>
  </r>
  <r>
    <s v="T100366"/>
    <s v="2025-08-24"/>
    <s v="C9215"/>
    <s v="John"/>
    <s v="John"/>
    <s v="Female"/>
    <n v="130"/>
    <s v="Invalid"/>
    <s v="lagos"/>
    <x v="0"/>
    <s v="Fashion"/>
    <s v="Fashion"/>
    <s v="Shirt"/>
    <s v="Shirt"/>
    <n v="248.84"/>
    <n v="7"/>
    <n v="7"/>
    <n v="0"/>
    <s v="Valid"/>
    <s v="Transfer"/>
    <s v="Transfer"/>
    <s v="Dan"/>
    <x v="0"/>
    <x v="2"/>
    <n v="5"/>
    <s v="ok"/>
    <n v="1741.88"/>
  </r>
  <r>
    <s v="T100367"/>
    <s v="2026-05-23"/>
    <s v="C1316"/>
    <s v="John"/>
    <s v="John"/>
    <s v="Female"/>
    <n v="8"/>
    <s v="Invalid"/>
    <s v="lagos"/>
    <x v="0"/>
    <s v="Beauty"/>
    <s v="Beauty"/>
    <s v="Cream"/>
    <s v="Cream"/>
    <n v="60.65"/>
    <n v="-2"/>
    <n v="1"/>
    <n v="-10"/>
    <s v="invalid"/>
    <s v="Mobile Money"/>
    <s v="Mobile Money"/>
    <s v="Dan"/>
    <x v="0"/>
    <x v="2"/>
    <m/>
    <s v="ok"/>
    <n v="66.715000000000003"/>
  </r>
  <r>
    <s v="T100368"/>
    <s v="2025-09-18"/>
    <s v="C3521"/>
    <s v="  James "/>
    <s v="James"/>
    <s v="Male"/>
    <n v="8"/>
    <s v="Invalid"/>
    <s v="PH"/>
    <x v="1"/>
    <s v="Beauty"/>
    <s v="Beauty"/>
    <s v="Cream"/>
    <s v="Cream"/>
    <n v="24.53"/>
    <n v="5"/>
    <n v="5"/>
    <n v="15"/>
    <s v="Valid"/>
    <m/>
    <s v=""/>
    <s v="Dan"/>
    <x v="0"/>
    <x v="0"/>
    <n v="4"/>
    <s v="ok"/>
    <n v="104.2525"/>
  </r>
  <r>
    <s v="T100369"/>
    <s v="2025-09-04"/>
    <s v="C7381"/>
    <m/>
    <s v=""/>
    <s v="Female"/>
    <n v="130"/>
    <s v="Invalid"/>
    <s v="PH"/>
    <x v="1"/>
    <s v="Groceries"/>
    <s v="Groceries"/>
    <s v="Rice"/>
    <s v="Rice"/>
    <n v="80.97"/>
    <n v="7"/>
    <n v="7"/>
    <n v="5"/>
    <s v="Valid"/>
    <s v="Transfer"/>
    <s v="Transfer"/>
    <s v="Dan"/>
    <x v="0"/>
    <x v="1"/>
    <n v="5"/>
    <s v="Missing"/>
    <n v="538.45049999999992"/>
  </r>
  <r>
    <s v="T100370"/>
    <s v="2026-05-12"/>
    <s v="C4488"/>
    <s v="Grace"/>
    <s v="Grace"/>
    <s v="Female"/>
    <n v="8"/>
    <s v="Invalid"/>
    <s v="lagos"/>
    <x v="0"/>
    <s v="Electronics"/>
    <s v="Electronics"/>
    <s v="Phone"/>
    <s v="Phone"/>
    <n v="208.32"/>
    <n v="3"/>
    <n v="3"/>
    <n v="15"/>
    <s v="Valid"/>
    <s v="Transfer"/>
    <s v="Transfer"/>
    <s v="Chi"/>
    <x v="1"/>
    <x v="1"/>
    <n v="1"/>
    <s v="ok"/>
    <n v="531.21600000000001"/>
  </r>
  <r>
    <s v="T100371"/>
    <s v="27/03/2025"/>
    <s v="C3354"/>
    <s v="Aisha"/>
    <s v="Aisha"/>
    <s v="Male"/>
    <n v="50"/>
    <s v="Valid"/>
    <s v="Enugu"/>
    <x v="2"/>
    <s v="Beauty"/>
    <s v="Beauty"/>
    <s v="Cream"/>
    <s v="Cream"/>
    <n v="460.32"/>
    <n v="-2"/>
    <n v="1"/>
    <n v="120"/>
    <s v="invalid"/>
    <s v="Mobile Money"/>
    <s v="Mobile Money"/>
    <s v="Chi"/>
    <x v="1"/>
    <x v="0"/>
    <n v="5"/>
    <s v="ok"/>
    <n v="-92.063999999999979"/>
  </r>
  <r>
    <s v="T100372"/>
    <s v="2025-10-22"/>
    <s v="C2859"/>
    <m/>
    <s v=""/>
    <s v="Male"/>
    <n v="8"/>
    <s v="Invalid"/>
    <s v="Kano"/>
    <x v="4"/>
    <s v="Beauty"/>
    <s v="Beauty"/>
    <s v="Cream"/>
    <s v="Cream"/>
    <n v="289.43"/>
    <n v="1"/>
    <n v="1"/>
    <n v="0"/>
    <s v="Valid"/>
    <s v="Transfer"/>
    <s v="Transfer"/>
    <s v="Dan"/>
    <x v="0"/>
    <x v="0"/>
    <n v="4"/>
    <s v="Missing"/>
    <n v="289.43"/>
  </r>
  <r>
    <s v="T100373"/>
    <s v="2026-01-17"/>
    <s v="C9730"/>
    <s v="David"/>
    <s v="David"/>
    <s v="Male"/>
    <n v="8"/>
    <s v="Invalid"/>
    <s v="Enugu"/>
    <x v="2"/>
    <s v="Home"/>
    <s v="Home"/>
    <s v="Chair"/>
    <s v="Chair"/>
    <n v="310.72000000000003"/>
    <n v="-2"/>
    <n v="1"/>
    <n v="5"/>
    <s v="Valid"/>
    <s v="POS"/>
    <s v="Pos"/>
    <s v="Chi"/>
    <x v="1"/>
    <x v="2"/>
    <m/>
    <s v="ok"/>
    <n v="295.18400000000003"/>
  </r>
  <r>
    <s v="T100374"/>
    <s v="2025-08-30"/>
    <s v="C3823"/>
    <s v="John"/>
    <s v="John"/>
    <s v="Female"/>
    <n v="8"/>
    <s v="Invalid"/>
    <s v="Kano"/>
    <x v="4"/>
    <s v="groceris"/>
    <s v="Groceris"/>
    <s v="Rice"/>
    <s v="Rice"/>
    <n v="117.3"/>
    <n v="-2"/>
    <n v="1"/>
    <n v="5"/>
    <s v="Valid"/>
    <s v="Cash"/>
    <s v="Cash"/>
    <s v="Ben"/>
    <x v="3"/>
    <x v="0"/>
    <n v="3"/>
    <s v="ok"/>
    <n v="111.43499999999999"/>
  </r>
  <r>
    <s v="T100375"/>
    <s v="2025-09-16"/>
    <s v="C7442"/>
    <m/>
    <s v=""/>
    <s v="Male"/>
    <n v="8"/>
    <s v="Invalid"/>
    <s v="lagos"/>
    <x v="0"/>
    <s v="groceris"/>
    <s v="Groceris"/>
    <s v="Rice"/>
    <s v="Rice"/>
    <n v="281"/>
    <n v="8"/>
    <n v="8"/>
    <n v="15"/>
    <s v="Valid"/>
    <s v="Cash"/>
    <s v="Cash"/>
    <s v="Chi"/>
    <x v="1"/>
    <x v="1"/>
    <n v="5"/>
    <s v="Missing"/>
    <n v="1910.8"/>
  </r>
  <r>
    <s v="T100376"/>
    <s v="2025-08-20"/>
    <s v="C2287"/>
    <s v="Grace"/>
    <s v="Grace"/>
    <s v="Female"/>
    <n v="130"/>
    <s v="Invalid"/>
    <s v="lagos"/>
    <x v="0"/>
    <s v="Electronics"/>
    <s v="Electronics"/>
    <s v="Phone"/>
    <s v="Phone"/>
    <n v="376.17"/>
    <n v="-2"/>
    <n v="1"/>
    <n v="120"/>
    <s v="invalid"/>
    <s v="Cash"/>
    <s v="Cash"/>
    <s v="Dan"/>
    <x v="0"/>
    <x v="1"/>
    <n v="1"/>
    <s v="ok"/>
    <n v="-75.23399999999998"/>
  </r>
  <r>
    <s v="T100377"/>
    <s v="2026-03-31"/>
    <s v="C3612"/>
    <s v="David"/>
    <s v="David"/>
    <s v="Female"/>
    <n v="130"/>
    <s v="Invalid"/>
    <s v="PH"/>
    <x v="1"/>
    <s v="Home"/>
    <s v="Home"/>
    <s v="Chair"/>
    <s v="Chair"/>
    <n v="255.59"/>
    <n v="9"/>
    <n v="9"/>
    <n v="15"/>
    <s v="Valid"/>
    <m/>
    <s v=""/>
    <s v="Ben"/>
    <x v="3"/>
    <x v="1"/>
    <n v="2"/>
    <s v="ok"/>
    <n v="1955.2634999999998"/>
  </r>
  <r>
    <s v="T100378"/>
    <s v="07/05/2025"/>
    <s v="C5393"/>
    <s v="Aisha"/>
    <s v="Aisha"/>
    <s v="Male"/>
    <n v="130"/>
    <s v="Invalid"/>
    <s v="Abuja"/>
    <x v="3"/>
    <s v="Beauty"/>
    <s v="Beauty"/>
    <s v="Cream"/>
    <s v="Cream"/>
    <n v="358.19"/>
    <n v="4"/>
    <n v="4"/>
    <n v="10"/>
    <s v="Valid"/>
    <m/>
    <s v=""/>
    <s v="Chi"/>
    <x v="1"/>
    <x v="3"/>
    <n v="5"/>
    <s v="ok"/>
    <n v="1289.4839999999999"/>
  </r>
  <r>
    <s v="T100379"/>
    <s v="2025-11-25"/>
    <s v="C3260"/>
    <s v="Peter"/>
    <s v="Peter"/>
    <s v="Female"/>
    <n v="8"/>
    <s v="Invalid"/>
    <s v="Kano"/>
    <x v="4"/>
    <s v="Sports"/>
    <s v="Sports"/>
    <s v="Ball"/>
    <s v="Ball"/>
    <n v="309.97000000000003"/>
    <n v="-2"/>
    <n v="1"/>
    <n v="5"/>
    <s v="Valid"/>
    <m/>
    <s v=""/>
    <s v="Dan"/>
    <x v="0"/>
    <x v="0"/>
    <m/>
    <s v="ok"/>
    <n v="294.47149999999999"/>
  </r>
  <r>
    <s v="T100380"/>
    <s v="2025-09-01"/>
    <s v="C9287"/>
    <s v="Grace"/>
    <s v="Grace"/>
    <s v="Male"/>
    <n v="21"/>
    <s v="Valid"/>
    <s v="lagos"/>
    <x v="0"/>
    <s v="Fashion"/>
    <s v="Fashion"/>
    <s v="Shirt"/>
    <s v="Shirt"/>
    <n v="140.69999999999999"/>
    <n v="9"/>
    <n v="9"/>
    <n v="15"/>
    <s v="Valid"/>
    <s v="Cash"/>
    <s v="Cash"/>
    <s v="Dan"/>
    <x v="0"/>
    <x v="2"/>
    <n v="1"/>
    <s v="ok"/>
    <n v="1076.355"/>
  </r>
  <r>
    <s v="T100381"/>
    <s v="2026-01-29"/>
    <s v="C7455"/>
    <s v="John"/>
    <s v="John"/>
    <s v="Female"/>
    <n v="40"/>
    <s v="Valid"/>
    <s v="lagos"/>
    <x v="0"/>
    <s v="Sports"/>
    <s v="Sports"/>
    <s v="Ball"/>
    <s v="Ball"/>
    <n v="396.08"/>
    <n v="-2"/>
    <n v="1"/>
    <n v="-10"/>
    <s v="invalid"/>
    <m/>
    <s v=""/>
    <s v="Chi"/>
    <x v="1"/>
    <x v="0"/>
    <n v="1"/>
    <s v="ok"/>
    <n v="435.68800000000005"/>
  </r>
  <r>
    <s v="T100382"/>
    <s v="2025-01-15"/>
    <s v="C3679"/>
    <s v="Peter"/>
    <s v="Peter"/>
    <s v="Male"/>
    <n v="130"/>
    <s v="Invalid"/>
    <s v="PH"/>
    <x v="1"/>
    <s v="Electronics"/>
    <s v="Electronics"/>
    <s v="Phone"/>
    <s v="Phone"/>
    <n v="435.65"/>
    <n v="-2"/>
    <n v="1"/>
    <n v="10"/>
    <s v="Valid"/>
    <m/>
    <s v=""/>
    <s v="Ben"/>
    <x v="3"/>
    <x v="0"/>
    <n v="5"/>
    <s v="ok"/>
    <n v="392.08499999999998"/>
  </r>
  <r>
    <s v="T100383"/>
    <s v="2026-05-15"/>
    <s v="C5521"/>
    <s v="Mary"/>
    <s v="Mary"/>
    <s v="Female"/>
    <n v="34"/>
    <s v="Valid"/>
    <s v="lagos"/>
    <x v="0"/>
    <s v="groceris"/>
    <s v="Groceris"/>
    <s v="Rice"/>
    <s v="Rice"/>
    <n v="209"/>
    <n v="1"/>
    <n v="1"/>
    <n v="120"/>
    <s v="invalid"/>
    <m/>
    <s v=""/>
    <s v="Chi"/>
    <x v="1"/>
    <x v="2"/>
    <n v="3"/>
    <s v="ok"/>
    <n v="-41.79999999999999"/>
  </r>
  <r>
    <s v="T100384"/>
    <s v="2026-02-27"/>
    <s v="C2346"/>
    <s v="Peter"/>
    <s v="Peter"/>
    <s v="Male"/>
    <n v="23"/>
    <s v="Valid"/>
    <s v="PH"/>
    <x v="1"/>
    <s v="Groceries"/>
    <s v="Groceries"/>
    <s v="Rice"/>
    <s v="Rice"/>
    <n v="158.25"/>
    <n v="1"/>
    <n v="1"/>
    <n v="10"/>
    <s v="Valid"/>
    <m/>
    <s v=""/>
    <s v="Ada"/>
    <x v="2"/>
    <x v="3"/>
    <m/>
    <s v="ok"/>
    <n v="142.42500000000001"/>
  </r>
  <r>
    <s v="T100385"/>
    <s v="11/01/2026"/>
    <s v="C5579"/>
    <s v="John"/>
    <s v="John"/>
    <s v="Male"/>
    <n v="8"/>
    <s v="Invalid"/>
    <s v="lagos"/>
    <x v="0"/>
    <s v="Beauty"/>
    <s v="Beauty"/>
    <s v="Cream"/>
    <s v="Cream"/>
    <n v="428.28"/>
    <n v="-2"/>
    <n v="1"/>
    <n v="120"/>
    <s v="invalid"/>
    <s v="POS"/>
    <s v="Pos"/>
    <s v="Ben"/>
    <x v="3"/>
    <x v="3"/>
    <n v="3"/>
    <s v="ok"/>
    <n v="-85.655999999999977"/>
  </r>
  <r>
    <s v="T100386"/>
    <s v="2025-03-27"/>
    <s v="C9551"/>
    <m/>
    <s v=""/>
    <s v="Female"/>
    <n v="26"/>
    <s v="Valid"/>
    <s v="Kano"/>
    <x v="4"/>
    <s v="Fashion"/>
    <s v="Fashion"/>
    <s v="Shirt"/>
    <s v="Shirt"/>
    <n v="254.75"/>
    <n v="5"/>
    <n v="5"/>
    <n v="-10"/>
    <s v="invalid"/>
    <s v="Cash"/>
    <s v="Cash"/>
    <s v="Ada"/>
    <x v="2"/>
    <x v="3"/>
    <n v="4"/>
    <s v="Missing"/>
    <n v="1401.125"/>
  </r>
  <r>
    <s v="T100387"/>
    <s v="2026-03-28"/>
    <s v="C9414"/>
    <s v="Peter"/>
    <s v="Peter"/>
    <s v="Male"/>
    <n v="130"/>
    <s v="Invalid"/>
    <s v="lagos"/>
    <x v="0"/>
    <s v="Home"/>
    <s v="Home"/>
    <s v="Chair"/>
    <s v="Chair"/>
    <n v="312.45"/>
    <n v="7"/>
    <n v="7"/>
    <n v="0"/>
    <s v="Valid"/>
    <s v="Cash"/>
    <s v="Cash"/>
    <s v="Ben"/>
    <x v="3"/>
    <x v="3"/>
    <n v="4"/>
    <s v="ok"/>
    <n v="2187.15"/>
  </r>
  <r>
    <s v="T100388"/>
    <s v="2025-10-31"/>
    <s v="C9456"/>
    <s v="  James "/>
    <s v="James"/>
    <s v="Male"/>
    <n v="130"/>
    <s v="Invalid"/>
    <s v="lagos"/>
    <x v="0"/>
    <s v="Sports"/>
    <s v="Sports"/>
    <s v="Ball"/>
    <s v="Ball"/>
    <n v="78.42"/>
    <n v="9"/>
    <n v="9"/>
    <n v="5"/>
    <s v="Valid"/>
    <m/>
    <s v=""/>
    <s v="Ada"/>
    <x v="2"/>
    <x v="3"/>
    <n v="1"/>
    <s v="ok"/>
    <n v="670.49099999999999"/>
  </r>
  <r>
    <s v="T100389"/>
    <s v="2025-07-06"/>
    <s v="C3681"/>
    <s v="Peter"/>
    <s v="Peter"/>
    <s v="Female"/>
    <n v="130"/>
    <s v="Invalid"/>
    <s v="PH"/>
    <x v="1"/>
    <s v="Fashion"/>
    <s v="Fashion"/>
    <s v="Shirt"/>
    <s v="Shirt"/>
    <n v="150.21"/>
    <n v="-2"/>
    <n v="1"/>
    <n v="5"/>
    <s v="Valid"/>
    <s v="POS"/>
    <s v="Pos"/>
    <s v="Dan"/>
    <x v="0"/>
    <x v="1"/>
    <n v="3"/>
    <s v="ok"/>
    <n v="142.6995"/>
  </r>
  <r>
    <s v="T100390"/>
    <s v="2025-05-08"/>
    <s v="C6492"/>
    <s v="John"/>
    <s v="John"/>
    <s v="Male"/>
    <n v="130"/>
    <s v="Invalid"/>
    <s v="Kano"/>
    <x v="4"/>
    <s v="Home"/>
    <s v="Home"/>
    <s v="Chair"/>
    <s v="Chair"/>
    <n v="205.39"/>
    <n v="6"/>
    <n v="6"/>
    <n v="10"/>
    <s v="Valid"/>
    <s v="Mobile Money"/>
    <s v="Mobile Money"/>
    <s v="Dan"/>
    <x v="0"/>
    <x v="2"/>
    <n v="3"/>
    <s v="ok"/>
    <n v="1109.106"/>
  </r>
  <r>
    <s v="T100391"/>
    <s v="2026-03-04"/>
    <s v="C3776"/>
    <s v="John"/>
    <s v="John"/>
    <s v="Male"/>
    <n v="130"/>
    <s v="Invalid"/>
    <s v="Enugu"/>
    <x v="2"/>
    <s v="Fashion"/>
    <s v="Fashion"/>
    <s v="Shirt"/>
    <s v="Shirt"/>
    <n v="145.66999999999999"/>
    <n v="9"/>
    <n v="9"/>
    <n v="15"/>
    <s v="Valid"/>
    <m/>
    <s v=""/>
    <s v="Chi"/>
    <x v="1"/>
    <x v="0"/>
    <m/>
    <s v="ok"/>
    <n v="1114.3754999999999"/>
  </r>
  <r>
    <s v="T100392"/>
    <s v="30/03/2025"/>
    <s v="C4600"/>
    <s v="David"/>
    <s v="David"/>
    <s v="Female"/>
    <n v="8"/>
    <s v="Invalid"/>
    <s v="lagos"/>
    <x v="0"/>
    <s v="Groceries"/>
    <s v="Groceries"/>
    <s v="Rice"/>
    <s v="Rice"/>
    <n v="182.22"/>
    <n v="10"/>
    <n v="10"/>
    <n v="15"/>
    <s v="Valid"/>
    <m/>
    <s v=""/>
    <s v="Dan"/>
    <x v="0"/>
    <x v="0"/>
    <n v="1"/>
    <s v="ok"/>
    <n v="1548.87"/>
  </r>
  <r>
    <s v="T100393"/>
    <s v="2025-06-26"/>
    <s v="C2608"/>
    <s v="John"/>
    <s v="John"/>
    <s v="Female"/>
    <n v="30"/>
    <s v="Valid"/>
    <s v="lagos"/>
    <x v="0"/>
    <s v="Groceries"/>
    <s v="Groceries"/>
    <s v="Rice"/>
    <s v="Rice"/>
    <n v="376.62"/>
    <n v="-2"/>
    <n v="1"/>
    <n v="10"/>
    <s v="Valid"/>
    <s v="Cash"/>
    <s v="Cash"/>
    <s v="Ada"/>
    <x v="2"/>
    <x v="3"/>
    <n v="2"/>
    <s v="ok"/>
    <n v="338.95800000000003"/>
  </r>
  <r>
    <s v="T100394"/>
    <s v="2025-10-31"/>
    <s v="C3015"/>
    <s v="Aisha"/>
    <s v="Aisha"/>
    <s v="Male"/>
    <n v="8"/>
    <s v="Invalid"/>
    <s v="lagos"/>
    <x v="0"/>
    <s v="Sports"/>
    <s v="Sports"/>
    <s v="Ball"/>
    <s v="Ball"/>
    <n v="141.85"/>
    <n v="6"/>
    <n v="6"/>
    <n v="120"/>
    <s v="invalid"/>
    <s v="POS"/>
    <s v="Pos"/>
    <s v="Ben"/>
    <x v="3"/>
    <x v="2"/>
    <n v="4"/>
    <s v="ok"/>
    <n v="-170.21999999999994"/>
  </r>
  <r>
    <s v="T100395"/>
    <s v="2025-03-16"/>
    <s v="C1278"/>
    <s v="Peter"/>
    <s v="Peter"/>
    <s v="Male"/>
    <n v="48"/>
    <s v="Valid"/>
    <s v="lagos"/>
    <x v="0"/>
    <s v="groceris"/>
    <s v="Groceris"/>
    <s v="Rice"/>
    <s v="Rice"/>
    <n v="462.99"/>
    <n v="1"/>
    <n v="1"/>
    <n v="120"/>
    <s v="invalid"/>
    <s v="Mobile Money"/>
    <s v="Mobile Money"/>
    <s v="Ben"/>
    <x v="3"/>
    <x v="3"/>
    <n v="2"/>
    <s v="ok"/>
    <n v="-92.597999999999985"/>
  </r>
  <r>
    <s v="T100396"/>
    <s v="2025-04-03"/>
    <s v="C9795"/>
    <s v="  James "/>
    <s v="James"/>
    <s v="Male"/>
    <n v="25"/>
    <s v="Valid"/>
    <s v="PH"/>
    <x v="1"/>
    <s v="Sports"/>
    <s v="Sports"/>
    <s v="Ball"/>
    <s v="Ball"/>
    <n v="211.77"/>
    <n v="7"/>
    <n v="7"/>
    <n v="-10"/>
    <s v="invalid"/>
    <s v="Transfer"/>
    <s v="Transfer"/>
    <s v="Dan"/>
    <x v="0"/>
    <x v="1"/>
    <n v="4"/>
    <s v="ok"/>
    <n v="1630.6290000000001"/>
  </r>
  <r>
    <s v="T100397"/>
    <s v="2026-03-04"/>
    <s v="C8207"/>
    <s v="David"/>
    <s v="David"/>
    <s v="Female"/>
    <n v="21"/>
    <s v="Valid"/>
    <s v="lagos"/>
    <x v="0"/>
    <s v="Fashion"/>
    <s v="Fashion"/>
    <s v="Shirt"/>
    <s v="Shirt"/>
    <n v="98.25"/>
    <n v="-2"/>
    <n v="1"/>
    <n v="-10"/>
    <s v="invalid"/>
    <s v="Transfer"/>
    <s v="Transfer"/>
    <s v="Dan"/>
    <x v="0"/>
    <x v="0"/>
    <n v="4"/>
    <s v="ok"/>
    <n v="108.075"/>
  </r>
  <r>
    <s v="T100398"/>
    <s v="2025-03-03"/>
    <s v="C7287"/>
    <s v="Aisha"/>
    <s v="Aisha"/>
    <s v="Male"/>
    <n v="130"/>
    <s v="Invalid"/>
    <s v="Abuja"/>
    <x v="3"/>
    <s v="Electronics"/>
    <s v="Electronics"/>
    <s v="Phone"/>
    <s v="Phone"/>
    <n v="345.05"/>
    <n v="-2"/>
    <n v="1"/>
    <n v="10"/>
    <s v="Valid"/>
    <s v="Cash"/>
    <s v="Cash"/>
    <s v="Ada"/>
    <x v="2"/>
    <x v="2"/>
    <n v="3"/>
    <s v="ok"/>
    <n v="310.54500000000002"/>
  </r>
  <r>
    <s v="T100399"/>
    <s v="14/12/2025"/>
    <s v="C3101"/>
    <s v="Grace"/>
    <s v="Grace"/>
    <s v="Male"/>
    <n v="130"/>
    <s v="Invalid"/>
    <s v="lagos"/>
    <x v="0"/>
    <s v="Groceries"/>
    <s v="Groceries"/>
    <s v="Rice"/>
    <s v="Rice"/>
    <n v="204.61"/>
    <n v="6"/>
    <n v="6"/>
    <n v="120"/>
    <s v="invalid"/>
    <s v="Transfer"/>
    <s v="Transfer"/>
    <s v="Dan"/>
    <x v="0"/>
    <x v="0"/>
    <n v="1"/>
    <s v="ok"/>
    <n v="-245.53199999999995"/>
  </r>
  <r>
    <s v="T100400"/>
    <s v="2026-02-11"/>
    <s v="C3680"/>
    <m/>
    <s v=""/>
    <s v="Female"/>
    <n v="62"/>
    <s v="Valid"/>
    <s v="PH"/>
    <x v="1"/>
    <s v="Electronics"/>
    <s v="Electronics"/>
    <s v="Phone"/>
    <s v="Phone"/>
    <n v="468.2"/>
    <n v="-2"/>
    <n v="1"/>
    <n v="120"/>
    <s v="invalid"/>
    <s v="Cash"/>
    <s v="Cash"/>
    <s v="Ben"/>
    <x v="3"/>
    <x v="2"/>
    <n v="4"/>
    <s v="Missing"/>
    <n v="-93.639999999999972"/>
  </r>
  <r>
    <s v="T100401"/>
    <s v="2025-04-26"/>
    <s v="C3115"/>
    <s v="  James "/>
    <s v="James"/>
    <s v="Male"/>
    <n v="8"/>
    <s v="Invalid"/>
    <s v="Abuja"/>
    <x v="3"/>
    <s v="Sports"/>
    <s v="Sports"/>
    <s v="Ball"/>
    <s v="Ball"/>
    <n v="75.900000000000006"/>
    <n v="-2"/>
    <n v="1"/>
    <n v="10"/>
    <s v="Valid"/>
    <m/>
    <s v=""/>
    <s v="Ben"/>
    <x v="3"/>
    <x v="0"/>
    <n v="5"/>
    <s v="ok"/>
    <n v="68.31"/>
  </r>
  <r>
    <s v="T100402"/>
    <s v="2025-04-27"/>
    <s v="C3196"/>
    <s v="  James "/>
    <s v="James"/>
    <s v="Female"/>
    <n v="130"/>
    <s v="Invalid"/>
    <s v="lagos"/>
    <x v="0"/>
    <s v="Groceries"/>
    <s v="Groceries"/>
    <s v="Rice"/>
    <s v="Rice"/>
    <n v="122.21"/>
    <n v="-2"/>
    <n v="1"/>
    <n v="10"/>
    <s v="Valid"/>
    <s v="Mobile Money"/>
    <s v="Mobile Money"/>
    <s v="Chi"/>
    <x v="1"/>
    <x v="3"/>
    <m/>
    <s v="ok"/>
    <n v="109.98899999999999"/>
  </r>
  <r>
    <s v="T100403"/>
    <s v="2026-06-13"/>
    <s v="C2045"/>
    <m/>
    <s v=""/>
    <s v="Female"/>
    <n v="8"/>
    <s v="Invalid"/>
    <s v="PH"/>
    <x v="1"/>
    <s v="Groceries"/>
    <s v="Groceries"/>
    <s v="Rice"/>
    <s v="Rice"/>
    <n v="70.89"/>
    <n v="-2"/>
    <n v="1"/>
    <n v="-10"/>
    <s v="invalid"/>
    <s v="Transfer"/>
    <s v="Transfer"/>
    <s v="Ben"/>
    <x v="3"/>
    <x v="0"/>
    <n v="4"/>
    <s v="Missing"/>
    <n v="77.979000000000013"/>
  </r>
  <r>
    <s v="T100404"/>
    <s v="2025-05-17"/>
    <s v="C6436"/>
    <s v="John"/>
    <s v="John"/>
    <s v="Male"/>
    <n v="130"/>
    <s v="Invalid"/>
    <s v="lagos"/>
    <x v="0"/>
    <s v="Electronics"/>
    <s v="Electronics"/>
    <s v="Phone"/>
    <s v="Phone"/>
    <n v="46.65"/>
    <n v="-2"/>
    <n v="1"/>
    <n v="-10"/>
    <s v="invalid"/>
    <s v="Cash"/>
    <s v="Cash"/>
    <s v="Ben"/>
    <x v="3"/>
    <x v="2"/>
    <m/>
    <s v="ok"/>
    <n v="51.315000000000005"/>
  </r>
  <r>
    <s v="T100405"/>
    <s v="2025-09-16"/>
    <s v="C4824"/>
    <s v="Mary"/>
    <s v="Mary"/>
    <s v="Female"/>
    <n v="24"/>
    <s v="Valid"/>
    <s v="lagos"/>
    <x v="0"/>
    <s v="Home"/>
    <s v="Home"/>
    <s v="Chair"/>
    <s v="Chair"/>
    <n v="92.95"/>
    <n v="1"/>
    <n v="1"/>
    <n v="0"/>
    <s v="Valid"/>
    <s v="Mobile Money"/>
    <s v="Mobile Money"/>
    <s v="Ada"/>
    <x v="2"/>
    <x v="2"/>
    <m/>
    <s v="ok"/>
    <n v="92.95"/>
  </r>
  <r>
    <s v="T100406"/>
    <s v="25/02/2025"/>
    <s v="C4056"/>
    <s v="Mary"/>
    <s v="Mary"/>
    <s v="Female"/>
    <n v="25"/>
    <s v="Valid"/>
    <s v="Abuja"/>
    <x v="3"/>
    <s v="Electronics"/>
    <s v="Electronics"/>
    <s v="Phone"/>
    <s v="Phone"/>
    <n v="358.53"/>
    <n v="5"/>
    <n v="5"/>
    <n v="5"/>
    <s v="Valid"/>
    <s v="Cash"/>
    <s v="Cash"/>
    <s v="Ben"/>
    <x v="3"/>
    <x v="3"/>
    <n v="4"/>
    <s v="ok"/>
    <n v="1703.0174999999997"/>
  </r>
  <r>
    <s v="T100407"/>
    <s v="2026-02-16"/>
    <s v="C8080"/>
    <s v="Peter"/>
    <s v="Peter"/>
    <s v="Male"/>
    <n v="27"/>
    <s v="Valid"/>
    <s v="lagos"/>
    <x v="0"/>
    <s v="Home"/>
    <s v="Home"/>
    <s v="Chair"/>
    <s v="Chair"/>
    <n v="192.58"/>
    <n v="-2"/>
    <n v="1"/>
    <n v="0"/>
    <s v="Valid"/>
    <s v="Cash"/>
    <s v="Cash"/>
    <s v="Chi"/>
    <x v="1"/>
    <x v="3"/>
    <n v="4"/>
    <s v="ok"/>
    <n v="192.58"/>
  </r>
  <r>
    <s v="T100408"/>
    <s v="2025-11-07"/>
    <s v="C9367"/>
    <s v="Peter"/>
    <s v="Peter"/>
    <s v="Female"/>
    <n v="130"/>
    <s v="Invalid"/>
    <s v="lagos"/>
    <x v="0"/>
    <s v="Fashion"/>
    <s v="Fashion"/>
    <s v="Shirt"/>
    <s v="Shirt"/>
    <n v="190.34"/>
    <n v="5"/>
    <n v="5"/>
    <n v="10"/>
    <s v="Valid"/>
    <s v="POS"/>
    <s v="Pos"/>
    <s v="Ben"/>
    <x v="3"/>
    <x v="0"/>
    <n v="4"/>
    <s v="ok"/>
    <n v="856.53000000000009"/>
  </r>
  <r>
    <s v="T100409"/>
    <s v="2025-01-14"/>
    <s v="C4918"/>
    <s v="David"/>
    <s v="David"/>
    <s v="Male"/>
    <n v="26"/>
    <s v="Valid"/>
    <s v="PH"/>
    <x v="1"/>
    <s v="Fashion"/>
    <s v="Fashion"/>
    <s v="Shirt"/>
    <s v="Shirt"/>
    <n v="238.8"/>
    <n v="1"/>
    <n v="1"/>
    <n v="5"/>
    <s v="Valid"/>
    <s v="Transfer"/>
    <s v="Transfer"/>
    <s v="Ben"/>
    <x v="3"/>
    <x v="1"/>
    <n v="3"/>
    <s v="ok"/>
    <n v="226.86"/>
  </r>
  <r>
    <s v="T100410"/>
    <s v="2025-07-29"/>
    <s v="C8523"/>
    <s v="David"/>
    <s v="David"/>
    <s v="Female"/>
    <n v="130"/>
    <s v="Invalid"/>
    <s v="lagos"/>
    <x v="0"/>
    <s v="Fashion"/>
    <s v="Fashion"/>
    <s v="Shirt"/>
    <s v="Shirt"/>
    <n v="332.02"/>
    <n v="-2"/>
    <n v="1"/>
    <n v="0"/>
    <s v="Valid"/>
    <s v="POS"/>
    <s v="Pos"/>
    <s v="Ada"/>
    <x v="2"/>
    <x v="0"/>
    <n v="4"/>
    <s v="ok"/>
    <n v="332.02"/>
  </r>
  <r>
    <s v="T100411"/>
    <s v="2025-05-29"/>
    <s v="C9142"/>
    <s v="  James "/>
    <s v="James"/>
    <s v="Male"/>
    <n v="8"/>
    <s v="Invalid"/>
    <s v="lagos"/>
    <x v="0"/>
    <s v="Groceries"/>
    <s v="Groceries"/>
    <s v="Rice"/>
    <s v="Rice"/>
    <n v="61.45"/>
    <n v="3"/>
    <n v="3"/>
    <n v="0"/>
    <s v="Valid"/>
    <s v="Cash"/>
    <s v="Cash"/>
    <s v="Ada"/>
    <x v="2"/>
    <x v="2"/>
    <n v="5"/>
    <s v="ok"/>
    <n v="184.35000000000002"/>
  </r>
  <r>
    <s v="T100412"/>
    <s v="2025-10-18"/>
    <s v="C1553"/>
    <s v="Mary"/>
    <s v="Mary"/>
    <s v="Female"/>
    <n v="43"/>
    <s v="Valid"/>
    <s v="Enugu"/>
    <x v="2"/>
    <s v="Beauty"/>
    <s v="Beauty"/>
    <s v="Cream"/>
    <s v="Cream"/>
    <n v="194.23"/>
    <n v="10"/>
    <n v="10"/>
    <n v="10"/>
    <s v="Valid"/>
    <s v="Mobile Money"/>
    <s v="Mobile Money"/>
    <s v="Chi"/>
    <x v="1"/>
    <x v="1"/>
    <n v="2"/>
    <s v="ok"/>
    <n v="1748.07"/>
  </r>
  <r>
    <s v="T100413"/>
    <s v="19/05/2025"/>
    <s v="C1620"/>
    <s v="Peter"/>
    <s v="Peter"/>
    <s v="Male"/>
    <n v="58"/>
    <s v="Valid"/>
    <s v="Kano"/>
    <x v="4"/>
    <s v="Home"/>
    <s v="Home"/>
    <s v="Chair"/>
    <s v="Chair"/>
    <n v="45.44"/>
    <n v="4"/>
    <n v="4"/>
    <n v="5"/>
    <s v="Valid"/>
    <s v="POS"/>
    <s v="Pos"/>
    <s v="Ben"/>
    <x v="3"/>
    <x v="2"/>
    <n v="5"/>
    <s v="ok"/>
    <n v="172.672"/>
  </r>
  <r>
    <s v="T100414"/>
    <s v="2025-09-16"/>
    <s v="C3033"/>
    <s v="John"/>
    <s v="John"/>
    <s v="Female"/>
    <n v="39"/>
    <s v="Valid"/>
    <s v="lagos"/>
    <x v="0"/>
    <s v="Groceries"/>
    <s v="Groceries"/>
    <s v="Rice"/>
    <s v="Rice"/>
    <n v="21.21"/>
    <n v="-2"/>
    <n v="1"/>
    <n v="-10"/>
    <s v="invalid"/>
    <s v="Transfer"/>
    <s v="Transfer"/>
    <s v="Ada"/>
    <x v="2"/>
    <x v="3"/>
    <n v="5"/>
    <s v="ok"/>
    <n v="23.331000000000003"/>
  </r>
  <r>
    <s v="T100415"/>
    <s v="2025-08-18"/>
    <s v="C9658"/>
    <s v="Mary"/>
    <s v="Mary"/>
    <s v="Male"/>
    <n v="130"/>
    <s v="Invalid"/>
    <s v="Abuja"/>
    <x v="3"/>
    <s v="Electronics"/>
    <s v="Electronics"/>
    <s v="Phone"/>
    <s v="Phone"/>
    <n v="429.36"/>
    <n v="3"/>
    <n v="3"/>
    <n v="0"/>
    <s v="Valid"/>
    <m/>
    <s v=""/>
    <s v="Ada"/>
    <x v="2"/>
    <x v="1"/>
    <n v="2"/>
    <s v="ok"/>
    <n v="1288.08"/>
  </r>
  <r>
    <s v="T100416"/>
    <s v="2025-05-08"/>
    <s v="C4697"/>
    <s v="  James "/>
    <s v="James"/>
    <s v="Male"/>
    <n v="130"/>
    <s v="Invalid"/>
    <s v="Enugu"/>
    <x v="2"/>
    <s v="Home"/>
    <s v="Home"/>
    <s v="Chair"/>
    <s v="Chair"/>
    <n v="216.04"/>
    <n v="6"/>
    <n v="6"/>
    <n v="15"/>
    <s v="Valid"/>
    <m/>
    <s v=""/>
    <s v="Ben"/>
    <x v="3"/>
    <x v="3"/>
    <m/>
    <s v="ok"/>
    <n v="1101.8040000000001"/>
  </r>
  <r>
    <s v="T100417"/>
    <s v="2025-05-22"/>
    <s v="C4121"/>
    <s v="  James "/>
    <s v="James"/>
    <s v="Female"/>
    <n v="8"/>
    <s v="Invalid"/>
    <s v="lagos"/>
    <x v="0"/>
    <s v="Fashion"/>
    <s v="Fashion"/>
    <s v="Shirt"/>
    <s v="Shirt"/>
    <n v="30.72"/>
    <n v="-2"/>
    <n v="1"/>
    <n v="0"/>
    <s v="Valid"/>
    <s v="Cash"/>
    <s v="Cash"/>
    <s v="Ben"/>
    <x v="3"/>
    <x v="2"/>
    <n v="1"/>
    <s v="ok"/>
    <n v="30.72"/>
  </r>
  <r>
    <s v="T100418"/>
    <s v="2025-04-02"/>
    <s v="C7887"/>
    <s v="Mary"/>
    <s v="Mary"/>
    <s v="Male"/>
    <n v="8"/>
    <s v="Invalid"/>
    <s v="PH"/>
    <x v="1"/>
    <s v="Home"/>
    <s v="Home"/>
    <s v="Chair"/>
    <s v="Chair"/>
    <n v="353.56"/>
    <n v="2"/>
    <n v="2"/>
    <n v="120"/>
    <s v="invalid"/>
    <s v="Transfer"/>
    <s v="Transfer"/>
    <s v="Dan"/>
    <x v="0"/>
    <x v="0"/>
    <n v="4"/>
    <s v="ok"/>
    <n v="-141.42399999999998"/>
  </r>
  <r>
    <s v="T100419"/>
    <s v="2026-01-03"/>
    <s v="C3305"/>
    <s v="Grace"/>
    <s v="Grace"/>
    <s v="Female"/>
    <n v="8"/>
    <s v="Invalid"/>
    <s v="Enugu"/>
    <x v="2"/>
    <s v="Beauty"/>
    <s v="Beauty"/>
    <s v="Cream"/>
    <s v="Cream"/>
    <n v="219.36"/>
    <n v="-2"/>
    <n v="1"/>
    <n v="5"/>
    <s v="Valid"/>
    <s v="Mobile Money"/>
    <s v="Mobile Money"/>
    <s v="Dan"/>
    <x v="0"/>
    <x v="1"/>
    <n v="2"/>
    <s v="ok"/>
    <n v="208.392"/>
  </r>
  <r>
    <s v="T100420"/>
    <s v="09/01/2025"/>
    <s v="C3906"/>
    <s v="Peter"/>
    <s v="Peter"/>
    <s v="Female"/>
    <n v="18"/>
    <s v="Invalid"/>
    <s v="Kano"/>
    <x v="4"/>
    <s v="Beauty"/>
    <s v="Beauty"/>
    <s v="Cream"/>
    <s v="Cream"/>
    <n v="307.70999999999998"/>
    <n v="3"/>
    <n v="3"/>
    <n v="120"/>
    <s v="invalid"/>
    <m/>
    <s v=""/>
    <s v="Dan"/>
    <x v="0"/>
    <x v="2"/>
    <n v="2"/>
    <s v="ok"/>
    <n v="-184.62599999999995"/>
  </r>
  <r>
    <s v="T100421"/>
    <s v="2025-10-17"/>
    <s v="C1410"/>
    <s v="Peter"/>
    <s v="Peter"/>
    <s v="Female"/>
    <n v="52"/>
    <s v="Valid"/>
    <s v="Abuja"/>
    <x v="3"/>
    <s v="Sports"/>
    <s v="Sports"/>
    <s v="Ball"/>
    <s v="Ball"/>
    <n v="345.48"/>
    <n v="1"/>
    <n v="1"/>
    <n v="15"/>
    <s v="Valid"/>
    <s v="Cash"/>
    <s v="Cash"/>
    <s v="Chi"/>
    <x v="1"/>
    <x v="3"/>
    <m/>
    <s v="ok"/>
    <n v="293.65800000000002"/>
  </r>
  <r>
    <s v="T100422"/>
    <s v="2025-05-09"/>
    <s v="C2868"/>
    <s v="Mary"/>
    <s v="Mary"/>
    <s v="Female"/>
    <n v="8"/>
    <s v="Invalid"/>
    <s v="Enugu"/>
    <x v="2"/>
    <s v="Sports"/>
    <s v="Sports"/>
    <s v="Ball"/>
    <s v="Ball"/>
    <n v="71.7"/>
    <n v="-2"/>
    <n v="1"/>
    <n v="15"/>
    <s v="Valid"/>
    <s v="Mobile Money"/>
    <s v="Mobile Money"/>
    <s v="Ben"/>
    <x v="3"/>
    <x v="0"/>
    <n v="5"/>
    <s v="ok"/>
    <n v="60.945"/>
  </r>
  <r>
    <s v="T100423"/>
    <s v="2025-08-30"/>
    <s v="C9548"/>
    <s v="David"/>
    <s v="David"/>
    <s v="Male"/>
    <n v="60"/>
    <s v="Valid"/>
    <s v="Enugu"/>
    <x v="2"/>
    <s v="Home"/>
    <s v="Home"/>
    <s v="Chair"/>
    <s v="Chair"/>
    <n v="410.43"/>
    <n v="-2"/>
    <n v="1"/>
    <n v="10"/>
    <s v="Valid"/>
    <s v="POS"/>
    <s v="Pos"/>
    <s v="Ben"/>
    <x v="3"/>
    <x v="1"/>
    <n v="3"/>
    <s v="ok"/>
    <n v="369.387"/>
  </r>
  <r>
    <s v="T100424"/>
    <s v="2026-02-14"/>
    <s v="C7585"/>
    <s v="Aisha"/>
    <s v="Aisha"/>
    <s v="Male"/>
    <n v="130"/>
    <s v="Invalid"/>
    <s v="Abuja"/>
    <x v="3"/>
    <s v="Electronics"/>
    <s v="Electronics"/>
    <s v="Phone"/>
    <s v="Phone"/>
    <n v="383.71"/>
    <n v="5"/>
    <n v="5"/>
    <n v="0"/>
    <s v="Valid"/>
    <s v="Mobile Money"/>
    <s v="Mobile Money"/>
    <s v="Chi"/>
    <x v="1"/>
    <x v="3"/>
    <n v="5"/>
    <s v="ok"/>
    <n v="1918.55"/>
  </r>
  <r>
    <s v="T100425"/>
    <s v="2026-04-24"/>
    <s v="C2149"/>
    <s v="Peter"/>
    <s v="Peter"/>
    <s v="Male"/>
    <n v="8"/>
    <s v="Invalid"/>
    <s v="Abuja"/>
    <x v="3"/>
    <s v="groceris"/>
    <s v="Groceris"/>
    <s v="Rice"/>
    <s v="Rice"/>
    <n v="9.83"/>
    <n v="-2"/>
    <n v="1"/>
    <n v="-10"/>
    <s v="invalid"/>
    <s v="POS"/>
    <s v="Pos"/>
    <s v="Ada"/>
    <x v="2"/>
    <x v="0"/>
    <n v="2"/>
    <s v="ok"/>
    <n v="10.813000000000001"/>
  </r>
  <r>
    <s v="T100426"/>
    <s v="2026-04-19"/>
    <s v="C9124"/>
    <s v="  James "/>
    <s v="James"/>
    <s v="Male"/>
    <n v="130"/>
    <s v="Invalid"/>
    <s v="lagos"/>
    <x v="0"/>
    <s v="Groceries"/>
    <s v="Groceries"/>
    <s v="Rice"/>
    <s v="Rice"/>
    <n v="48.19"/>
    <n v="6"/>
    <n v="6"/>
    <n v="5"/>
    <s v="Valid"/>
    <s v="Transfer"/>
    <s v="Transfer"/>
    <s v="Dan"/>
    <x v="0"/>
    <x v="0"/>
    <m/>
    <s v="ok"/>
    <n v="274.68299999999999"/>
  </r>
  <r>
    <s v="T100427"/>
    <s v="13/11/2025"/>
    <s v="C2992"/>
    <s v="Aisha"/>
    <s v="Aisha"/>
    <s v="Female"/>
    <n v="47"/>
    <s v="Valid"/>
    <s v="lagos"/>
    <x v="0"/>
    <s v="Fashion"/>
    <s v="Fashion"/>
    <s v="Shirt"/>
    <s v="Shirt"/>
    <n v="100.53"/>
    <n v="-2"/>
    <n v="1"/>
    <n v="5"/>
    <s v="Valid"/>
    <s v="Transfer"/>
    <s v="Transfer"/>
    <s v="Chi"/>
    <x v="1"/>
    <x v="2"/>
    <n v="3"/>
    <s v="ok"/>
    <n v="95.503500000000003"/>
  </r>
  <r>
    <s v="T100428"/>
    <s v="2025-03-14"/>
    <s v="C5070"/>
    <s v="John"/>
    <s v="John"/>
    <s v="Male"/>
    <n v="8"/>
    <s v="Invalid"/>
    <s v="lagos"/>
    <x v="0"/>
    <s v="Electronics"/>
    <s v="Electronics"/>
    <s v="Phone"/>
    <s v="Phone"/>
    <n v="319.33999999999997"/>
    <n v="2"/>
    <n v="2"/>
    <n v="15"/>
    <s v="Valid"/>
    <s v="Cash"/>
    <s v="Cash"/>
    <s v="Ada"/>
    <x v="2"/>
    <x v="3"/>
    <n v="5"/>
    <s v="ok"/>
    <n v="542.87799999999993"/>
  </r>
  <r>
    <s v="T100429"/>
    <s v="2025-12-24"/>
    <s v="C8037"/>
    <m/>
    <s v=""/>
    <s v="Male"/>
    <n v="39"/>
    <s v="Valid"/>
    <s v="lagos"/>
    <x v="0"/>
    <s v="Fashion"/>
    <s v="Fashion"/>
    <s v="Shirt"/>
    <s v="Shirt"/>
    <n v="417.29"/>
    <n v="7"/>
    <n v="7"/>
    <n v="5"/>
    <s v="Valid"/>
    <s v="Transfer"/>
    <s v="Transfer"/>
    <s v="Chi"/>
    <x v="1"/>
    <x v="3"/>
    <n v="1"/>
    <s v="Missing"/>
    <n v="2774.9785000000002"/>
  </r>
  <r>
    <s v="T100430"/>
    <s v="2025-07-05"/>
    <s v="C2162"/>
    <s v="Grace"/>
    <s v="Grace"/>
    <s v="Male"/>
    <n v="36"/>
    <s v="Valid"/>
    <s v="Abuja"/>
    <x v="3"/>
    <s v="groceris"/>
    <s v="Groceris"/>
    <s v="Rice"/>
    <s v="Rice"/>
    <n v="465.27"/>
    <n v="6"/>
    <n v="6"/>
    <n v="5"/>
    <s v="Valid"/>
    <s v="Mobile Money"/>
    <s v="Mobile Money"/>
    <s v="Dan"/>
    <x v="0"/>
    <x v="2"/>
    <n v="4"/>
    <s v="ok"/>
    <n v="2652.0389999999998"/>
  </r>
  <r>
    <s v="T100431"/>
    <s v="2026-01-20"/>
    <s v="C3740"/>
    <s v="Mary"/>
    <s v="Mary"/>
    <s v="Male"/>
    <n v="130"/>
    <s v="Invalid"/>
    <s v="Enugu"/>
    <x v="2"/>
    <s v="Beauty"/>
    <s v="Beauty"/>
    <s v="Cream"/>
    <s v="Cream"/>
    <n v="137.16"/>
    <n v="-2"/>
    <n v="1"/>
    <n v="0"/>
    <s v="Valid"/>
    <s v="Cash"/>
    <s v="Cash"/>
    <s v="Dan"/>
    <x v="0"/>
    <x v="3"/>
    <n v="2"/>
    <s v="ok"/>
    <n v="137.16"/>
  </r>
  <r>
    <s v="T100432"/>
    <s v="2025-07-18"/>
    <s v="C4497"/>
    <s v="Grace"/>
    <s v="Grace"/>
    <s v="Female"/>
    <n v="130"/>
    <s v="Invalid"/>
    <s v="Kano"/>
    <x v="4"/>
    <s v="Electronics"/>
    <s v="Electronics"/>
    <s v="Phone"/>
    <s v="Phone"/>
    <n v="337.18"/>
    <n v="-2"/>
    <n v="1"/>
    <n v="10"/>
    <s v="Valid"/>
    <s v="Transfer"/>
    <s v="Transfer"/>
    <s v="Ada"/>
    <x v="2"/>
    <x v="2"/>
    <n v="5"/>
    <s v="ok"/>
    <n v="303.46199999999999"/>
  </r>
  <r>
    <s v="T100433"/>
    <s v="2026-02-07"/>
    <s v="C9604"/>
    <s v="Peter"/>
    <s v="Peter"/>
    <s v="Male"/>
    <n v="130"/>
    <s v="Invalid"/>
    <s v="lagos"/>
    <x v="0"/>
    <s v="groceris"/>
    <s v="Groceris"/>
    <s v="Rice"/>
    <s v="Rice"/>
    <n v="120.73"/>
    <n v="-2"/>
    <n v="1"/>
    <n v="10"/>
    <s v="Valid"/>
    <m/>
    <s v=""/>
    <s v="Ada"/>
    <x v="2"/>
    <x v="3"/>
    <m/>
    <s v="ok"/>
    <n v="108.65700000000001"/>
  </r>
  <r>
    <s v="T100434"/>
    <s v="29/11/2025"/>
    <s v="C4888"/>
    <s v="John"/>
    <s v="John"/>
    <s v="Female"/>
    <n v="65"/>
    <s v="Invalid"/>
    <s v="Kano"/>
    <x v="4"/>
    <s v="Sports"/>
    <s v="Sports"/>
    <s v="Ball"/>
    <s v="Ball"/>
    <n v="186.05"/>
    <n v="-2"/>
    <n v="1"/>
    <n v="15"/>
    <s v="Valid"/>
    <s v="POS"/>
    <s v="Pos"/>
    <s v="Ben"/>
    <x v="3"/>
    <x v="2"/>
    <n v="5"/>
    <s v="ok"/>
    <n v="158.14250000000001"/>
  </r>
  <r>
    <s v="T100435"/>
    <s v="2026-03-04"/>
    <s v="C8866"/>
    <s v="Aisha"/>
    <s v="Aisha"/>
    <s v="Female"/>
    <n v="8"/>
    <s v="Invalid"/>
    <s v="lagos"/>
    <x v="0"/>
    <s v="Home"/>
    <s v="Home"/>
    <s v="Chair"/>
    <s v="Chair"/>
    <n v="148.22"/>
    <n v="1"/>
    <n v="1"/>
    <n v="120"/>
    <s v="invalid"/>
    <s v="POS"/>
    <s v="Pos"/>
    <s v="Ben"/>
    <x v="3"/>
    <x v="2"/>
    <n v="4"/>
    <s v="ok"/>
    <n v="-29.643999999999995"/>
  </r>
  <r>
    <s v="T100436"/>
    <s v="2026-01-04"/>
    <s v="C1442"/>
    <s v="John"/>
    <s v="John"/>
    <s v="Female"/>
    <n v="130"/>
    <s v="Invalid"/>
    <s v="lagos"/>
    <x v="0"/>
    <s v="Sports"/>
    <s v="Sports"/>
    <s v="Ball"/>
    <s v="Ball"/>
    <n v="273.62"/>
    <n v="-2"/>
    <n v="1"/>
    <n v="0"/>
    <s v="Valid"/>
    <s v="Cash"/>
    <s v="Cash"/>
    <s v="Chi"/>
    <x v="1"/>
    <x v="3"/>
    <n v="2"/>
    <s v="ok"/>
    <n v="273.62"/>
  </r>
  <r>
    <s v="T100437"/>
    <s v="2026-03-18"/>
    <s v="C3312"/>
    <s v="  James "/>
    <s v="James"/>
    <s v="Female"/>
    <n v="35"/>
    <s v="Valid"/>
    <s v="lagos"/>
    <x v="0"/>
    <s v="Beauty"/>
    <s v="Beauty"/>
    <s v="Cream"/>
    <s v="Cream"/>
    <n v="106.31"/>
    <n v="10"/>
    <n v="10"/>
    <n v="0"/>
    <s v="Valid"/>
    <m/>
    <s v=""/>
    <s v="Ben"/>
    <x v="3"/>
    <x v="3"/>
    <n v="2"/>
    <s v="ok"/>
    <n v="1063.0999999999999"/>
  </r>
  <r>
    <s v="T100438"/>
    <s v="2025-04-29"/>
    <s v="C3374"/>
    <s v="Grace"/>
    <s v="Grace"/>
    <s v="Male"/>
    <n v="8"/>
    <s v="Invalid"/>
    <s v="lagos"/>
    <x v="0"/>
    <s v="Beauty"/>
    <s v="Beauty"/>
    <s v="Cream"/>
    <s v="Cream"/>
    <n v="269.26"/>
    <n v="-2"/>
    <n v="1"/>
    <n v="5"/>
    <s v="Valid"/>
    <s v="Cash"/>
    <s v="Cash"/>
    <s v="Ada"/>
    <x v="2"/>
    <x v="0"/>
    <n v="3"/>
    <s v="ok"/>
    <n v="255.79699999999997"/>
  </r>
  <r>
    <s v="T100439"/>
    <s v="2025-07-26"/>
    <s v="C2641"/>
    <s v="Grace"/>
    <s v="Grace"/>
    <s v="Male"/>
    <n v="8"/>
    <s v="Invalid"/>
    <s v="lagos"/>
    <x v="0"/>
    <s v="Home"/>
    <s v="Home"/>
    <s v="Chair"/>
    <s v="Chair"/>
    <n v="222.68"/>
    <n v="-2"/>
    <n v="1"/>
    <n v="5"/>
    <s v="Valid"/>
    <s v="Cash"/>
    <s v="Cash"/>
    <s v="Ada"/>
    <x v="2"/>
    <x v="1"/>
    <n v="5"/>
    <s v="ok"/>
    <n v="211.54599999999999"/>
  </r>
  <r>
    <s v="T100440"/>
    <s v="2025-06-16"/>
    <s v="C5304"/>
    <s v="Aisha"/>
    <s v="Aisha"/>
    <s v="Male"/>
    <n v="8"/>
    <s v="Invalid"/>
    <s v="lagos"/>
    <x v="0"/>
    <s v="groceris"/>
    <s v="Groceris"/>
    <s v="Rice"/>
    <s v="Rice"/>
    <n v="347.08"/>
    <n v="-2"/>
    <n v="1"/>
    <n v="5"/>
    <s v="Valid"/>
    <m/>
    <s v=""/>
    <s v="Chi"/>
    <x v="1"/>
    <x v="2"/>
    <n v="2"/>
    <s v="ok"/>
    <n v="329.72599999999994"/>
  </r>
  <r>
    <s v="T100441"/>
    <s v="25/02/2026"/>
    <s v="C2306"/>
    <s v="Grace"/>
    <s v="Grace"/>
    <s v="Female"/>
    <n v="130"/>
    <s v="Invalid"/>
    <s v="PH"/>
    <x v="1"/>
    <s v="Groceries"/>
    <s v="Groceries"/>
    <s v="Rice"/>
    <s v="Rice"/>
    <n v="490.25"/>
    <n v="-2"/>
    <n v="1"/>
    <n v="120"/>
    <s v="invalid"/>
    <s v="Transfer"/>
    <s v="Transfer"/>
    <s v="Ben"/>
    <x v="3"/>
    <x v="3"/>
    <n v="2"/>
    <s v="ok"/>
    <n v="-98.049999999999983"/>
  </r>
  <r>
    <s v="T100442"/>
    <s v="2025-05-26"/>
    <s v="C5623"/>
    <s v="Aisha"/>
    <s v="Aisha"/>
    <s v="Female"/>
    <n v="8"/>
    <s v="Invalid"/>
    <s v="lagos"/>
    <x v="0"/>
    <s v="Sports"/>
    <s v="Sports"/>
    <s v="Ball"/>
    <s v="Ball"/>
    <n v="229.67"/>
    <n v="9"/>
    <n v="9"/>
    <n v="15"/>
    <s v="Valid"/>
    <s v="Transfer"/>
    <s v="Transfer"/>
    <s v="Ben"/>
    <x v="3"/>
    <x v="3"/>
    <n v="3"/>
    <s v="ok"/>
    <n v="1756.9754999999998"/>
  </r>
  <r>
    <s v="T100443"/>
    <s v="2026-01-20"/>
    <s v="C9325"/>
    <s v="  James "/>
    <s v="James"/>
    <s v="Female"/>
    <n v="8"/>
    <s v="Invalid"/>
    <s v="lagos"/>
    <x v="0"/>
    <s v="Sports"/>
    <s v="Sports"/>
    <s v="Ball"/>
    <s v="Ball"/>
    <n v="470.85"/>
    <n v="-2"/>
    <n v="1"/>
    <n v="0"/>
    <s v="Valid"/>
    <s v="Mobile Money"/>
    <s v="Mobile Money"/>
    <s v="Ben"/>
    <x v="3"/>
    <x v="3"/>
    <m/>
    <s v="ok"/>
    <n v="470.85"/>
  </r>
  <r>
    <s v="T100444"/>
    <s v="2025-10-28"/>
    <s v="C8028"/>
    <s v="Grace"/>
    <s v="Grace"/>
    <s v="Female"/>
    <n v="36"/>
    <s v="Valid"/>
    <s v="Abuja"/>
    <x v="3"/>
    <s v="groceris"/>
    <s v="Groceris"/>
    <s v="Rice"/>
    <s v="Rice"/>
    <n v="443.02"/>
    <n v="7"/>
    <n v="7"/>
    <n v="15"/>
    <s v="Valid"/>
    <s v="POS"/>
    <s v="Pos"/>
    <s v="Chi"/>
    <x v="1"/>
    <x v="1"/>
    <n v="5"/>
    <s v="ok"/>
    <n v="2635.9689999999996"/>
  </r>
  <r>
    <s v="T100445"/>
    <s v="2026-06-16"/>
    <s v="C8413"/>
    <s v="Peter"/>
    <s v="Peter"/>
    <s v="Female"/>
    <n v="8"/>
    <s v="Invalid"/>
    <s v="lagos"/>
    <x v="0"/>
    <s v="groceris"/>
    <s v="Groceris"/>
    <s v="Rice"/>
    <s v="Rice"/>
    <n v="432.76"/>
    <n v="-2"/>
    <n v="1"/>
    <n v="5"/>
    <s v="Valid"/>
    <s v="Mobile Money"/>
    <s v="Mobile Money"/>
    <s v="Ben"/>
    <x v="3"/>
    <x v="0"/>
    <m/>
    <s v="ok"/>
    <n v="411.12199999999996"/>
  </r>
  <r>
    <s v="T100446"/>
    <s v="2026-04-15"/>
    <s v="C7397"/>
    <s v="Grace"/>
    <s v="Grace"/>
    <s v="Female"/>
    <n v="8"/>
    <s v="Invalid"/>
    <s v="Abuja"/>
    <x v="3"/>
    <s v="Electronics"/>
    <s v="Electronics"/>
    <s v="Phone"/>
    <s v="Phone"/>
    <n v="253.81"/>
    <n v="10"/>
    <n v="10"/>
    <n v="0"/>
    <s v="Valid"/>
    <s v="Mobile Money"/>
    <s v="Mobile Money"/>
    <s v="Chi"/>
    <x v="1"/>
    <x v="1"/>
    <n v="4"/>
    <s v="ok"/>
    <n v="2538.1"/>
  </r>
  <r>
    <s v="T100447"/>
    <s v="2026-03-06"/>
    <s v="C5107"/>
    <s v="John"/>
    <s v="John"/>
    <s v="Male"/>
    <n v="31"/>
    <s v="Valid"/>
    <s v="lagos"/>
    <x v="0"/>
    <s v="Sports"/>
    <s v="Sports"/>
    <s v="Ball"/>
    <s v="Ball"/>
    <n v="495.78"/>
    <n v="8"/>
    <n v="8"/>
    <n v="-10"/>
    <s v="invalid"/>
    <s v="Cash"/>
    <s v="Cash"/>
    <s v="Ada"/>
    <x v="2"/>
    <x v="2"/>
    <n v="2"/>
    <s v="ok"/>
    <n v="4362.8640000000005"/>
  </r>
  <r>
    <s v="T100448"/>
    <s v="19/11/2025"/>
    <s v="C8381"/>
    <s v="Peter"/>
    <s v="Peter"/>
    <s v="Female"/>
    <n v="130"/>
    <s v="Invalid"/>
    <s v="lagos"/>
    <x v="0"/>
    <s v="Electronics"/>
    <s v="Electronics"/>
    <s v="Phone"/>
    <s v="Phone"/>
    <n v="288.12"/>
    <n v="-2"/>
    <n v="1"/>
    <n v="10"/>
    <s v="Valid"/>
    <s v="Mobile Money"/>
    <s v="Mobile Money"/>
    <s v="Ben"/>
    <x v="3"/>
    <x v="3"/>
    <m/>
    <s v="ok"/>
    <n v="259.30799999999999"/>
  </r>
  <r>
    <s v="T100449"/>
    <s v="2025-05-30"/>
    <s v="C8408"/>
    <s v="Peter"/>
    <s v="Peter"/>
    <s v="Male"/>
    <n v="130"/>
    <s v="Invalid"/>
    <s v="Enugu"/>
    <x v="2"/>
    <s v="Beauty"/>
    <s v="Beauty"/>
    <s v="Cream"/>
    <s v="Cream"/>
    <n v="280.76"/>
    <n v="4"/>
    <n v="4"/>
    <n v="5"/>
    <s v="Valid"/>
    <s v="Transfer"/>
    <s v="Transfer"/>
    <s v="Dan"/>
    <x v="0"/>
    <x v="0"/>
    <n v="1"/>
    <s v="ok"/>
    <n v="1066.8879999999999"/>
  </r>
  <r>
    <s v="T100450"/>
    <s v="2025-12-13"/>
    <s v="C9192"/>
    <s v="Peter"/>
    <s v="Peter"/>
    <s v="Male"/>
    <n v="8"/>
    <s v="Invalid"/>
    <s v="lagos"/>
    <x v="0"/>
    <s v="groceris"/>
    <s v="Groceris"/>
    <s v="Rice"/>
    <s v="Rice"/>
    <n v="310.76"/>
    <n v="-2"/>
    <n v="1"/>
    <n v="5"/>
    <s v="Valid"/>
    <m/>
    <s v=""/>
    <s v="Ben"/>
    <x v="3"/>
    <x v="2"/>
    <m/>
    <s v="ok"/>
    <n v="295.22199999999998"/>
  </r>
  <r>
    <s v="T100451"/>
    <s v="2026-02-09"/>
    <s v="C4656"/>
    <s v="David"/>
    <s v="David"/>
    <s v="Female"/>
    <n v="34"/>
    <s v="Valid"/>
    <s v="Kano"/>
    <x v="4"/>
    <s v="groceris"/>
    <s v="Groceris"/>
    <s v="Rice"/>
    <s v="Rice"/>
    <n v="196.41"/>
    <n v="1"/>
    <n v="1"/>
    <n v="-10"/>
    <s v="invalid"/>
    <s v="Mobile Money"/>
    <s v="Mobile Money"/>
    <s v="Dan"/>
    <x v="0"/>
    <x v="3"/>
    <n v="1"/>
    <s v="ok"/>
    <n v="216.05100000000002"/>
  </r>
  <r>
    <s v="T100452"/>
    <s v="2026-01-04"/>
    <s v="C2563"/>
    <s v="Peter"/>
    <s v="Peter"/>
    <s v="Male"/>
    <n v="47"/>
    <s v="Valid"/>
    <s v="Kano"/>
    <x v="4"/>
    <s v="Groceries"/>
    <s v="Groceries"/>
    <s v="Rice"/>
    <s v="Rice"/>
    <n v="12.08"/>
    <n v="-2"/>
    <n v="1"/>
    <n v="120"/>
    <s v="invalid"/>
    <s v="Cash"/>
    <s v="Cash"/>
    <s v="Ben"/>
    <x v="3"/>
    <x v="3"/>
    <n v="3"/>
    <s v="ok"/>
    <n v="-2.4159999999999995"/>
  </r>
  <r>
    <s v="T100453"/>
    <s v="2025-12-26"/>
    <s v="C2084"/>
    <s v="John"/>
    <s v="John"/>
    <s v="Male"/>
    <n v="53"/>
    <s v="Valid"/>
    <s v="lagos"/>
    <x v="0"/>
    <s v="groceris"/>
    <s v="Groceris"/>
    <s v="Rice"/>
    <s v="Rice"/>
    <n v="455.51"/>
    <n v="3"/>
    <n v="3"/>
    <n v="-10"/>
    <s v="invalid"/>
    <s v="Cash"/>
    <s v="Cash"/>
    <s v="Ben"/>
    <x v="3"/>
    <x v="1"/>
    <n v="2"/>
    <s v="ok"/>
    <n v="1503.183"/>
  </r>
  <r>
    <s v="T100454"/>
    <s v="2025-05-31"/>
    <s v="C7703"/>
    <s v="Peter"/>
    <s v="Peter"/>
    <s v="Female"/>
    <n v="23"/>
    <s v="Valid"/>
    <s v="PH"/>
    <x v="1"/>
    <s v="Electronics"/>
    <s v="Electronics"/>
    <s v="Phone"/>
    <s v="Phone"/>
    <n v="134.54"/>
    <n v="-2"/>
    <n v="1"/>
    <n v="120"/>
    <s v="invalid"/>
    <s v="POS"/>
    <s v="Pos"/>
    <s v="Chi"/>
    <x v="1"/>
    <x v="2"/>
    <m/>
    <s v="ok"/>
    <n v="-26.907999999999994"/>
  </r>
  <r>
    <s v="T100455"/>
    <s v="10/02/2026"/>
    <s v="C4024"/>
    <s v="  James "/>
    <s v="James"/>
    <s v="Female"/>
    <n v="8"/>
    <s v="Invalid"/>
    <s v="PH"/>
    <x v="1"/>
    <s v="Sports"/>
    <s v="Sports"/>
    <s v="Ball"/>
    <s v="Ball"/>
    <n v="88.95"/>
    <n v="-2"/>
    <n v="1"/>
    <n v="120"/>
    <s v="invalid"/>
    <s v="Cash"/>
    <s v="Cash"/>
    <s v="Chi"/>
    <x v="1"/>
    <x v="1"/>
    <n v="3"/>
    <s v="ok"/>
    <n v="-17.789999999999996"/>
  </r>
  <r>
    <s v="T100456"/>
    <s v="2025-12-27"/>
    <s v="C9820"/>
    <m/>
    <s v=""/>
    <s v="Male"/>
    <n v="19"/>
    <s v="Valid"/>
    <s v="lagos"/>
    <x v="0"/>
    <s v="Electronics"/>
    <s v="Electronics"/>
    <s v="Phone"/>
    <s v="Phone"/>
    <n v="314.3"/>
    <n v="3"/>
    <n v="3"/>
    <n v="5"/>
    <s v="Valid"/>
    <s v="Mobile Money"/>
    <s v="Mobile Money"/>
    <s v="Chi"/>
    <x v="1"/>
    <x v="0"/>
    <n v="1"/>
    <s v="Missing"/>
    <n v="895.755"/>
  </r>
  <r>
    <s v="T100457"/>
    <s v="2026-01-19"/>
    <s v="C8201"/>
    <s v="Mary"/>
    <s v="Mary"/>
    <s v="Male"/>
    <n v="57"/>
    <s v="Valid"/>
    <s v="lagos"/>
    <x v="0"/>
    <s v="Sports"/>
    <s v="Sports"/>
    <s v="Ball"/>
    <s v="Ball"/>
    <n v="417.06"/>
    <n v="-2"/>
    <n v="1"/>
    <n v="5"/>
    <s v="Valid"/>
    <m/>
    <s v=""/>
    <s v="Ada"/>
    <x v="2"/>
    <x v="3"/>
    <n v="3"/>
    <s v="ok"/>
    <n v="396.20699999999999"/>
  </r>
  <r>
    <s v="T100458"/>
    <s v="2025-05-06"/>
    <s v="C6719"/>
    <s v="John"/>
    <s v="John"/>
    <s v="Male"/>
    <n v="26"/>
    <s v="Valid"/>
    <s v="Kano"/>
    <x v="4"/>
    <s v="Electronics"/>
    <s v="Electronics"/>
    <s v="Phone"/>
    <s v="Phone"/>
    <n v="230.22"/>
    <n v="-2"/>
    <n v="1"/>
    <n v="120"/>
    <s v="invalid"/>
    <m/>
    <s v=""/>
    <s v="Dan"/>
    <x v="0"/>
    <x v="0"/>
    <n v="1"/>
    <s v="ok"/>
    <n v="-46.04399999999999"/>
  </r>
  <r>
    <s v="T100459"/>
    <s v="2025-08-13"/>
    <s v="C2790"/>
    <s v="David"/>
    <s v="David"/>
    <s v="Male"/>
    <n v="8"/>
    <s v="Invalid"/>
    <s v="lagos"/>
    <x v="0"/>
    <s v="Beauty"/>
    <s v="Beauty"/>
    <s v="Cream"/>
    <s v="Cream"/>
    <n v="210"/>
    <n v="9"/>
    <n v="9"/>
    <n v="10"/>
    <s v="Valid"/>
    <s v="Transfer"/>
    <s v="Transfer"/>
    <s v="Chi"/>
    <x v="1"/>
    <x v="3"/>
    <n v="2"/>
    <s v="ok"/>
    <n v="1701"/>
  </r>
  <r>
    <s v="T100460"/>
    <s v="2025-07-27"/>
    <s v="C7858"/>
    <s v="  James "/>
    <s v="James"/>
    <s v="Male"/>
    <n v="130"/>
    <s v="Invalid"/>
    <s v="Enugu"/>
    <x v="2"/>
    <s v="Electronics"/>
    <s v="Electronics"/>
    <s v="Phone"/>
    <s v="Phone"/>
    <n v="350.78"/>
    <n v="-2"/>
    <n v="1"/>
    <n v="120"/>
    <s v="invalid"/>
    <s v="Transfer"/>
    <s v="Transfer"/>
    <s v="Chi"/>
    <x v="1"/>
    <x v="1"/>
    <n v="1"/>
    <s v="ok"/>
    <n v="-70.155999999999977"/>
  </r>
  <r>
    <s v="T100461"/>
    <s v="2025-01-06"/>
    <s v="C5552"/>
    <s v="Aisha"/>
    <s v="Aisha"/>
    <s v="Male"/>
    <n v="61"/>
    <s v="Valid"/>
    <s v="Abuja"/>
    <x v="3"/>
    <s v="Groceries"/>
    <s v="Groceries"/>
    <s v="Rice"/>
    <s v="Rice"/>
    <n v="36.01"/>
    <n v="7"/>
    <n v="7"/>
    <n v="-10"/>
    <s v="invalid"/>
    <s v="Mobile Money"/>
    <s v="Mobile Money"/>
    <s v="Chi"/>
    <x v="1"/>
    <x v="3"/>
    <n v="4"/>
    <s v="ok"/>
    <n v="277.27699999999999"/>
  </r>
  <r>
    <s v="T100462"/>
    <s v="02/04/2025"/>
    <s v="C7634"/>
    <s v="Aisha"/>
    <s v="Aisha"/>
    <s v="Female"/>
    <n v="8"/>
    <s v="Invalid"/>
    <s v="lagos"/>
    <x v="0"/>
    <s v="Sports"/>
    <s v="Sports"/>
    <s v="Ball"/>
    <s v="Ball"/>
    <n v="239.04"/>
    <n v="1"/>
    <n v="1"/>
    <n v="5"/>
    <s v="Valid"/>
    <s v="POS"/>
    <s v="Pos"/>
    <s v="Chi"/>
    <x v="1"/>
    <x v="2"/>
    <n v="4"/>
    <s v="ok"/>
    <n v="227.08799999999999"/>
  </r>
  <r>
    <s v="T100463"/>
    <s v="2026-01-09"/>
    <s v="C4508"/>
    <s v="Mary"/>
    <s v="Mary"/>
    <s v="Female"/>
    <n v="32"/>
    <s v="Valid"/>
    <s v="PH"/>
    <x v="1"/>
    <s v="Beauty"/>
    <s v="Beauty"/>
    <s v="Cream"/>
    <s v="Cream"/>
    <n v="483.49"/>
    <n v="-2"/>
    <n v="1"/>
    <n v="5"/>
    <s v="Valid"/>
    <s v="Cash"/>
    <s v="Cash"/>
    <s v="Dan"/>
    <x v="0"/>
    <x v="1"/>
    <n v="3"/>
    <s v="ok"/>
    <n v="459.31549999999999"/>
  </r>
  <r>
    <s v="T100464"/>
    <s v="2026-01-24"/>
    <s v="C5219"/>
    <m/>
    <s v=""/>
    <s v="Male"/>
    <n v="8"/>
    <s v="Invalid"/>
    <s v="Enugu"/>
    <x v="2"/>
    <s v="Groceries"/>
    <s v="Groceries"/>
    <s v="Rice"/>
    <s v="Rice"/>
    <n v="352.64"/>
    <n v="-2"/>
    <n v="1"/>
    <n v="-10"/>
    <s v="invalid"/>
    <s v="POS"/>
    <s v="Pos"/>
    <s v="Ada"/>
    <x v="2"/>
    <x v="0"/>
    <n v="4"/>
    <s v="Missing"/>
    <n v="387.904"/>
  </r>
  <r>
    <s v="T100465"/>
    <s v="2025-01-21"/>
    <s v="C2749"/>
    <s v="Peter"/>
    <s v="Peter"/>
    <s v="Female"/>
    <n v="52"/>
    <s v="Valid"/>
    <s v="Enugu"/>
    <x v="2"/>
    <s v="Home"/>
    <s v="Home"/>
    <s v="Chair"/>
    <s v="Chair"/>
    <n v="45.53"/>
    <n v="8"/>
    <n v="8"/>
    <n v="0"/>
    <s v="Valid"/>
    <s v="Mobile Money"/>
    <s v="Mobile Money"/>
    <s v="Chi"/>
    <x v="1"/>
    <x v="1"/>
    <n v="3"/>
    <s v="ok"/>
    <n v="364.24"/>
  </r>
  <r>
    <s v="T100466"/>
    <s v="2026-02-13"/>
    <s v="C7126"/>
    <s v="Aisha"/>
    <s v="Aisha"/>
    <s v="Male"/>
    <n v="8"/>
    <s v="Invalid"/>
    <s v="Kano"/>
    <x v="4"/>
    <s v="groceris"/>
    <s v="Groceris"/>
    <s v="Rice"/>
    <s v="Rice"/>
    <n v="74.83"/>
    <n v="7"/>
    <n v="7"/>
    <n v="0"/>
    <s v="Valid"/>
    <m/>
    <s v=""/>
    <s v="Dan"/>
    <x v="0"/>
    <x v="0"/>
    <n v="4"/>
    <s v="ok"/>
    <n v="523.80999999999995"/>
  </r>
  <r>
    <s v="T100467"/>
    <s v="2026-05-04"/>
    <s v="C2993"/>
    <s v="Aisha"/>
    <s v="Aisha"/>
    <s v="Female"/>
    <n v="130"/>
    <s v="Invalid"/>
    <s v="lagos"/>
    <x v="0"/>
    <s v="Home"/>
    <s v="Home"/>
    <s v="Chair"/>
    <s v="Chair"/>
    <n v="99.77"/>
    <n v="-2"/>
    <n v="1"/>
    <n v="120"/>
    <s v="invalid"/>
    <s v="Cash"/>
    <s v="Cash"/>
    <s v="Dan"/>
    <x v="0"/>
    <x v="1"/>
    <n v="5"/>
    <s v="ok"/>
    <n v="-19.953999999999994"/>
  </r>
  <r>
    <s v="T100468"/>
    <s v="2025-09-06"/>
    <s v="C5024"/>
    <m/>
    <s v=""/>
    <s v="Female"/>
    <n v="130"/>
    <s v="Invalid"/>
    <s v="Kano"/>
    <x v="4"/>
    <s v="Beauty"/>
    <s v="Beauty"/>
    <s v="Cream"/>
    <s v="Cream"/>
    <n v="499.02"/>
    <n v="8"/>
    <n v="8"/>
    <n v="0"/>
    <s v="Valid"/>
    <s v="Cash"/>
    <s v="Cash"/>
    <s v="Ada"/>
    <x v="2"/>
    <x v="0"/>
    <n v="4"/>
    <s v="Missing"/>
    <n v="3992.16"/>
  </r>
  <r>
    <s v="T100469"/>
    <s v="26/04/2026"/>
    <s v="C3641"/>
    <s v="Grace"/>
    <s v="Grace"/>
    <s v="Female"/>
    <n v="63"/>
    <s v="Valid"/>
    <s v="Enugu"/>
    <x v="2"/>
    <s v="Sports"/>
    <s v="Sports"/>
    <s v="Ball"/>
    <s v="Ball"/>
    <n v="405.94"/>
    <n v="-2"/>
    <n v="1"/>
    <n v="15"/>
    <s v="Valid"/>
    <s v="Cash"/>
    <s v="Cash"/>
    <s v="Ada"/>
    <x v="2"/>
    <x v="3"/>
    <n v="4"/>
    <s v="ok"/>
    <n v="345.04899999999998"/>
  </r>
  <r>
    <s v="T100470"/>
    <s v="2026-05-07"/>
    <s v="C3771"/>
    <m/>
    <s v=""/>
    <s v="Male"/>
    <n v="130"/>
    <s v="Invalid"/>
    <s v="Enugu"/>
    <x v="2"/>
    <s v="Fashion"/>
    <s v="Fashion"/>
    <s v="Shirt"/>
    <s v="Shirt"/>
    <n v="464.72"/>
    <n v="10"/>
    <n v="10"/>
    <n v="15"/>
    <s v="Valid"/>
    <m/>
    <s v=""/>
    <s v="Ada"/>
    <x v="2"/>
    <x v="1"/>
    <n v="2"/>
    <s v="Missing"/>
    <n v="3950.1200000000003"/>
  </r>
  <r>
    <s v="T100471"/>
    <s v="2025-04-11"/>
    <s v="C3648"/>
    <s v="Peter"/>
    <s v="Peter"/>
    <s v="Female"/>
    <n v="8"/>
    <s v="Invalid"/>
    <s v="lagos"/>
    <x v="0"/>
    <s v="Fashion"/>
    <s v="Fashion"/>
    <s v="Shirt"/>
    <s v="Shirt"/>
    <n v="478.06"/>
    <n v="4"/>
    <n v="4"/>
    <n v="15"/>
    <s v="Valid"/>
    <s v="Transfer"/>
    <s v="Transfer"/>
    <s v="Ada"/>
    <x v="2"/>
    <x v="1"/>
    <n v="1"/>
    <s v="ok"/>
    <n v="1625.404"/>
  </r>
  <r>
    <s v="T100472"/>
    <s v="2026-03-05"/>
    <s v="C9222"/>
    <s v="David"/>
    <s v="David"/>
    <s v="Female"/>
    <n v="130"/>
    <s v="Invalid"/>
    <s v="Kano"/>
    <x v="4"/>
    <s v="Electronics"/>
    <s v="Electronics"/>
    <s v="Phone"/>
    <s v="Phone"/>
    <n v="422.17"/>
    <n v="-2"/>
    <n v="1"/>
    <n v="10"/>
    <s v="Valid"/>
    <s v="Cash"/>
    <s v="Cash"/>
    <s v="Ada"/>
    <x v="2"/>
    <x v="0"/>
    <m/>
    <s v="ok"/>
    <n v="379.95300000000003"/>
  </r>
  <r>
    <s v="T100473"/>
    <s v="2026-04-19"/>
    <s v="C5197"/>
    <s v="John"/>
    <s v="John"/>
    <s v="Female"/>
    <n v="130"/>
    <s v="Invalid"/>
    <s v="PH"/>
    <x v="1"/>
    <s v="Groceries"/>
    <s v="Groceries"/>
    <s v="Rice"/>
    <s v="Rice"/>
    <n v="373.34"/>
    <n v="-2"/>
    <n v="1"/>
    <n v="5"/>
    <s v="Valid"/>
    <s v="POS"/>
    <s v="Pos"/>
    <s v="Ben"/>
    <x v="3"/>
    <x v="0"/>
    <m/>
    <s v="ok"/>
    <n v="354.67299999999994"/>
  </r>
  <r>
    <s v="T100474"/>
    <s v="2025-12-20"/>
    <s v="C5619"/>
    <s v="Aisha"/>
    <s v="Aisha"/>
    <s v="Female"/>
    <n v="8"/>
    <s v="Invalid"/>
    <s v="lagos"/>
    <x v="0"/>
    <s v="Fashion"/>
    <s v="Fashion"/>
    <s v="Shirt"/>
    <s v="Shirt"/>
    <n v="394.05"/>
    <n v="-2"/>
    <n v="1"/>
    <n v="15"/>
    <s v="Valid"/>
    <s v="Transfer"/>
    <s v="Transfer"/>
    <s v="Ada"/>
    <x v="2"/>
    <x v="1"/>
    <n v="4"/>
    <s v="ok"/>
    <n v="334.9425"/>
  </r>
  <r>
    <s v="T100475"/>
    <s v="2026-05-01"/>
    <s v="C9739"/>
    <s v="Aisha"/>
    <s v="Aisha"/>
    <s v="Female"/>
    <n v="130"/>
    <s v="Invalid"/>
    <s v="Kano"/>
    <x v="4"/>
    <s v="groceris"/>
    <s v="Groceris"/>
    <s v="Rice"/>
    <s v="Rice"/>
    <n v="79.03"/>
    <n v="10"/>
    <n v="10"/>
    <n v="10"/>
    <s v="Valid"/>
    <s v="Cash"/>
    <s v="Cash"/>
    <s v="Ben"/>
    <x v="3"/>
    <x v="0"/>
    <n v="1"/>
    <s v="ok"/>
    <n v="711.27"/>
  </r>
  <r>
    <s v="T100476"/>
    <s v="22/03/2025"/>
    <s v="C9977"/>
    <s v="John"/>
    <s v="John"/>
    <s v="Male"/>
    <n v="130"/>
    <s v="Invalid"/>
    <s v="Abuja"/>
    <x v="3"/>
    <s v="groceris"/>
    <s v="Groceris"/>
    <s v="Rice"/>
    <s v="Rice"/>
    <n v="392.87"/>
    <n v="7"/>
    <n v="7"/>
    <n v="-10"/>
    <s v="invalid"/>
    <s v="Transfer"/>
    <s v="Transfer"/>
    <s v="Ada"/>
    <x v="2"/>
    <x v="3"/>
    <n v="3"/>
    <s v="ok"/>
    <n v="3025.0990000000006"/>
  </r>
  <r>
    <s v="T100477"/>
    <s v="2025-06-21"/>
    <s v="C6887"/>
    <s v="David"/>
    <s v="David"/>
    <s v="Male"/>
    <n v="30"/>
    <s v="Valid"/>
    <s v="PH"/>
    <x v="1"/>
    <s v="Electronics"/>
    <s v="Electronics"/>
    <s v="Phone"/>
    <s v="Phone"/>
    <n v="290.02999999999997"/>
    <n v="-2"/>
    <n v="1"/>
    <n v="15"/>
    <s v="Valid"/>
    <s v="Mobile Money"/>
    <s v="Mobile Money"/>
    <s v="Dan"/>
    <x v="0"/>
    <x v="1"/>
    <m/>
    <s v="ok"/>
    <n v="246.52549999999997"/>
  </r>
  <r>
    <s v="T100478"/>
    <s v="2025-05-11"/>
    <s v="C9088"/>
    <s v="Grace"/>
    <s v="Grace"/>
    <s v="Male"/>
    <n v="61"/>
    <s v="Valid"/>
    <s v="lagos"/>
    <x v="0"/>
    <s v="Beauty"/>
    <s v="Beauty"/>
    <s v="Cream"/>
    <s v="Cream"/>
    <n v="393.39"/>
    <n v="-2"/>
    <n v="1"/>
    <n v="15"/>
    <s v="Valid"/>
    <s v="Cash"/>
    <s v="Cash"/>
    <s v="Ben"/>
    <x v="3"/>
    <x v="0"/>
    <n v="3"/>
    <s v="ok"/>
    <n v="334.38149999999996"/>
  </r>
  <r>
    <s v="T100479"/>
    <s v="2025-05-22"/>
    <s v="C2771"/>
    <s v="Mary"/>
    <s v="Mary"/>
    <s v="Male"/>
    <n v="8"/>
    <s v="Invalid"/>
    <s v="Enugu"/>
    <x v="2"/>
    <s v="Home"/>
    <s v="Home"/>
    <s v="Chair"/>
    <s v="Chair"/>
    <n v="325.51"/>
    <n v="-2"/>
    <n v="1"/>
    <n v="5"/>
    <s v="Valid"/>
    <s v="Mobile Money"/>
    <s v="Mobile Money"/>
    <s v="Ada"/>
    <x v="2"/>
    <x v="3"/>
    <m/>
    <s v="ok"/>
    <n v="309.23449999999997"/>
  </r>
  <r>
    <s v="T100480"/>
    <s v="2025-11-05"/>
    <s v="C9649"/>
    <s v="  James "/>
    <s v="James"/>
    <s v="Male"/>
    <n v="46"/>
    <s v="Valid"/>
    <s v="PH"/>
    <x v="1"/>
    <s v="Groceries"/>
    <s v="Groceries"/>
    <s v="Rice"/>
    <s v="Rice"/>
    <n v="69.12"/>
    <n v="9"/>
    <n v="9"/>
    <n v="5"/>
    <s v="Valid"/>
    <s v="Transfer"/>
    <s v="Transfer"/>
    <s v="Ada"/>
    <x v="2"/>
    <x v="0"/>
    <n v="5"/>
    <s v="ok"/>
    <n v="590.976"/>
  </r>
  <r>
    <s v="T100481"/>
    <s v="2026-06-18"/>
    <s v="C9983"/>
    <s v="Aisha"/>
    <s v="Aisha"/>
    <s v="Female"/>
    <n v="40"/>
    <s v="Valid"/>
    <s v="lagos"/>
    <x v="0"/>
    <s v="groceris"/>
    <s v="Groceris"/>
    <s v="Rice"/>
    <s v="Rice"/>
    <n v="98.03"/>
    <n v="9"/>
    <n v="9"/>
    <n v="10"/>
    <s v="Valid"/>
    <s v="Cash"/>
    <s v="Cash"/>
    <s v="Ada"/>
    <x v="2"/>
    <x v="3"/>
    <n v="4"/>
    <s v="ok"/>
    <n v="794.04300000000001"/>
  </r>
  <r>
    <s v="T100482"/>
    <s v="2025-12-01"/>
    <s v="C3313"/>
    <s v="Peter"/>
    <s v="Peter"/>
    <s v="Male"/>
    <n v="130"/>
    <s v="Invalid"/>
    <s v="lagos"/>
    <x v="0"/>
    <s v="Groceries"/>
    <s v="Groceries"/>
    <s v="Rice"/>
    <s v="Rice"/>
    <n v="408.09"/>
    <n v="3"/>
    <n v="3"/>
    <n v="5"/>
    <s v="Valid"/>
    <s v="POS"/>
    <s v="Pos"/>
    <s v="Chi"/>
    <x v="1"/>
    <x v="1"/>
    <m/>
    <s v="ok"/>
    <n v="1163.0564999999999"/>
  </r>
  <r>
    <s v="T100483"/>
    <s v="03/10/2025"/>
    <s v="C9780"/>
    <s v="  James "/>
    <s v="James"/>
    <s v="Male"/>
    <n v="130"/>
    <s v="Invalid"/>
    <s v="Abuja"/>
    <x v="3"/>
    <s v="Home"/>
    <s v="Home"/>
    <s v="Chair"/>
    <s v="Chair"/>
    <n v="479.95"/>
    <n v="-2"/>
    <n v="1"/>
    <n v="0"/>
    <s v="Valid"/>
    <s v="POS"/>
    <s v="Pos"/>
    <s v="Ben"/>
    <x v="3"/>
    <x v="0"/>
    <n v="2"/>
    <s v="ok"/>
    <n v="479.95"/>
  </r>
  <r>
    <s v="T100484"/>
    <s v="2025-12-30"/>
    <s v="C5609"/>
    <s v="John"/>
    <s v="John"/>
    <s v="Male"/>
    <n v="130"/>
    <s v="Invalid"/>
    <s v="lagos"/>
    <x v="0"/>
    <s v="Fashion"/>
    <s v="Fashion"/>
    <s v="Shirt"/>
    <s v="Shirt"/>
    <n v="175.71"/>
    <n v="-2"/>
    <n v="1"/>
    <n v="5"/>
    <s v="Valid"/>
    <s v="Transfer"/>
    <s v="Transfer"/>
    <s v="Dan"/>
    <x v="0"/>
    <x v="1"/>
    <n v="3"/>
    <s v="ok"/>
    <n v="166.92449999999999"/>
  </r>
  <r>
    <s v="T100485"/>
    <s v="2026-02-05"/>
    <s v="C5330"/>
    <s v="  James "/>
    <s v="James"/>
    <s v="Female"/>
    <n v="8"/>
    <s v="Invalid"/>
    <s v="Abuja"/>
    <x v="3"/>
    <s v="Fashion"/>
    <s v="Fashion"/>
    <s v="Shirt"/>
    <s v="Shirt"/>
    <n v="84.71"/>
    <n v="-2"/>
    <n v="1"/>
    <n v="120"/>
    <s v="invalid"/>
    <s v="Mobile Money"/>
    <s v="Mobile Money"/>
    <s v="Ada"/>
    <x v="2"/>
    <x v="0"/>
    <m/>
    <s v="ok"/>
    <n v="-16.941999999999997"/>
  </r>
  <r>
    <s v="T100486"/>
    <s v="2025-02-11"/>
    <s v="C8309"/>
    <s v="Mary"/>
    <s v="Mary"/>
    <s v="Female"/>
    <n v="42"/>
    <s v="Valid"/>
    <s v="PH"/>
    <x v="1"/>
    <s v="Fashion"/>
    <s v="Fashion"/>
    <s v="Shirt"/>
    <s v="Shirt"/>
    <n v="487.48"/>
    <n v="-2"/>
    <n v="1"/>
    <n v="-10"/>
    <s v="invalid"/>
    <s v="POS"/>
    <s v="Pos"/>
    <s v="Ada"/>
    <x v="2"/>
    <x v="1"/>
    <n v="5"/>
    <s v="ok"/>
    <n v="536.22800000000007"/>
  </r>
  <r>
    <s v="T100487"/>
    <s v="2026-04-16"/>
    <s v="C7815"/>
    <s v="Grace"/>
    <s v="Grace"/>
    <s v="Male"/>
    <n v="23"/>
    <s v="Valid"/>
    <s v="Abuja"/>
    <x v="3"/>
    <s v="Beauty"/>
    <s v="Beauty"/>
    <s v="Cream"/>
    <s v="Cream"/>
    <n v="143.28"/>
    <n v="8"/>
    <n v="8"/>
    <n v="0"/>
    <s v="Valid"/>
    <s v="POS"/>
    <s v="Pos"/>
    <s v="Chi"/>
    <x v="1"/>
    <x v="3"/>
    <n v="3"/>
    <s v="ok"/>
    <n v="1146.24"/>
  </r>
  <r>
    <s v="T100488"/>
    <s v="2026-01-19"/>
    <s v="C7758"/>
    <s v="Grace"/>
    <s v="Grace"/>
    <s v="Female"/>
    <n v="130"/>
    <s v="Invalid"/>
    <s v="lagos"/>
    <x v="0"/>
    <s v="Beauty"/>
    <s v="Beauty"/>
    <s v="Cream"/>
    <s v="Cream"/>
    <n v="384.73"/>
    <n v="4"/>
    <n v="4"/>
    <n v="5"/>
    <s v="Valid"/>
    <s v="POS"/>
    <s v="Pos"/>
    <s v="Ada"/>
    <x v="2"/>
    <x v="0"/>
    <n v="2"/>
    <s v="ok"/>
    <n v="1461.9739999999999"/>
  </r>
  <r>
    <s v="T100489"/>
    <s v="2025-04-03"/>
    <s v="C1967"/>
    <s v="  James "/>
    <s v="James"/>
    <s v="Male"/>
    <n v="8"/>
    <s v="Invalid"/>
    <s v="Kano"/>
    <x v="4"/>
    <s v="Groceries"/>
    <s v="Groceries"/>
    <s v="Rice"/>
    <s v="Rice"/>
    <n v="17.07"/>
    <n v="-2"/>
    <n v="1"/>
    <n v="0"/>
    <s v="Valid"/>
    <s v="POS"/>
    <s v="Pos"/>
    <s v="Dan"/>
    <x v="0"/>
    <x v="0"/>
    <n v="4"/>
    <s v="ok"/>
    <n v="17.07"/>
  </r>
  <r>
    <s v="T100490"/>
    <s v="25/05/2026"/>
    <s v="C6490"/>
    <s v="David"/>
    <s v="David"/>
    <s v="Male"/>
    <n v="130"/>
    <s v="Invalid"/>
    <s v="lagos"/>
    <x v="0"/>
    <s v="groceris"/>
    <s v="Groceris"/>
    <s v="Rice"/>
    <s v="Rice"/>
    <n v="419.55"/>
    <n v="9"/>
    <n v="9"/>
    <n v="10"/>
    <s v="Valid"/>
    <s v="Transfer"/>
    <s v="Transfer"/>
    <s v="Chi"/>
    <x v="1"/>
    <x v="1"/>
    <m/>
    <s v="ok"/>
    <n v="3398.3550000000005"/>
  </r>
  <r>
    <s v="T100491"/>
    <s v="2025-11-13"/>
    <s v="C1706"/>
    <s v="  James "/>
    <s v="James"/>
    <s v="Female"/>
    <n v="130"/>
    <s v="Invalid"/>
    <s v="lagos"/>
    <x v="0"/>
    <s v="groceris"/>
    <s v="Groceris"/>
    <s v="Rice"/>
    <s v="Rice"/>
    <n v="440.15"/>
    <n v="-2"/>
    <n v="1"/>
    <n v="0"/>
    <s v="Valid"/>
    <m/>
    <s v=""/>
    <s v="Ben"/>
    <x v="3"/>
    <x v="3"/>
    <n v="5"/>
    <s v="ok"/>
    <n v="440.15"/>
  </r>
  <r>
    <s v="T100492"/>
    <s v="2026-06-20"/>
    <s v="C2803"/>
    <s v="Mary"/>
    <s v="Mary"/>
    <s v="Male"/>
    <n v="8"/>
    <s v="Invalid"/>
    <s v="Kano"/>
    <x v="4"/>
    <s v="Fashion"/>
    <s v="Fashion"/>
    <s v="Shirt"/>
    <s v="Shirt"/>
    <n v="208.08"/>
    <n v="-2"/>
    <n v="1"/>
    <n v="15"/>
    <s v="Valid"/>
    <s v="Mobile Money"/>
    <s v="Mobile Money"/>
    <s v="Chi"/>
    <x v="1"/>
    <x v="1"/>
    <n v="5"/>
    <s v="ok"/>
    <n v="176.86799999999999"/>
  </r>
  <r>
    <s v="T100493"/>
    <s v="2025-05-19"/>
    <s v="C2395"/>
    <s v="Aisha"/>
    <s v="Aisha"/>
    <s v="Female"/>
    <n v="130"/>
    <s v="Invalid"/>
    <s v="lagos"/>
    <x v="0"/>
    <s v="Groceries"/>
    <s v="Groceries"/>
    <s v="Rice"/>
    <s v="Rice"/>
    <n v="291.11"/>
    <n v="6"/>
    <n v="6"/>
    <n v="5"/>
    <s v="Valid"/>
    <s v="Transfer"/>
    <s v="Transfer"/>
    <s v="Dan"/>
    <x v="0"/>
    <x v="0"/>
    <n v="3"/>
    <s v="ok"/>
    <n v="1659.327"/>
  </r>
  <r>
    <s v="T100494"/>
    <s v="2025-03-03"/>
    <s v="C5852"/>
    <s v="John"/>
    <s v="John"/>
    <s v="Male"/>
    <n v="53"/>
    <s v="Valid"/>
    <s v="PH"/>
    <x v="1"/>
    <s v="Home"/>
    <s v="Home"/>
    <s v="Chair"/>
    <s v="Chair"/>
    <n v="187.63"/>
    <n v="3"/>
    <n v="3"/>
    <n v="10"/>
    <s v="Valid"/>
    <s v="Transfer"/>
    <s v="Transfer"/>
    <s v="Ada"/>
    <x v="2"/>
    <x v="1"/>
    <n v="2"/>
    <s v="ok"/>
    <n v="506.601"/>
  </r>
  <r>
    <s v="T100495"/>
    <s v="2025-02-27"/>
    <s v="C2165"/>
    <s v="David"/>
    <s v="David"/>
    <s v="Male"/>
    <n v="130"/>
    <s v="Invalid"/>
    <s v="Kano"/>
    <x v="4"/>
    <s v="Beauty"/>
    <s v="Beauty"/>
    <s v="Cream"/>
    <s v="Cream"/>
    <n v="249.72"/>
    <n v="3"/>
    <n v="3"/>
    <n v="-10"/>
    <s v="invalid"/>
    <m/>
    <s v=""/>
    <s v="Dan"/>
    <x v="0"/>
    <x v="0"/>
    <n v="2"/>
    <s v="ok"/>
    <n v="824.07600000000002"/>
  </r>
  <r>
    <s v="T100496"/>
    <s v="2026-04-26"/>
    <s v="C4059"/>
    <s v="Grace"/>
    <s v="Grace"/>
    <s v="Male"/>
    <n v="130"/>
    <s v="Invalid"/>
    <s v="Enugu"/>
    <x v="2"/>
    <s v="Home"/>
    <s v="Home"/>
    <s v="Chair"/>
    <s v="Chair"/>
    <n v="318.35000000000002"/>
    <n v="-2"/>
    <n v="1"/>
    <n v="5"/>
    <s v="Valid"/>
    <m/>
    <s v=""/>
    <s v="Dan"/>
    <x v="0"/>
    <x v="1"/>
    <n v="3"/>
    <s v="ok"/>
    <n v="302.4325"/>
  </r>
  <r>
    <s v="T100497"/>
    <s v="21/03/2026"/>
    <s v="C4015"/>
    <s v="David"/>
    <s v="David"/>
    <s v="Female"/>
    <n v="130"/>
    <s v="Invalid"/>
    <s v="lagos"/>
    <x v="0"/>
    <s v="groceris"/>
    <s v="Groceris"/>
    <s v="Rice"/>
    <s v="Rice"/>
    <n v="404.64"/>
    <n v="9"/>
    <n v="9"/>
    <n v="120"/>
    <s v="invalid"/>
    <s v="Mobile Money"/>
    <s v="Mobile Money"/>
    <s v="Ada"/>
    <x v="2"/>
    <x v="3"/>
    <n v="4"/>
    <s v="ok"/>
    <n v="-728.35199999999975"/>
  </r>
  <r>
    <s v="T100498"/>
    <s v="2025-02-01"/>
    <s v="C5319"/>
    <s v="Peter"/>
    <s v="Peter"/>
    <s v="Male"/>
    <n v="130"/>
    <s v="Invalid"/>
    <s v="lagos"/>
    <x v="0"/>
    <s v="Fashion"/>
    <s v="Fashion"/>
    <s v="Shirt"/>
    <s v="Shirt"/>
    <n v="302.69"/>
    <n v="2"/>
    <n v="2"/>
    <n v="5"/>
    <s v="Valid"/>
    <s v="Cash"/>
    <s v="Cash"/>
    <s v="Dan"/>
    <x v="0"/>
    <x v="2"/>
    <n v="5"/>
    <s v="ok"/>
    <n v="575.11099999999999"/>
  </r>
  <r>
    <s v="T100499"/>
    <s v="2025-04-11"/>
    <s v="C7447"/>
    <s v="Aisha"/>
    <s v="Aisha"/>
    <s v="Male"/>
    <n v="130"/>
    <s v="Invalid"/>
    <s v="PH"/>
    <x v="1"/>
    <s v="Fashion"/>
    <s v="Fashion"/>
    <s v="Shirt"/>
    <s v="Shirt"/>
    <n v="403.91"/>
    <n v="-2"/>
    <n v="1"/>
    <n v="10"/>
    <s v="Valid"/>
    <s v="Mobile Money"/>
    <s v="Mobile Money"/>
    <s v="Ben"/>
    <x v="3"/>
    <x v="2"/>
    <n v="4"/>
    <s v="ok"/>
    <n v="363.51900000000001"/>
  </r>
  <r>
    <s v="T100501"/>
    <s v="2026-06-06"/>
    <s v="C4792"/>
    <s v="Peter"/>
    <s v="Peter"/>
    <s v="Female"/>
    <n v="29"/>
    <s v="Valid"/>
    <s v="Kano"/>
    <x v="4"/>
    <s v="Beauty"/>
    <s v="Beauty"/>
    <s v="Cream"/>
    <s v="Cream"/>
    <n v="389.77"/>
    <n v="-2"/>
    <n v="1"/>
    <n v="120"/>
    <s v="invalid"/>
    <s v="Mobile Money"/>
    <s v="Mobile Money"/>
    <s v="Chi"/>
    <x v="1"/>
    <x v="3"/>
    <n v="3"/>
    <s v="ok"/>
    <n v="-77.953999999999979"/>
  </r>
  <r>
    <s v="T100502"/>
    <s v="2025-01-24"/>
    <s v="C1096"/>
    <s v="John"/>
    <s v="John"/>
    <s v="Female"/>
    <n v="8"/>
    <s v="Invalid"/>
    <s v="lagos"/>
    <x v="0"/>
    <s v="Home"/>
    <s v="Home"/>
    <s v="Chair"/>
    <s v="Chair"/>
    <n v="265.94"/>
    <n v="-2"/>
    <n v="1"/>
    <n v="5"/>
    <s v="Valid"/>
    <s v="Mobile Money"/>
    <s v="Mobile Money"/>
    <s v="Ben"/>
    <x v="3"/>
    <x v="1"/>
    <n v="5"/>
    <s v="ok"/>
    <n v="252.64299999999997"/>
  </r>
  <r>
    <s v="T100503"/>
    <s v="2025-06-18"/>
    <s v="C4604"/>
    <s v="John"/>
    <s v="John"/>
    <s v="Male"/>
    <n v="30"/>
    <s v="Valid"/>
    <s v="lagos"/>
    <x v="0"/>
    <s v="Fashion"/>
    <s v="Fashion"/>
    <s v="Shirt"/>
    <s v="Shirt"/>
    <n v="195.95"/>
    <n v="-2"/>
    <n v="1"/>
    <n v="-10"/>
    <s v="invalid"/>
    <m/>
    <s v=""/>
    <s v="Ben"/>
    <x v="3"/>
    <x v="3"/>
    <n v="4"/>
    <s v="ok"/>
    <n v="215.54500000000002"/>
  </r>
  <r>
    <s v="T100504"/>
    <s v="07/02/2026"/>
    <s v="C7317"/>
    <m/>
    <s v=""/>
    <s v="Male"/>
    <n v="54"/>
    <s v="Valid"/>
    <s v="Kano"/>
    <x v="4"/>
    <s v="Beauty"/>
    <s v="Beauty"/>
    <s v="Cream"/>
    <s v="Cream"/>
    <n v="282.18"/>
    <n v="1"/>
    <n v="1"/>
    <n v="5"/>
    <s v="Valid"/>
    <s v="Mobile Money"/>
    <s v="Mobile Money"/>
    <s v="Chi"/>
    <x v="1"/>
    <x v="0"/>
    <n v="5"/>
    <s v="Missing"/>
    <n v="268.07099999999997"/>
  </r>
  <r>
    <s v="T100505"/>
    <s v="2025-09-10"/>
    <s v="C8199"/>
    <s v="Aisha"/>
    <s v="Aisha"/>
    <s v="Male"/>
    <n v="130"/>
    <s v="Invalid"/>
    <s v="lagos"/>
    <x v="0"/>
    <s v="Fashion"/>
    <s v="Fashion"/>
    <s v="Shirt"/>
    <s v="Shirt"/>
    <n v="42.96"/>
    <n v="6"/>
    <n v="6"/>
    <n v="-10"/>
    <s v="invalid"/>
    <s v="Cash"/>
    <s v="Cash"/>
    <s v="Dan"/>
    <x v="0"/>
    <x v="3"/>
    <n v="1"/>
    <s v="ok"/>
    <n v="283.536"/>
  </r>
  <r>
    <s v="T100506"/>
    <s v="2026-01-06"/>
    <s v="C3057"/>
    <s v="Aisha"/>
    <s v="Aisha"/>
    <s v="Male"/>
    <n v="39"/>
    <s v="Valid"/>
    <s v="Kano"/>
    <x v="4"/>
    <s v="Home"/>
    <s v="Home"/>
    <s v="Chair"/>
    <s v="Chair"/>
    <n v="264.02"/>
    <n v="-2"/>
    <n v="1"/>
    <n v="15"/>
    <s v="Valid"/>
    <m/>
    <s v=""/>
    <s v="Dan"/>
    <x v="0"/>
    <x v="1"/>
    <n v="2"/>
    <s v="ok"/>
    <n v="224.41699999999997"/>
  </r>
  <r>
    <s v="T100507"/>
    <s v="2026-04-18"/>
    <s v="C8205"/>
    <s v="  James "/>
    <s v="James"/>
    <s v="Male"/>
    <n v="130"/>
    <s v="Invalid"/>
    <s v="lagos"/>
    <x v="0"/>
    <s v="Home"/>
    <s v="Home"/>
    <s v="Chair"/>
    <s v="Chair"/>
    <n v="168.39"/>
    <n v="-2"/>
    <n v="1"/>
    <n v="-10"/>
    <s v="invalid"/>
    <s v="Transfer"/>
    <s v="Transfer"/>
    <s v="Ada"/>
    <x v="2"/>
    <x v="2"/>
    <n v="5"/>
    <s v="ok"/>
    <n v="185.22900000000001"/>
  </r>
  <r>
    <s v="T100508"/>
    <s v="2025-04-24"/>
    <s v="C2937"/>
    <s v="Aisha"/>
    <s v="Aisha"/>
    <s v="Male"/>
    <n v="130"/>
    <s v="Invalid"/>
    <s v="lagos"/>
    <x v="0"/>
    <s v="Sports"/>
    <s v="Sports"/>
    <s v="Ball"/>
    <s v="Ball"/>
    <n v="181.96"/>
    <n v="-2"/>
    <n v="1"/>
    <n v="15"/>
    <s v="Valid"/>
    <s v="POS"/>
    <s v="Pos"/>
    <s v="Ben"/>
    <x v="3"/>
    <x v="0"/>
    <n v="3"/>
    <s v="ok"/>
    <n v="154.666"/>
  </r>
  <r>
    <s v="T100509"/>
    <s v="2026-04-11"/>
    <s v="C7781"/>
    <s v="Aisha"/>
    <s v="Aisha"/>
    <s v="Male"/>
    <n v="8"/>
    <s v="Invalid"/>
    <s v="lagos"/>
    <x v="0"/>
    <s v="Groceries"/>
    <s v="Groceries"/>
    <s v="Rice"/>
    <s v="Rice"/>
    <n v="356.65"/>
    <n v="-2"/>
    <n v="1"/>
    <n v="-10"/>
    <s v="invalid"/>
    <m/>
    <s v=""/>
    <s v="Ben"/>
    <x v="3"/>
    <x v="1"/>
    <n v="4"/>
    <s v="ok"/>
    <n v="392.315"/>
  </r>
  <r>
    <s v="T100510"/>
    <s v="2025-06-03"/>
    <s v="C5606"/>
    <s v="David"/>
    <s v="David"/>
    <s v="Female"/>
    <n v="51"/>
    <s v="Valid"/>
    <s v="lagos"/>
    <x v="0"/>
    <s v="Electronics"/>
    <s v="Electronics"/>
    <s v="Phone"/>
    <s v="Phone"/>
    <n v="43.68"/>
    <n v="5"/>
    <n v="5"/>
    <n v="-10"/>
    <s v="invalid"/>
    <s v="Transfer"/>
    <s v="Transfer"/>
    <s v="Ada"/>
    <x v="2"/>
    <x v="2"/>
    <n v="1"/>
    <s v="ok"/>
    <n v="240.24000000000004"/>
  </r>
  <r>
    <s v="T100511"/>
    <s v="17/03/2026"/>
    <s v="C1369"/>
    <s v="Peter"/>
    <s v="Peter"/>
    <s v="Male"/>
    <n v="8"/>
    <s v="Invalid"/>
    <s v="lagos"/>
    <x v="0"/>
    <s v="Home"/>
    <s v="Home"/>
    <s v="Chair"/>
    <s v="Chair"/>
    <n v="181.63"/>
    <n v="9"/>
    <n v="9"/>
    <n v="10"/>
    <s v="Valid"/>
    <m/>
    <s v=""/>
    <s v="Ada"/>
    <x v="2"/>
    <x v="2"/>
    <m/>
    <s v="ok"/>
    <n v="1471.2030000000002"/>
  </r>
  <r>
    <s v="T100512"/>
    <s v="2025-04-19"/>
    <s v="C6574"/>
    <s v="David"/>
    <s v="David"/>
    <s v="Female"/>
    <n v="130"/>
    <s v="Invalid"/>
    <s v="Enugu"/>
    <x v="2"/>
    <s v="Fashion"/>
    <s v="Fashion"/>
    <s v="Shirt"/>
    <s v="Shirt"/>
    <n v="292.29000000000002"/>
    <n v="1"/>
    <n v="1"/>
    <n v="-10"/>
    <s v="invalid"/>
    <s v="Mobile Money"/>
    <s v="Mobile Money"/>
    <s v="Dan"/>
    <x v="0"/>
    <x v="0"/>
    <n v="2"/>
    <s v="ok"/>
    <n v="321.51900000000006"/>
  </r>
  <r>
    <s v="T100513"/>
    <s v="2026-05-09"/>
    <s v="C9488"/>
    <s v="Peter"/>
    <s v="Peter"/>
    <s v="Female"/>
    <n v="44"/>
    <s v="Valid"/>
    <s v="Kano"/>
    <x v="4"/>
    <s v="Beauty"/>
    <s v="Beauty"/>
    <s v="Cream"/>
    <s v="Cream"/>
    <n v="323.08"/>
    <n v="6"/>
    <n v="6"/>
    <n v="5"/>
    <s v="Valid"/>
    <s v="Transfer"/>
    <s v="Transfer"/>
    <s v="Chi"/>
    <x v="1"/>
    <x v="0"/>
    <n v="5"/>
    <s v="ok"/>
    <n v="1841.556"/>
  </r>
  <r>
    <s v="T100514"/>
    <s v="2025-03-31"/>
    <s v="C3777"/>
    <m/>
    <s v=""/>
    <s v="Female"/>
    <n v="8"/>
    <s v="Invalid"/>
    <s v="Kano"/>
    <x v="4"/>
    <s v="Electronics"/>
    <s v="Electronics"/>
    <s v="Phone"/>
    <s v="Phone"/>
    <n v="368"/>
    <n v="5"/>
    <n v="5"/>
    <n v="120"/>
    <s v="invalid"/>
    <s v="Transfer"/>
    <s v="Transfer"/>
    <s v="Chi"/>
    <x v="1"/>
    <x v="3"/>
    <n v="3"/>
    <s v="Missing"/>
    <n v="-367.99999999999994"/>
  </r>
  <r>
    <s v="T100515"/>
    <s v="2025-11-01"/>
    <s v="C2140"/>
    <m/>
    <s v=""/>
    <s v="Female"/>
    <n v="8"/>
    <s v="Invalid"/>
    <s v="lagos"/>
    <x v="0"/>
    <s v="Groceries"/>
    <s v="Groceries"/>
    <s v="Rice"/>
    <s v="Rice"/>
    <n v="79.599999999999994"/>
    <n v="7"/>
    <n v="7"/>
    <n v="120"/>
    <s v="invalid"/>
    <s v="Transfer"/>
    <s v="Transfer"/>
    <s v="Ada"/>
    <x v="2"/>
    <x v="3"/>
    <n v="3"/>
    <s v="Missing"/>
    <n v="-111.43999999999996"/>
  </r>
  <r>
    <s v="T100516"/>
    <s v="2025-05-30"/>
    <s v="C2000"/>
    <s v="Peter"/>
    <s v="Peter"/>
    <s v="Female"/>
    <n v="8"/>
    <s v="Invalid"/>
    <s v="Enugu"/>
    <x v="2"/>
    <s v="Home"/>
    <s v="Home"/>
    <s v="Chair"/>
    <s v="Chair"/>
    <n v="129.43"/>
    <n v="-2"/>
    <n v="1"/>
    <n v="0"/>
    <s v="Valid"/>
    <s v="Cash"/>
    <s v="Cash"/>
    <s v="Chi"/>
    <x v="1"/>
    <x v="3"/>
    <n v="1"/>
    <s v="ok"/>
    <n v="129.43"/>
  </r>
  <r>
    <s v="T100517"/>
    <s v="2025-11-04"/>
    <s v="C7241"/>
    <s v="John"/>
    <s v="John"/>
    <s v="Male"/>
    <n v="8"/>
    <s v="Invalid"/>
    <s v="PH"/>
    <x v="1"/>
    <s v="Fashion"/>
    <s v="Fashion"/>
    <s v="Shirt"/>
    <s v="Shirt"/>
    <n v="412.96"/>
    <n v="-2"/>
    <n v="1"/>
    <n v="10"/>
    <s v="Valid"/>
    <m/>
    <s v=""/>
    <s v="Dan"/>
    <x v="0"/>
    <x v="1"/>
    <m/>
    <s v="ok"/>
    <n v="371.66399999999999"/>
  </r>
  <r>
    <s v="T100518"/>
    <s v="19/01/2026"/>
    <s v="C9745"/>
    <s v="David"/>
    <s v="David"/>
    <s v="Female"/>
    <n v="39"/>
    <s v="Valid"/>
    <s v="PH"/>
    <x v="1"/>
    <s v="Electronics"/>
    <s v="Electronics"/>
    <s v="Phone"/>
    <s v="Phone"/>
    <n v="452.42"/>
    <n v="6"/>
    <n v="6"/>
    <n v="10"/>
    <s v="Valid"/>
    <s v="Transfer"/>
    <s v="Transfer"/>
    <s v="Ben"/>
    <x v="3"/>
    <x v="3"/>
    <n v="1"/>
    <s v="ok"/>
    <n v="2443.0680000000002"/>
  </r>
  <r>
    <s v="T100519"/>
    <s v="2025-06-23"/>
    <s v="C8409"/>
    <s v="Aisha"/>
    <s v="Aisha"/>
    <s v="Female"/>
    <n v="8"/>
    <s v="Invalid"/>
    <s v="PH"/>
    <x v="1"/>
    <s v="Beauty"/>
    <s v="Beauty"/>
    <s v="Cream"/>
    <s v="Cream"/>
    <n v="110.87"/>
    <n v="6"/>
    <n v="6"/>
    <n v="120"/>
    <s v="invalid"/>
    <m/>
    <s v=""/>
    <s v="Ada"/>
    <x v="2"/>
    <x v="2"/>
    <n v="4"/>
    <s v="ok"/>
    <n v="-133.04399999999998"/>
  </r>
  <r>
    <s v="T100520"/>
    <s v="2026-05-11"/>
    <s v="C3161"/>
    <s v="David"/>
    <s v="David"/>
    <s v="Male"/>
    <n v="44"/>
    <s v="Valid"/>
    <s v="PH"/>
    <x v="1"/>
    <s v="Sports"/>
    <s v="Sports"/>
    <s v="Ball"/>
    <s v="Ball"/>
    <n v="13.84"/>
    <n v="-2"/>
    <n v="1"/>
    <n v="10"/>
    <s v="Valid"/>
    <s v="Mobile Money"/>
    <s v="Mobile Money"/>
    <s v="Dan"/>
    <x v="0"/>
    <x v="2"/>
    <m/>
    <s v="ok"/>
    <n v="12.456"/>
  </r>
  <r>
    <s v="T100521"/>
    <s v="2025-09-12"/>
    <s v="C3415"/>
    <s v="David"/>
    <s v="David"/>
    <s v="Female"/>
    <n v="8"/>
    <s v="Invalid"/>
    <s v="Enugu"/>
    <x v="2"/>
    <s v="Fashion"/>
    <s v="Fashion"/>
    <s v="Shirt"/>
    <s v="Shirt"/>
    <n v="205.07"/>
    <n v="-2"/>
    <n v="1"/>
    <n v="-10"/>
    <s v="invalid"/>
    <s v="Mobile Money"/>
    <s v="Mobile Money"/>
    <s v="Ada"/>
    <x v="2"/>
    <x v="2"/>
    <n v="2"/>
    <s v="ok"/>
    <n v="225.577"/>
  </r>
  <r>
    <s v="T100522"/>
    <s v="2026-04-05"/>
    <s v="C9348"/>
    <s v="Grace"/>
    <s v="Grace"/>
    <s v="Male"/>
    <n v="8"/>
    <s v="Invalid"/>
    <s v="Abuja"/>
    <x v="3"/>
    <s v="Fashion"/>
    <s v="Fashion"/>
    <s v="Shirt"/>
    <s v="Shirt"/>
    <n v="246.19"/>
    <n v="-2"/>
    <n v="1"/>
    <n v="10"/>
    <s v="Valid"/>
    <s v="Mobile Money"/>
    <s v="Mobile Money"/>
    <s v="Chi"/>
    <x v="1"/>
    <x v="1"/>
    <n v="3"/>
    <s v="ok"/>
    <n v="221.571"/>
  </r>
  <r>
    <s v="T100523"/>
    <s v="2025-11-30"/>
    <s v="C5505"/>
    <s v="Peter"/>
    <s v="Peter"/>
    <s v="Male"/>
    <n v="130"/>
    <s v="Invalid"/>
    <s v="Abuja"/>
    <x v="3"/>
    <s v="Electronics"/>
    <s v="Electronics"/>
    <s v="Phone"/>
    <s v="Phone"/>
    <n v="241.11"/>
    <n v="10"/>
    <n v="10"/>
    <n v="120"/>
    <s v="invalid"/>
    <s v="Mobile Money"/>
    <s v="Mobile Money"/>
    <s v="Dan"/>
    <x v="0"/>
    <x v="3"/>
    <n v="1"/>
    <s v="ok"/>
    <n v="-482.21999999999997"/>
  </r>
  <r>
    <s v="T100524"/>
    <s v="2025-10-25"/>
    <s v="C5936"/>
    <s v="Grace"/>
    <s v="Grace"/>
    <s v="Male"/>
    <n v="8"/>
    <s v="Invalid"/>
    <s v="Kano"/>
    <x v="4"/>
    <s v="Home"/>
    <s v="Home"/>
    <s v="Chair"/>
    <s v="Chair"/>
    <n v="316.27"/>
    <n v="-2"/>
    <n v="1"/>
    <n v="0"/>
    <s v="Valid"/>
    <m/>
    <s v=""/>
    <s v="Chi"/>
    <x v="1"/>
    <x v="0"/>
    <n v="3"/>
    <s v="ok"/>
    <n v="316.27"/>
  </r>
  <r>
    <s v="T100525"/>
    <s v="31/05/2026"/>
    <s v="C5696"/>
    <s v="  James "/>
    <s v="James"/>
    <s v="Female"/>
    <n v="130"/>
    <s v="Invalid"/>
    <s v="Enugu"/>
    <x v="2"/>
    <s v="groceris"/>
    <s v="Groceris"/>
    <s v="Rice"/>
    <s v="Rice"/>
    <n v="411.81"/>
    <n v="-2"/>
    <n v="1"/>
    <n v="0"/>
    <s v="Valid"/>
    <s v="Transfer"/>
    <s v="Transfer"/>
    <s v="Dan"/>
    <x v="0"/>
    <x v="2"/>
    <n v="2"/>
    <s v="ok"/>
    <n v="411.81"/>
  </r>
  <r>
    <s v="T100526"/>
    <s v="2025-01-20"/>
    <s v="C2254"/>
    <s v="John"/>
    <s v="John"/>
    <s v="Male"/>
    <n v="130"/>
    <s v="Invalid"/>
    <s v="Abuja"/>
    <x v="3"/>
    <s v="groceris"/>
    <s v="Groceris"/>
    <s v="Rice"/>
    <s v="Rice"/>
    <n v="116.56"/>
    <n v="-2"/>
    <n v="1"/>
    <n v="-10"/>
    <s v="invalid"/>
    <s v="Cash"/>
    <s v="Cash"/>
    <s v="Ben"/>
    <x v="3"/>
    <x v="2"/>
    <m/>
    <s v="ok"/>
    <n v="128.21600000000001"/>
  </r>
  <r>
    <s v="T100527"/>
    <s v="2026-01-27"/>
    <s v="C6251"/>
    <s v="Peter"/>
    <s v="Peter"/>
    <s v="Female"/>
    <n v="8"/>
    <s v="Invalid"/>
    <s v="Enugu"/>
    <x v="2"/>
    <s v="Fashion"/>
    <s v="Fashion"/>
    <s v="Shirt"/>
    <s v="Shirt"/>
    <n v="156.19"/>
    <n v="5"/>
    <n v="5"/>
    <n v="-10"/>
    <s v="invalid"/>
    <s v="Mobile Money"/>
    <s v="Mobile Money"/>
    <s v="Chi"/>
    <x v="1"/>
    <x v="2"/>
    <n v="1"/>
    <s v="ok"/>
    <n v="859.04500000000007"/>
  </r>
  <r>
    <s v="T100528"/>
    <s v="2025-11-08"/>
    <s v="C5502"/>
    <s v="Peter"/>
    <s v="Peter"/>
    <s v="Female"/>
    <n v="130"/>
    <s v="Invalid"/>
    <s v="PH"/>
    <x v="1"/>
    <s v="Home"/>
    <s v="Home"/>
    <s v="Chair"/>
    <s v="Chair"/>
    <n v="152.9"/>
    <n v="-2"/>
    <n v="1"/>
    <n v="0"/>
    <s v="Valid"/>
    <s v="POS"/>
    <s v="Pos"/>
    <s v="Ada"/>
    <x v="2"/>
    <x v="2"/>
    <m/>
    <s v="ok"/>
    <n v="152.9"/>
  </r>
  <r>
    <s v="T100529"/>
    <s v="2025-07-25"/>
    <s v="C8871"/>
    <s v="Mary"/>
    <s v="Mary"/>
    <s v="Male"/>
    <n v="130"/>
    <s v="Invalid"/>
    <s v="lagos"/>
    <x v="0"/>
    <s v="Groceries"/>
    <s v="Groceries"/>
    <s v="Rice"/>
    <s v="Rice"/>
    <n v="113.33"/>
    <n v="-2"/>
    <n v="1"/>
    <n v="120"/>
    <s v="invalid"/>
    <s v="POS"/>
    <s v="Pos"/>
    <s v="Ben"/>
    <x v="3"/>
    <x v="3"/>
    <n v="3"/>
    <s v="ok"/>
    <n v="-22.665999999999993"/>
  </r>
  <r>
    <s v="T100530"/>
    <s v="2025-10-04"/>
    <s v="C6283"/>
    <s v="John"/>
    <s v="John"/>
    <s v="Male"/>
    <n v="130"/>
    <s v="Invalid"/>
    <s v="Abuja"/>
    <x v="3"/>
    <s v="Groceries"/>
    <s v="Groceries"/>
    <s v="Rice"/>
    <s v="Rice"/>
    <n v="185.22"/>
    <n v="5"/>
    <n v="5"/>
    <n v="-10"/>
    <s v="invalid"/>
    <s v="Mobile Money"/>
    <s v="Mobile Money"/>
    <s v="Ada"/>
    <x v="2"/>
    <x v="2"/>
    <n v="4"/>
    <s v="ok"/>
    <n v="1018.7100000000002"/>
  </r>
  <r>
    <s v="T100531"/>
    <s v="2026-01-15"/>
    <s v="C5292"/>
    <s v="Aisha"/>
    <s v="Aisha"/>
    <s v="Female"/>
    <n v="41"/>
    <s v="Valid"/>
    <s v="PH"/>
    <x v="1"/>
    <s v="Fashion"/>
    <s v="Fashion"/>
    <s v="Shirt"/>
    <s v="Shirt"/>
    <n v="193.96"/>
    <n v="-2"/>
    <n v="1"/>
    <n v="15"/>
    <s v="Valid"/>
    <s v="POS"/>
    <s v="Pos"/>
    <s v="Ada"/>
    <x v="2"/>
    <x v="1"/>
    <n v="1"/>
    <s v="ok"/>
    <n v="164.86600000000001"/>
  </r>
  <r>
    <s v="T100532"/>
    <s v="13/02/2025"/>
    <s v="C3217"/>
    <s v="Peter"/>
    <s v="Peter"/>
    <s v="Female"/>
    <n v="27"/>
    <s v="Valid"/>
    <s v="Kano"/>
    <x v="4"/>
    <s v="groceris"/>
    <s v="Groceris"/>
    <s v="Rice"/>
    <s v="Rice"/>
    <n v="275.18"/>
    <n v="10"/>
    <n v="10"/>
    <n v="10"/>
    <s v="Valid"/>
    <s v="Mobile Money"/>
    <s v="Mobile Money"/>
    <s v="Chi"/>
    <x v="1"/>
    <x v="1"/>
    <n v="1"/>
    <s v="ok"/>
    <n v="2476.6200000000003"/>
  </r>
  <r>
    <s v="T100533"/>
    <s v="2026-06-06"/>
    <s v="C8975"/>
    <s v="Aisha"/>
    <s v="Aisha"/>
    <s v="Male"/>
    <n v="8"/>
    <s v="Invalid"/>
    <s v="Enugu"/>
    <x v="2"/>
    <s v="Sports"/>
    <s v="Sports"/>
    <s v="Ball"/>
    <s v="Ball"/>
    <n v="311.42"/>
    <n v="-2"/>
    <n v="1"/>
    <n v="5"/>
    <s v="Valid"/>
    <s v="Cash"/>
    <s v="Cash"/>
    <s v="Dan"/>
    <x v="0"/>
    <x v="1"/>
    <n v="4"/>
    <s v="ok"/>
    <n v="295.84899999999999"/>
  </r>
  <r>
    <s v="T100534"/>
    <s v="2026-01-16"/>
    <s v="C4153"/>
    <s v="Mary"/>
    <s v="Mary"/>
    <s v="Female"/>
    <n v="35"/>
    <s v="Valid"/>
    <s v="PH"/>
    <x v="1"/>
    <s v="Groceries"/>
    <s v="Groceries"/>
    <s v="Rice"/>
    <s v="Rice"/>
    <n v="487.62"/>
    <n v="7"/>
    <n v="7"/>
    <n v="5"/>
    <s v="Valid"/>
    <s v="Cash"/>
    <s v="Cash"/>
    <s v="Dan"/>
    <x v="0"/>
    <x v="3"/>
    <n v="3"/>
    <s v="ok"/>
    <n v="3242.6729999999998"/>
  </r>
  <r>
    <s v="T100535"/>
    <s v="2026-06-19"/>
    <s v="C8861"/>
    <m/>
    <s v=""/>
    <s v="Female"/>
    <n v="130"/>
    <s v="Invalid"/>
    <s v="Enugu"/>
    <x v="2"/>
    <s v="Sports"/>
    <s v="Sports"/>
    <s v="Ball"/>
    <s v="Ball"/>
    <n v="162.28"/>
    <n v="7"/>
    <n v="7"/>
    <n v="10"/>
    <s v="Valid"/>
    <s v="Transfer"/>
    <s v="Transfer"/>
    <s v="Ada"/>
    <x v="2"/>
    <x v="1"/>
    <m/>
    <s v="Missing"/>
    <n v="1022.364"/>
  </r>
  <r>
    <s v="T100536"/>
    <s v="2026-02-09"/>
    <s v="C9703"/>
    <s v="Aisha"/>
    <s v="Aisha"/>
    <s v="Male"/>
    <n v="49"/>
    <s v="Valid"/>
    <s v="PH"/>
    <x v="1"/>
    <s v="Electronics"/>
    <s v="Electronics"/>
    <s v="Phone"/>
    <s v="Phone"/>
    <n v="18.66"/>
    <n v="10"/>
    <n v="10"/>
    <n v="0"/>
    <s v="Valid"/>
    <s v="POS"/>
    <s v="Pos"/>
    <s v="Ada"/>
    <x v="2"/>
    <x v="2"/>
    <n v="4"/>
    <s v="ok"/>
    <n v="186.6"/>
  </r>
  <r>
    <s v="T100537"/>
    <s v="2025-04-18"/>
    <s v="C5013"/>
    <s v="  James "/>
    <s v="James"/>
    <s v="Male"/>
    <n v="8"/>
    <s v="Invalid"/>
    <s v="lagos"/>
    <x v="0"/>
    <s v="Sports"/>
    <s v="Sports"/>
    <s v="Ball"/>
    <s v="Ball"/>
    <n v="436.27"/>
    <n v="4"/>
    <n v="4"/>
    <n v="15"/>
    <s v="Valid"/>
    <m/>
    <s v=""/>
    <s v="Ada"/>
    <x v="2"/>
    <x v="1"/>
    <n v="3"/>
    <s v="ok"/>
    <n v="1483.318"/>
  </r>
  <r>
    <s v="T100538"/>
    <s v="2025-05-17"/>
    <s v="C8773"/>
    <s v="  James "/>
    <s v="James"/>
    <s v="Female"/>
    <n v="8"/>
    <s v="Invalid"/>
    <s v="lagos"/>
    <x v="0"/>
    <s v="Fashion"/>
    <s v="Fashion"/>
    <s v="Shirt"/>
    <s v="Shirt"/>
    <n v="489.5"/>
    <n v="-2"/>
    <n v="1"/>
    <n v="120"/>
    <s v="invalid"/>
    <s v="POS"/>
    <s v="Pos"/>
    <s v="Ben"/>
    <x v="3"/>
    <x v="0"/>
    <n v="4"/>
    <s v="ok"/>
    <n v="-97.899999999999977"/>
  </r>
  <r>
    <s v="T100539"/>
    <s v="24/06/2025"/>
    <s v="C5753"/>
    <s v="David"/>
    <s v="David"/>
    <s v="Female"/>
    <n v="18"/>
    <s v="Invalid"/>
    <s v="Abuja"/>
    <x v="3"/>
    <s v="Fashion"/>
    <s v="Fashion"/>
    <s v="Shirt"/>
    <s v="Shirt"/>
    <n v="105.44"/>
    <n v="9"/>
    <n v="9"/>
    <n v="120"/>
    <s v="invalid"/>
    <s v="Transfer"/>
    <s v="Transfer"/>
    <s v="Dan"/>
    <x v="0"/>
    <x v="0"/>
    <n v="4"/>
    <s v="ok"/>
    <n v="-189.79199999999997"/>
  </r>
  <r>
    <s v="T100540"/>
    <s v="2025-12-16"/>
    <s v="C8385"/>
    <m/>
    <s v=""/>
    <s v="Male"/>
    <n v="44"/>
    <s v="Valid"/>
    <s v="lagos"/>
    <x v="0"/>
    <s v="groceris"/>
    <s v="Groceris"/>
    <s v="Rice"/>
    <s v="Rice"/>
    <n v="7.49"/>
    <n v="-2"/>
    <n v="1"/>
    <n v="0"/>
    <s v="Valid"/>
    <s v="Mobile Money"/>
    <s v="Mobile Money"/>
    <s v="Ben"/>
    <x v="3"/>
    <x v="3"/>
    <n v="5"/>
    <s v="Missing"/>
    <n v="7.49"/>
  </r>
  <r>
    <s v="T100541"/>
    <s v="2025-02-13"/>
    <s v="C1997"/>
    <s v="David"/>
    <s v="David"/>
    <s v="Female"/>
    <n v="130"/>
    <s v="Invalid"/>
    <s v="lagos"/>
    <x v="0"/>
    <s v="Beauty"/>
    <s v="Beauty"/>
    <s v="Cream"/>
    <s v="Cream"/>
    <n v="454.55"/>
    <n v="5"/>
    <n v="5"/>
    <n v="5"/>
    <s v="Valid"/>
    <s v="Transfer"/>
    <s v="Transfer"/>
    <s v="Ben"/>
    <x v="3"/>
    <x v="0"/>
    <n v="1"/>
    <s v="ok"/>
    <n v="2159.1124999999997"/>
  </r>
  <r>
    <s v="T100542"/>
    <s v="2026-02-13"/>
    <s v="C4140"/>
    <m/>
    <s v=""/>
    <s v="Male"/>
    <n v="130"/>
    <s v="Invalid"/>
    <s v="Abuja"/>
    <x v="3"/>
    <s v="Sports"/>
    <s v="Sports"/>
    <s v="Ball"/>
    <s v="Ball"/>
    <n v="498.95"/>
    <n v="2"/>
    <n v="2"/>
    <n v="120"/>
    <s v="invalid"/>
    <s v="POS"/>
    <s v="Pos"/>
    <s v="Ben"/>
    <x v="3"/>
    <x v="2"/>
    <n v="3"/>
    <s v="Missing"/>
    <n v="-199.57999999999996"/>
  </r>
  <r>
    <s v="T100543"/>
    <s v="2025-11-06"/>
    <s v="C2289"/>
    <s v="Peter"/>
    <s v="Peter"/>
    <s v="Male"/>
    <n v="8"/>
    <s v="Invalid"/>
    <s v="Abuja"/>
    <x v="3"/>
    <s v="Beauty"/>
    <s v="Beauty"/>
    <s v="Cream"/>
    <s v="Cream"/>
    <n v="407.17"/>
    <n v="8"/>
    <n v="8"/>
    <n v="15"/>
    <s v="Valid"/>
    <s v="Transfer"/>
    <s v="Transfer"/>
    <s v="Ben"/>
    <x v="3"/>
    <x v="2"/>
    <n v="5"/>
    <s v="ok"/>
    <n v="2768.7559999999999"/>
  </r>
  <r>
    <s v="T100544"/>
    <s v="2025-12-18"/>
    <s v="C6875"/>
    <m/>
    <s v=""/>
    <s v="Female"/>
    <n v="50"/>
    <s v="Valid"/>
    <s v="Enugu"/>
    <x v="2"/>
    <s v="groceris"/>
    <s v="Groceris"/>
    <s v="Rice"/>
    <s v="Rice"/>
    <n v="356.41"/>
    <n v="3"/>
    <n v="3"/>
    <n v="5"/>
    <s v="Valid"/>
    <s v="Cash"/>
    <s v="Cash"/>
    <s v="Dan"/>
    <x v="0"/>
    <x v="2"/>
    <m/>
    <s v="Missing"/>
    <n v="1015.7685"/>
  </r>
  <r>
    <s v="T100545"/>
    <s v="2025-12-08"/>
    <s v="C5630"/>
    <s v="David"/>
    <s v="David"/>
    <s v="Female"/>
    <n v="8"/>
    <s v="Invalid"/>
    <s v="Abuja"/>
    <x v="3"/>
    <s v="Home"/>
    <s v="Home"/>
    <s v="Chair"/>
    <s v="Chair"/>
    <n v="291.75"/>
    <n v="5"/>
    <n v="5"/>
    <n v="10"/>
    <s v="Valid"/>
    <s v="Transfer"/>
    <s v="Transfer"/>
    <s v="Ada"/>
    <x v="2"/>
    <x v="1"/>
    <n v="2"/>
    <s v="ok"/>
    <n v="1312.875"/>
  </r>
  <r>
    <s v="T100546"/>
    <s v="20/05/2025"/>
    <s v="C8207"/>
    <s v="Mary"/>
    <s v="Mary"/>
    <s v="Male"/>
    <n v="8"/>
    <s v="Invalid"/>
    <s v="Kano"/>
    <x v="4"/>
    <s v="groceris"/>
    <s v="Groceris"/>
    <s v="Rice"/>
    <s v="Rice"/>
    <n v="182.38"/>
    <n v="2"/>
    <n v="2"/>
    <n v="10"/>
    <s v="Valid"/>
    <s v="Transfer"/>
    <s v="Transfer"/>
    <s v="Dan"/>
    <x v="0"/>
    <x v="0"/>
    <n v="1"/>
    <s v="ok"/>
    <n v="328.28399999999999"/>
  </r>
  <r>
    <s v="T100547"/>
    <s v="2025-02-09"/>
    <s v="C4057"/>
    <s v="  James "/>
    <s v="James"/>
    <s v="Female"/>
    <n v="130"/>
    <s v="Invalid"/>
    <s v="lagos"/>
    <x v="0"/>
    <s v="Electronics"/>
    <s v="Electronics"/>
    <s v="Phone"/>
    <s v="Phone"/>
    <n v="211.02"/>
    <n v="-2"/>
    <n v="1"/>
    <n v="5"/>
    <s v="Valid"/>
    <s v="Transfer"/>
    <s v="Transfer"/>
    <s v="Dan"/>
    <x v="0"/>
    <x v="2"/>
    <n v="5"/>
    <s v="ok"/>
    <n v="200.46899999999999"/>
  </r>
  <r>
    <s v="T100548"/>
    <s v="2025-11-11"/>
    <s v="C3071"/>
    <s v="Peter"/>
    <s v="Peter"/>
    <s v="Male"/>
    <n v="8"/>
    <s v="Invalid"/>
    <s v="lagos"/>
    <x v="0"/>
    <s v="Sports"/>
    <s v="Sports"/>
    <s v="Ball"/>
    <s v="Ball"/>
    <n v="448.17"/>
    <n v="-2"/>
    <n v="1"/>
    <n v="-10"/>
    <s v="invalid"/>
    <s v="Mobile Money"/>
    <s v="Mobile Money"/>
    <s v="Ada"/>
    <x v="2"/>
    <x v="0"/>
    <m/>
    <s v="ok"/>
    <n v="492.98700000000008"/>
  </r>
  <r>
    <s v="T100549"/>
    <s v="2025-02-17"/>
    <s v="C6737"/>
    <s v="  James "/>
    <s v="James"/>
    <s v="Male"/>
    <n v="130"/>
    <s v="Invalid"/>
    <s v="lagos"/>
    <x v="0"/>
    <s v="Groceries"/>
    <s v="Groceries"/>
    <s v="Rice"/>
    <s v="Rice"/>
    <n v="42.28"/>
    <n v="5"/>
    <n v="5"/>
    <n v="5"/>
    <s v="Valid"/>
    <s v="Mobile Money"/>
    <s v="Mobile Money"/>
    <s v="Dan"/>
    <x v="0"/>
    <x v="1"/>
    <n v="2"/>
    <s v="ok"/>
    <n v="200.82999999999998"/>
  </r>
  <r>
    <s v="T100550"/>
    <s v="2026-05-14"/>
    <s v="C2183"/>
    <s v="Aisha"/>
    <s v="Aisha"/>
    <s v="Female"/>
    <n v="8"/>
    <s v="Invalid"/>
    <s v="Kano"/>
    <x v="4"/>
    <s v="Home"/>
    <s v="Home"/>
    <s v="Chair"/>
    <s v="Chair"/>
    <n v="261.45"/>
    <n v="5"/>
    <n v="5"/>
    <n v="120"/>
    <s v="invalid"/>
    <s v="Transfer"/>
    <s v="Transfer"/>
    <s v="Chi"/>
    <x v="1"/>
    <x v="3"/>
    <n v="2"/>
    <s v="ok"/>
    <n v="-261.44999999999993"/>
  </r>
  <r>
    <s v="T100551"/>
    <s v="2026-02-22"/>
    <s v="C7138"/>
    <s v="John"/>
    <s v="John"/>
    <s v="Male"/>
    <n v="60"/>
    <s v="Valid"/>
    <s v="lagos"/>
    <x v="0"/>
    <s v="Home"/>
    <s v="Home"/>
    <s v="Chair"/>
    <s v="Chair"/>
    <n v="97.59"/>
    <n v="-2"/>
    <n v="1"/>
    <n v="0"/>
    <s v="Valid"/>
    <s v="Transfer"/>
    <s v="Transfer"/>
    <s v="Dan"/>
    <x v="0"/>
    <x v="2"/>
    <n v="5"/>
    <s v="ok"/>
    <n v="97.59"/>
  </r>
  <r>
    <s v="T100552"/>
    <s v="2025-09-03"/>
    <s v="C7384"/>
    <s v="Aisha"/>
    <s v="Aisha"/>
    <s v="Male"/>
    <n v="130"/>
    <s v="Invalid"/>
    <s v="PH"/>
    <x v="1"/>
    <s v="Home"/>
    <s v="Home"/>
    <s v="Chair"/>
    <s v="Chair"/>
    <n v="403.7"/>
    <n v="3"/>
    <n v="3"/>
    <n v="15"/>
    <s v="Valid"/>
    <s v="POS"/>
    <s v="Pos"/>
    <s v="Ben"/>
    <x v="3"/>
    <x v="0"/>
    <n v="3"/>
    <s v="ok"/>
    <n v="1029.4349999999999"/>
  </r>
  <r>
    <s v="T100553"/>
    <s v="20/03/2025"/>
    <s v="C8373"/>
    <s v="Grace"/>
    <s v="Grace"/>
    <s v="Male"/>
    <n v="18"/>
    <s v="Invalid"/>
    <s v="lagos"/>
    <x v="0"/>
    <s v="Fashion"/>
    <s v="Fashion"/>
    <s v="Shirt"/>
    <s v="Shirt"/>
    <n v="468.77"/>
    <n v="9"/>
    <n v="9"/>
    <n v="10"/>
    <s v="Valid"/>
    <s v="Cash"/>
    <s v="Cash"/>
    <s v="Ada"/>
    <x v="2"/>
    <x v="1"/>
    <n v="1"/>
    <s v="ok"/>
    <n v="3797.0370000000003"/>
  </r>
  <r>
    <s v="T100554"/>
    <s v="2025-03-03"/>
    <s v="C2570"/>
    <s v="Grace"/>
    <s v="Grace"/>
    <s v="Male"/>
    <n v="56"/>
    <s v="Valid"/>
    <s v="Kano"/>
    <x v="4"/>
    <s v="Home"/>
    <s v="Home"/>
    <s v="Chair"/>
    <s v="Chair"/>
    <n v="176.29"/>
    <n v="8"/>
    <n v="8"/>
    <n v="0"/>
    <s v="Valid"/>
    <m/>
    <s v=""/>
    <s v="Ada"/>
    <x v="2"/>
    <x v="1"/>
    <m/>
    <s v="ok"/>
    <n v="1410.32"/>
  </r>
  <r>
    <s v="T100555"/>
    <s v="2025-09-02"/>
    <s v="C9728"/>
    <s v="Aisha"/>
    <s v="Aisha"/>
    <s v="Male"/>
    <n v="8"/>
    <s v="Invalid"/>
    <s v="Abuja"/>
    <x v="3"/>
    <s v="groceris"/>
    <s v="Groceris"/>
    <s v="Rice"/>
    <s v="Rice"/>
    <n v="191.31"/>
    <n v="-2"/>
    <n v="1"/>
    <n v="0"/>
    <s v="Valid"/>
    <m/>
    <s v=""/>
    <s v="Dan"/>
    <x v="0"/>
    <x v="2"/>
    <n v="4"/>
    <s v="ok"/>
    <n v="191.31"/>
  </r>
  <r>
    <s v="T100556"/>
    <s v="2026-05-09"/>
    <s v="C8261"/>
    <s v="Aisha"/>
    <s v="Aisha"/>
    <s v="Male"/>
    <n v="8"/>
    <s v="Invalid"/>
    <s v="Kano"/>
    <x v="4"/>
    <s v="groceris"/>
    <s v="Groceris"/>
    <s v="Rice"/>
    <s v="Rice"/>
    <n v="369.68"/>
    <n v="-2"/>
    <n v="1"/>
    <n v="5"/>
    <s v="Valid"/>
    <s v="POS"/>
    <s v="Pos"/>
    <s v="Chi"/>
    <x v="1"/>
    <x v="2"/>
    <n v="3"/>
    <s v="ok"/>
    <n v="351.19599999999997"/>
  </r>
  <r>
    <s v="T100557"/>
    <s v="2025-12-31"/>
    <s v="C7188"/>
    <s v="John"/>
    <s v="John"/>
    <s v="Female"/>
    <n v="130"/>
    <s v="Invalid"/>
    <s v="Kano"/>
    <x v="4"/>
    <s v="Groceries"/>
    <s v="Groceries"/>
    <s v="Rice"/>
    <s v="Rice"/>
    <n v="122.84"/>
    <n v="4"/>
    <n v="4"/>
    <n v="-10"/>
    <s v="invalid"/>
    <s v="Cash"/>
    <s v="Cash"/>
    <s v="Ben"/>
    <x v="3"/>
    <x v="1"/>
    <n v="4"/>
    <s v="ok"/>
    <n v="540.49600000000009"/>
  </r>
  <r>
    <s v="T100558"/>
    <s v="2026-06-22"/>
    <s v="C1808"/>
    <s v="  James "/>
    <s v="James"/>
    <s v="Male"/>
    <n v="48"/>
    <s v="Valid"/>
    <s v="Abuja"/>
    <x v="3"/>
    <s v="Sports"/>
    <s v="Sports"/>
    <s v="Ball"/>
    <s v="Ball"/>
    <n v="189.99"/>
    <n v="10"/>
    <n v="10"/>
    <n v="120"/>
    <s v="invalid"/>
    <m/>
    <s v=""/>
    <s v="Chi"/>
    <x v="1"/>
    <x v="3"/>
    <n v="5"/>
    <s v="ok"/>
    <n v="-379.97999999999996"/>
  </r>
  <r>
    <s v="T100559"/>
    <s v="2025-03-19"/>
    <s v="C8157"/>
    <s v="David"/>
    <s v="David"/>
    <s v="Female"/>
    <n v="8"/>
    <s v="Invalid"/>
    <s v="Enugu"/>
    <x v="2"/>
    <s v="Sports"/>
    <s v="Sports"/>
    <s v="Ball"/>
    <s v="Ball"/>
    <n v="350.31"/>
    <n v="1"/>
    <n v="1"/>
    <n v="120"/>
    <s v="invalid"/>
    <s v="POS"/>
    <s v="Pos"/>
    <s v="Dan"/>
    <x v="0"/>
    <x v="2"/>
    <n v="1"/>
    <s v="ok"/>
    <n v="-70.061999999999983"/>
  </r>
  <r>
    <s v="T100560"/>
    <s v="14/09/2025"/>
    <s v="C5915"/>
    <s v="Mary"/>
    <s v="Mary"/>
    <s v="Female"/>
    <n v="130"/>
    <s v="Invalid"/>
    <s v="lagos"/>
    <x v="0"/>
    <s v="Fashion"/>
    <s v="Fashion"/>
    <s v="Shirt"/>
    <s v="Shirt"/>
    <n v="476.83"/>
    <n v="-2"/>
    <n v="1"/>
    <n v="0"/>
    <s v="Valid"/>
    <s v="Mobile Money"/>
    <s v="Mobile Money"/>
    <s v="Ada"/>
    <x v="2"/>
    <x v="2"/>
    <n v="5"/>
    <s v="ok"/>
    <n v="476.83"/>
  </r>
  <r>
    <s v="T100561"/>
    <s v="2025-09-03"/>
    <s v="C4048"/>
    <s v="Peter"/>
    <s v="Peter"/>
    <s v="Female"/>
    <n v="22"/>
    <s v="Valid"/>
    <s v="lagos"/>
    <x v="0"/>
    <s v="Beauty"/>
    <s v="Beauty"/>
    <s v="Cream"/>
    <s v="Cream"/>
    <n v="124.74"/>
    <n v="-2"/>
    <n v="1"/>
    <n v="10"/>
    <s v="Valid"/>
    <s v="Mobile Money"/>
    <s v="Mobile Money"/>
    <s v="Chi"/>
    <x v="1"/>
    <x v="0"/>
    <n v="1"/>
    <s v="ok"/>
    <n v="112.26599999999999"/>
  </r>
  <r>
    <s v="T100562"/>
    <s v="2026-01-14"/>
    <s v="C6044"/>
    <s v="Grace"/>
    <s v="Grace"/>
    <s v="Female"/>
    <n v="23"/>
    <s v="Valid"/>
    <s v="PH"/>
    <x v="1"/>
    <s v="Electronics"/>
    <s v="Electronics"/>
    <s v="Phone"/>
    <s v="Phone"/>
    <n v="403.67"/>
    <n v="-2"/>
    <n v="1"/>
    <n v="10"/>
    <s v="Valid"/>
    <s v="POS"/>
    <s v="Pos"/>
    <s v="Ben"/>
    <x v="3"/>
    <x v="0"/>
    <n v="1"/>
    <s v="ok"/>
    <n v="363.303"/>
  </r>
  <r>
    <s v="T100563"/>
    <s v="2025-07-14"/>
    <s v="C2922"/>
    <s v="  James "/>
    <s v="James"/>
    <s v="Female"/>
    <n v="8"/>
    <s v="Invalid"/>
    <s v="Enugu"/>
    <x v="2"/>
    <s v="Fashion"/>
    <s v="Fashion"/>
    <s v="Shirt"/>
    <s v="Shirt"/>
    <n v="97.76"/>
    <n v="8"/>
    <n v="8"/>
    <n v="5"/>
    <s v="Valid"/>
    <m/>
    <s v=""/>
    <s v="Dan"/>
    <x v="0"/>
    <x v="2"/>
    <m/>
    <s v="ok"/>
    <n v="742.976"/>
  </r>
  <r>
    <s v="T100564"/>
    <s v="2025-07-02"/>
    <s v="C8348"/>
    <s v="Aisha"/>
    <s v="Aisha"/>
    <s v="Female"/>
    <n v="130"/>
    <s v="Invalid"/>
    <s v="Enugu"/>
    <x v="2"/>
    <s v="Groceries"/>
    <s v="Groceries"/>
    <s v="Rice"/>
    <s v="Rice"/>
    <n v="345.47"/>
    <n v="2"/>
    <n v="2"/>
    <n v="-10"/>
    <s v="invalid"/>
    <s v="Cash"/>
    <s v="Cash"/>
    <s v="Chi"/>
    <x v="1"/>
    <x v="1"/>
    <m/>
    <s v="ok"/>
    <n v="760.03400000000011"/>
  </r>
  <r>
    <s v="T100565"/>
    <s v="2026-04-09"/>
    <s v="C8930"/>
    <s v="  James "/>
    <s v="James"/>
    <s v="Male"/>
    <n v="49"/>
    <s v="Valid"/>
    <s v="Kano"/>
    <x v="4"/>
    <s v="Electronics"/>
    <s v="Electronics"/>
    <s v="Phone"/>
    <s v="Phone"/>
    <n v="49.35"/>
    <n v="-2"/>
    <n v="1"/>
    <n v="15"/>
    <s v="Valid"/>
    <m/>
    <s v=""/>
    <s v="Chi"/>
    <x v="1"/>
    <x v="3"/>
    <n v="5"/>
    <s v="ok"/>
    <n v="41.947499999999998"/>
  </r>
  <r>
    <s v="T100566"/>
    <s v="2025-08-18"/>
    <s v="C8807"/>
    <s v="Mary"/>
    <s v="Mary"/>
    <s v="Female"/>
    <n v="63"/>
    <s v="Valid"/>
    <s v="Abuja"/>
    <x v="3"/>
    <s v="groceris"/>
    <s v="Groceris"/>
    <s v="Rice"/>
    <s v="Rice"/>
    <n v="498.81"/>
    <n v="4"/>
    <n v="4"/>
    <n v="0"/>
    <s v="Valid"/>
    <m/>
    <s v=""/>
    <s v="Ada"/>
    <x v="2"/>
    <x v="3"/>
    <n v="1"/>
    <s v="ok"/>
    <n v="1995.24"/>
  </r>
  <r>
    <s v="T100567"/>
    <s v="04/08/2025"/>
    <s v="C1242"/>
    <s v="Grace"/>
    <s v="Grace"/>
    <s v="Male"/>
    <n v="8"/>
    <s v="Invalid"/>
    <s v="lagos"/>
    <x v="0"/>
    <s v="Beauty"/>
    <s v="Beauty"/>
    <s v="Cream"/>
    <s v="Cream"/>
    <n v="35.82"/>
    <n v="7"/>
    <n v="7"/>
    <n v="10"/>
    <s v="Valid"/>
    <s v="Mobile Money"/>
    <s v="Mobile Money"/>
    <s v="Ben"/>
    <x v="3"/>
    <x v="2"/>
    <m/>
    <s v="ok"/>
    <n v="225.66600000000003"/>
  </r>
  <r>
    <s v="T100568"/>
    <s v="2025-03-19"/>
    <s v="C4703"/>
    <s v="Aisha"/>
    <s v="Aisha"/>
    <s v="Female"/>
    <n v="8"/>
    <s v="Invalid"/>
    <s v="Abuja"/>
    <x v="3"/>
    <s v="Beauty"/>
    <s v="Beauty"/>
    <s v="Cream"/>
    <s v="Cream"/>
    <n v="340.75"/>
    <n v="-2"/>
    <n v="1"/>
    <n v="0"/>
    <s v="Valid"/>
    <s v="Transfer"/>
    <s v="Transfer"/>
    <s v="Dan"/>
    <x v="0"/>
    <x v="3"/>
    <m/>
    <s v="ok"/>
    <n v="340.75"/>
  </r>
  <r>
    <s v="T100569"/>
    <s v="2025-06-05"/>
    <s v="C6106"/>
    <s v="Mary"/>
    <s v="Mary"/>
    <s v="Female"/>
    <n v="130"/>
    <s v="Invalid"/>
    <s v="lagos"/>
    <x v="0"/>
    <s v="groceris"/>
    <s v="Groceris"/>
    <s v="Rice"/>
    <s v="Rice"/>
    <n v="212.75"/>
    <n v="1"/>
    <n v="1"/>
    <n v="-10"/>
    <s v="invalid"/>
    <m/>
    <s v=""/>
    <s v="Ada"/>
    <x v="2"/>
    <x v="3"/>
    <n v="2"/>
    <s v="ok"/>
    <n v="234.02500000000001"/>
  </r>
  <r>
    <s v="T100570"/>
    <s v="2025-09-01"/>
    <s v="C1476"/>
    <m/>
    <s v=""/>
    <s v="Female"/>
    <n v="25"/>
    <s v="Valid"/>
    <s v="PH"/>
    <x v="1"/>
    <s v="Beauty"/>
    <s v="Beauty"/>
    <s v="Cream"/>
    <s v="Cream"/>
    <n v="252.32"/>
    <n v="6"/>
    <n v="6"/>
    <n v="10"/>
    <s v="Valid"/>
    <s v="Cash"/>
    <s v="Cash"/>
    <s v="Ben"/>
    <x v="3"/>
    <x v="2"/>
    <n v="1"/>
    <s v="Missing"/>
    <n v="1362.528"/>
  </r>
  <r>
    <s v="T100571"/>
    <s v="2025-08-09"/>
    <s v="C4663"/>
    <s v="  James "/>
    <s v="James"/>
    <s v="Female"/>
    <n v="130"/>
    <s v="Invalid"/>
    <s v="Abuja"/>
    <x v="3"/>
    <s v="Home"/>
    <s v="Home"/>
    <s v="Chair"/>
    <s v="Chair"/>
    <n v="392.72"/>
    <n v="-2"/>
    <n v="1"/>
    <n v="10"/>
    <s v="Valid"/>
    <m/>
    <s v=""/>
    <s v="Dan"/>
    <x v="0"/>
    <x v="3"/>
    <n v="4"/>
    <s v="ok"/>
    <n v="353.44800000000004"/>
  </r>
  <r>
    <s v="T100572"/>
    <s v="2025-04-29"/>
    <s v="C7796"/>
    <s v="Aisha"/>
    <s v="Aisha"/>
    <s v="Male"/>
    <n v="50"/>
    <s v="Valid"/>
    <s v="lagos"/>
    <x v="0"/>
    <s v="Electronics"/>
    <s v="Electronics"/>
    <s v="Phone"/>
    <s v="Phone"/>
    <n v="332.67"/>
    <n v="-2"/>
    <n v="1"/>
    <n v="0"/>
    <s v="Valid"/>
    <s v="Transfer"/>
    <s v="Transfer"/>
    <s v="Ada"/>
    <x v="2"/>
    <x v="3"/>
    <n v="3"/>
    <s v="ok"/>
    <n v="332.67"/>
  </r>
  <r>
    <s v="T100573"/>
    <s v="2026-04-28"/>
    <s v="C8077"/>
    <s v="  James "/>
    <s v="James"/>
    <s v="Male"/>
    <n v="130"/>
    <s v="Invalid"/>
    <s v="Abuja"/>
    <x v="3"/>
    <s v="Electronics"/>
    <s v="Electronics"/>
    <s v="Phone"/>
    <s v="Phone"/>
    <n v="404.44"/>
    <n v="-2"/>
    <n v="1"/>
    <n v="15"/>
    <s v="Valid"/>
    <s v="Cash"/>
    <s v="Cash"/>
    <s v="Ada"/>
    <x v="2"/>
    <x v="2"/>
    <n v="1"/>
    <s v="ok"/>
    <n v="343.774"/>
  </r>
  <r>
    <s v="T100574"/>
    <s v="12/11/2025"/>
    <s v="C7899"/>
    <s v="David"/>
    <s v="David"/>
    <s v="Female"/>
    <n v="130"/>
    <s v="Invalid"/>
    <s v="lagos"/>
    <x v="0"/>
    <s v="Home"/>
    <s v="Home"/>
    <s v="Chair"/>
    <s v="Chair"/>
    <n v="444.53"/>
    <n v="-2"/>
    <n v="1"/>
    <n v="-10"/>
    <s v="invalid"/>
    <m/>
    <s v=""/>
    <s v="Ada"/>
    <x v="2"/>
    <x v="0"/>
    <n v="2"/>
    <s v="ok"/>
    <n v="488.983"/>
  </r>
  <r>
    <s v="T100575"/>
    <s v="2025-06-13"/>
    <s v="C3341"/>
    <s v="Grace"/>
    <s v="Grace"/>
    <s v="Male"/>
    <n v="130"/>
    <s v="Invalid"/>
    <s v="lagos"/>
    <x v="0"/>
    <s v="Groceries"/>
    <s v="Groceries"/>
    <s v="Rice"/>
    <s v="Rice"/>
    <n v="300.8"/>
    <n v="3"/>
    <n v="3"/>
    <n v="0"/>
    <s v="Valid"/>
    <s v="Mobile Money"/>
    <s v="Mobile Money"/>
    <s v="Ben"/>
    <x v="3"/>
    <x v="1"/>
    <n v="3"/>
    <s v="ok"/>
    <n v="902.40000000000009"/>
  </r>
  <r>
    <s v="T100576"/>
    <s v="2025-03-14"/>
    <s v="C7883"/>
    <s v="David"/>
    <s v="David"/>
    <s v="Female"/>
    <n v="19"/>
    <s v="Valid"/>
    <s v="Abuja"/>
    <x v="3"/>
    <s v="Groceries"/>
    <s v="Groceries"/>
    <s v="Rice"/>
    <s v="Rice"/>
    <n v="61.37"/>
    <n v="-2"/>
    <n v="1"/>
    <n v="0"/>
    <s v="Valid"/>
    <s v="Transfer"/>
    <s v="Transfer"/>
    <s v="Ben"/>
    <x v="3"/>
    <x v="0"/>
    <m/>
    <s v="ok"/>
    <n v="61.37"/>
  </r>
  <r>
    <s v="T100577"/>
    <s v="2025-05-17"/>
    <s v="C3766"/>
    <s v="  James "/>
    <s v="James"/>
    <s v="Female"/>
    <n v="130"/>
    <s v="Invalid"/>
    <s v="lagos"/>
    <x v="0"/>
    <s v="Electronics"/>
    <s v="Electronics"/>
    <s v="Phone"/>
    <s v="Phone"/>
    <n v="15.13"/>
    <n v="9"/>
    <n v="9"/>
    <n v="15"/>
    <s v="Valid"/>
    <s v="Cash"/>
    <s v="Cash"/>
    <s v="Dan"/>
    <x v="0"/>
    <x v="3"/>
    <n v="1"/>
    <s v="ok"/>
    <n v="115.74450000000002"/>
  </r>
  <r>
    <s v="T100578"/>
    <s v="2025-03-06"/>
    <s v="C5378"/>
    <s v="  James "/>
    <s v="James"/>
    <s v="Male"/>
    <n v="130"/>
    <s v="Invalid"/>
    <s v="Abuja"/>
    <x v="3"/>
    <s v="Electronics"/>
    <s v="Electronics"/>
    <s v="Phone"/>
    <s v="Phone"/>
    <n v="142"/>
    <n v="10"/>
    <n v="10"/>
    <n v="0"/>
    <s v="Valid"/>
    <s v="Cash"/>
    <s v="Cash"/>
    <s v="Dan"/>
    <x v="0"/>
    <x v="3"/>
    <n v="5"/>
    <s v="ok"/>
    <n v="1420"/>
  </r>
  <r>
    <s v="T100579"/>
    <s v="2025-05-06"/>
    <s v="C6939"/>
    <s v="  James "/>
    <s v="James"/>
    <s v="Female"/>
    <n v="8"/>
    <s v="Invalid"/>
    <s v="lagos"/>
    <x v="0"/>
    <s v="Beauty"/>
    <s v="Beauty"/>
    <s v="Cream"/>
    <s v="Cream"/>
    <n v="410.44"/>
    <n v="2"/>
    <n v="2"/>
    <n v="0"/>
    <s v="Valid"/>
    <s v="POS"/>
    <s v="Pos"/>
    <s v="Dan"/>
    <x v="0"/>
    <x v="2"/>
    <m/>
    <s v="ok"/>
    <n v="820.88"/>
  </r>
  <r>
    <s v="T100580"/>
    <s v="2026-01-03"/>
    <s v="C1896"/>
    <s v="John"/>
    <s v="John"/>
    <s v="Female"/>
    <n v="8"/>
    <s v="Invalid"/>
    <s v="lagos"/>
    <x v="0"/>
    <s v="Home"/>
    <s v="Home"/>
    <s v="Chair"/>
    <s v="Chair"/>
    <n v="90.77"/>
    <n v="-2"/>
    <n v="1"/>
    <n v="5"/>
    <s v="Valid"/>
    <s v="POS"/>
    <s v="Pos"/>
    <s v="Dan"/>
    <x v="0"/>
    <x v="2"/>
    <n v="5"/>
    <s v="ok"/>
    <n v="86.231499999999997"/>
  </r>
  <r>
    <s v="T100581"/>
    <s v="27/06/2025"/>
    <s v="C9842"/>
    <s v="Peter"/>
    <s v="Peter"/>
    <s v="Male"/>
    <n v="130"/>
    <s v="Invalid"/>
    <s v="lagos"/>
    <x v="0"/>
    <s v="Fashion"/>
    <s v="Fashion"/>
    <s v="Shirt"/>
    <s v="Shirt"/>
    <n v="38.61"/>
    <n v="10"/>
    <n v="10"/>
    <n v="10"/>
    <s v="Valid"/>
    <s v="Cash"/>
    <s v="Cash"/>
    <s v="Dan"/>
    <x v="0"/>
    <x v="1"/>
    <n v="4"/>
    <s v="ok"/>
    <n v="347.49"/>
  </r>
  <r>
    <s v="T100582"/>
    <s v="2025-07-04"/>
    <s v="C7537"/>
    <s v="Peter"/>
    <s v="Peter"/>
    <s v="Female"/>
    <n v="46"/>
    <s v="Valid"/>
    <s v="lagos"/>
    <x v="0"/>
    <s v="Beauty"/>
    <s v="Beauty"/>
    <s v="Cream"/>
    <s v="Cream"/>
    <n v="167.28"/>
    <n v="2"/>
    <n v="2"/>
    <n v="5"/>
    <s v="Valid"/>
    <s v="Mobile Money"/>
    <s v="Mobile Money"/>
    <s v="Ada"/>
    <x v="2"/>
    <x v="0"/>
    <n v="1"/>
    <s v="ok"/>
    <n v="317.83199999999999"/>
  </r>
  <r>
    <s v="T100583"/>
    <s v="2025-10-14"/>
    <s v="C9035"/>
    <s v="Mary"/>
    <s v="Mary"/>
    <s v="Male"/>
    <n v="34"/>
    <s v="Valid"/>
    <s v="lagos"/>
    <x v="0"/>
    <s v="Beauty"/>
    <s v="Beauty"/>
    <s v="Cream"/>
    <s v="Cream"/>
    <n v="437.48"/>
    <n v="-2"/>
    <n v="1"/>
    <n v="15"/>
    <s v="Valid"/>
    <s v="Mobile Money"/>
    <s v="Mobile Money"/>
    <s v="Chi"/>
    <x v="1"/>
    <x v="0"/>
    <n v="4"/>
    <s v="ok"/>
    <n v="371.858"/>
  </r>
  <r>
    <s v="T100584"/>
    <s v="2025-07-06"/>
    <s v="C4678"/>
    <m/>
    <s v=""/>
    <s v="Male"/>
    <n v="130"/>
    <s v="Invalid"/>
    <s v="PH"/>
    <x v="1"/>
    <s v="Groceries"/>
    <s v="Groceries"/>
    <s v="Rice"/>
    <s v="Rice"/>
    <n v="419.4"/>
    <n v="-2"/>
    <n v="1"/>
    <n v="5"/>
    <s v="Valid"/>
    <m/>
    <s v=""/>
    <s v="Chi"/>
    <x v="1"/>
    <x v="1"/>
    <n v="2"/>
    <s v="Missing"/>
    <n v="398.42999999999995"/>
  </r>
  <r>
    <s v="T100585"/>
    <s v="2025-02-27"/>
    <s v="C9279"/>
    <s v="Grace"/>
    <s v="Grace"/>
    <s v="Female"/>
    <n v="60"/>
    <s v="Valid"/>
    <s v="Enugu"/>
    <x v="2"/>
    <s v="Sports"/>
    <s v="Sports"/>
    <s v="Ball"/>
    <s v="Ball"/>
    <n v="399.3"/>
    <n v="-2"/>
    <n v="1"/>
    <n v="15"/>
    <s v="Valid"/>
    <s v="Transfer"/>
    <s v="Transfer"/>
    <s v="Ada"/>
    <x v="2"/>
    <x v="1"/>
    <n v="5"/>
    <s v="ok"/>
    <n v="339.40499999999997"/>
  </r>
  <r>
    <s v="T100586"/>
    <s v="2025-05-04"/>
    <s v="C1622"/>
    <s v="Aisha"/>
    <s v="Aisha"/>
    <s v="Male"/>
    <n v="8"/>
    <s v="Invalid"/>
    <s v="lagos"/>
    <x v="0"/>
    <s v="Groceries"/>
    <s v="Groceries"/>
    <s v="Rice"/>
    <s v="Rice"/>
    <n v="253.99"/>
    <n v="-2"/>
    <n v="1"/>
    <n v="120"/>
    <s v="invalid"/>
    <s v="Transfer"/>
    <s v="Transfer"/>
    <s v="Chi"/>
    <x v="1"/>
    <x v="1"/>
    <n v="3"/>
    <s v="ok"/>
    <n v="-50.797999999999988"/>
  </r>
  <r>
    <s v="T100587"/>
    <s v="2025-01-31"/>
    <s v="C4273"/>
    <s v="Aisha"/>
    <s v="Aisha"/>
    <s v="Male"/>
    <n v="8"/>
    <s v="Invalid"/>
    <s v="Kano"/>
    <x v="4"/>
    <s v="Beauty"/>
    <s v="Beauty"/>
    <s v="Cream"/>
    <s v="Cream"/>
    <n v="184.92"/>
    <n v="-2"/>
    <n v="1"/>
    <n v="-10"/>
    <s v="invalid"/>
    <s v="Mobile Money"/>
    <s v="Mobile Money"/>
    <s v="Dan"/>
    <x v="0"/>
    <x v="3"/>
    <n v="2"/>
    <s v="ok"/>
    <n v="203.41200000000001"/>
  </r>
  <r>
    <s v="T100588"/>
    <s v="16/07/2025"/>
    <s v="C2359"/>
    <s v="Peter"/>
    <s v="Peter"/>
    <s v="Male"/>
    <n v="130"/>
    <s v="Invalid"/>
    <s v="lagos"/>
    <x v="0"/>
    <s v="Groceries"/>
    <s v="Groceries"/>
    <s v="Rice"/>
    <s v="Rice"/>
    <n v="338.19"/>
    <n v="-2"/>
    <n v="1"/>
    <n v="15"/>
    <s v="Valid"/>
    <s v="Transfer"/>
    <s v="Transfer"/>
    <s v="Ada"/>
    <x v="2"/>
    <x v="2"/>
    <m/>
    <s v="ok"/>
    <n v="287.4615"/>
  </r>
  <r>
    <s v="T100589"/>
    <s v="2026-05-06"/>
    <s v="C3708"/>
    <m/>
    <s v=""/>
    <s v="Male"/>
    <n v="8"/>
    <s v="Invalid"/>
    <s v="lagos"/>
    <x v="0"/>
    <s v="Sports"/>
    <s v="Sports"/>
    <s v="Ball"/>
    <s v="Ball"/>
    <n v="347.26"/>
    <n v="4"/>
    <n v="4"/>
    <n v="15"/>
    <s v="Valid"/>
    <s v="POS"/>
    <s v="Pos"/>
    <s v="Ada"/>
    <x v="2"/>
    <x v="1"/>
    <n v="2"/>
    <s v="Missing"/>
    <n v="1180.684"/>
  </r>
  <r>
    <s v="T100590"/>
    <s v="2025-07-23"/>
    <s v="C7740"/>
    <s v="Mary"/>
    <s v="Mary"/>
    <s v="Female"/>
    <n v="8"/>
    <s v="Invalid"/>
    <s v="lagos"/>
    <x v="0"/>
    <s v="Groceries"/>
    <s v="Groceries"/>
    <s v="Rice"/>
    <s v="Rice"/>
    <n v="409.71"/>
    <n v="-2"/>
    <n v="1"/>
    <n v="15"/>
    <s v="Valid"/>
    <s v="POS"/>
    <s v="Pos"/>
    <s v="Dan"/>
    <x v="0"/>
    <x v="2"/>
    <n v="3"/>
    <s v="ok"/>
    <n v="348.25349999999997"/>
  </r>
  <r>
    <s v="T100591"/>
    <s v="2025-08-02"/>
    <s v="C4114"/>
    <s v="John"/>
    <s v="John"/>
    <s v="Female"/>
    <n v="51"/>
    <s v="Valid"/>
    <s v="lagos"/>
    <x v="0"/>
    <s v="Beauty"/>
    <s v="Beauty"/>
    <s v="Cream"/>
    <s v="Cream"/>
    <n v="479.27"/>
    <n v="-2"/>
    <n v="1"/>
    <n v="-10"/>
    <s v="invalid"/>
    <s v="POS"/>
    <s v="Pos"/>
    <s v="Ben"/>
    <x v="3"/>
    <x v="2"/>
    <n v="3"/>
    <s v="ok"/>
    <n v="527.197"/>
  </r>
  <r>
    <s v="T100592"/>
    <s v="2025-10-29"/>
    <s v="C9661"/>
    <s v="Mary"/>
    <s v="Mary"/>
    <s v="Female"/>
    <n v="130"/>
    <s v="Invalid"/>
    <s v="Abuja"/>
    <x v="3"/>
    <s v="Beauty"/>
    <s v="Beauty"/>
    <s v="Cream"/>
    <s v="Cream"/>
    <n v="231.99"/>
    <n v="2"/>
    <n v="2"/>
    <n v="0"/>
    <s v="Valid"/>
    <s v="Transfer"/>
    <s v="Transfer"/>
    <s v="Dan"/>
    <x v="0"/>
    <x v="0"/>
    <n v="4"/>
    <s v="ok"/>
    <n v="463.98"/>
  </r>
  <r>
    <s v="T100593"/>
    <s v="2025-11-27"/>
    <s v="C6825"/>
    <s v="Peter"/>
    <s v="Peter"/>
    <s v="Male"/>
    <n v="8"/>
    <s v="Invalid"/>
    <s v="lagos"/>
    <x v="0"/>
    <s v="groceris"/>
    <s v="Groceris"/>
    <s v="Rice"/>
    <s v="Rice"/>
    <n v="227.25"/>
    <n v="2"/>
    <n v="2"/>
    <n v="120"/>
    <s v="invalid"/>
    <s v="POS"/>
    <s v="Pos"/>
    <s v="Chi"/>
    <x v="1"/>
    <x v="3"/>
    <n v="2"/>
    <s v="ok"/>
    <n v="-90.899999999999977"/>
  </r>
  <r>
    <s v="T100594"/>
    <s v="2025-08-06"/>
    <s v="C4955"/>
    <s v="David"/>
    <s v="David"/>
    <s v="Male"/>
    <n v="24"/>
    <s v="Valid"/>
    <s v="Abuja"/>
    <x v="3"/>
    <s v="Beauty"/>
    <s v="Beauty"/>
    <s v="Cream"/>
    <s v="Cream"/>
    <n v="468.67"/>
    <n v="-2"/>
    <n v="1"/>
    <n v="10"/>
    <s v="Valid"/>
    <s v="Mobile Money"/>
    <s v="Mobile Money"/>
    <s v="Dan"/>
    <x v="0"/>
    <x v="0"/>
    <m/>
    <s v="ok"/>
    <n v="421.803"/>
  </r>
  <r>
    <s v="T100595"/>
    <s v="10/01/2026"/>
    <s v="C7232"/>
    <m/>
    <s v=""/>
    <s v="Female"/>
    <n v="19"/>
    <s v="Valid"/>
    <s v="lagos"/>
    <x v="0"/>
    <s v="Electronics"/>
    <s v="Electronics"/>
    <s v="Phone"/>
    <s v="Phone"/>
    <n v="220.74"/>
    <n v="9"/>
    <n v="9"/>
    <n v="0"/>
    <s v="Valid"/>
    <m/>
    <s v=""/>
    <s v="Ada"/>
    <x v="2"/>
    <x v="1"/>
    <n v="4"/>
    <s v="Missing"/>
    <n v="1986.66"/>
  </r>
  <r>
    <s v="T100596"/>
    <s v="2025-10-25"/>
    <s v="C9263"/>
    <s v="John"/>
    <s v="John"/>
    <s v="Male"/>
    <n v="8"/>
    <s v="Invalid"/>
    <s v="Abuja"/>
    <x v="3"/>
    <s v="groceris"/>
    <s v="Groceris"/>
    <s v="Rice"/>
    <s v="Rice"/>
    <n v="138.9"/>
    <n v="7"/>
    <n v="7"/>
    <n v="-10"/>
    <s v="invalid"/>
    <s v="Mobile Money"/>
    <s v="Mobile Money"/>
    <s v="Dan"/>
    <x v="0"/>
    <x v="3"/>
    <n v="4"/>
    <s v="ok"/>
    <n v="1069.5300000000002"/>
  </r>
  <r>
    <s v="T100597"/>
    <s v="2025-02-10"/>
    <s v="C4259"/>
    <s v="David"/>
    <s v="David"/>
    <s v="Female"/>
    <n v="8"/>
    <s v="Invalid"/>
    <s v="Abuja"/>
    <x v="3"/>
    <s v="Groceries"/>
    <s v="Groceries"/>
    <s v="Rice"/>
    <s v="Rice"/>
    <n v="182.23"/>
    <n v="-2"/>
    <n v="1"/>
    <n v="0"/>
    <s v="Valid"/>
    <s v="POS"/>
    <s v="Pos"/>
    <s v="Dan"/>
    <x v="0"/>
    <x v="1"/>
    <n v="4"/>
    <s v="ok"/>
    <n v="182.23"/>
  </r>
  <r>
    <s v="T100598"/>
    <s v="2025-10-30"/>
    <s v="C2975"/>
    <s v="David"/>
    <s v="David"/>
    <s v="Female"/>
    <n v="28"/>
    <s v="Valid"/>
    <s v="lagos"/>
    <x v="0"/>
    <s v="Sports"/>
    <s v="Sports"/>
    <s v="Ball"/>
    <s v="Ball"/>
    <n v="279.77"/>
    <n v="-2"/>
    <n v="1"/>
    <n v="-10"/>
    <s v="invalid"/>
    <m/>
    <s v=""/>
    <s v="Dan"/>
    <x v="0"/>
    <x v="2"/>
    <n v="5"/>
    <s v="ok"/>
    <n v="307.74700000000001"/>
  </r>
  <r>
    <s v="T100599"/>
    <s v="2025-02-14"/>
    <s v="C2223"/>
    <s v="David"/>
    <s v="David"/>
    <s v="Male"/>
    <n v="130"/>
    <s v="Invalid"/>
    <s v="lagos"/>
    <x v="0"/>
    <s v="Fashion"/>
    <s v="Fashion"/>
    <s v="Shirt"/>
    <s v="Shirt"/>
    <n v="11.12"/>
    <n v="6"/>
    <n v="6"/>
    <n v="10"/>
    <s v="Valid"/>
    <s v="Cash"/>
    <s v="Cash"/>
    <s v="Dan"/>
    <x v="0"/>
    <x v="0"/>
    <n v="5"/>
    <s v="ok"/>
    <n v="60.048000000000002"/>
  </r>
  <r>
    <s v="T100600"/>
    <s v="2025-03-02"/>
    <s v="C5052"/>
    <s v="Aisha"/>
    <s v="Aisha"/>
    <s v="Male"/>
    <n v="8"/>
    <s v="Invalid"/>
    <s v="lagos"/>
    <x v="0"/>
    <s v="Groceries"/>
    <s v="Groceries"/>
    <s v="Rice"/>
    <s v="Rice"/>
    <n v="6.83"/>
    <n v="4"/>
    <n v="4"/>
    <n v="0"/>
    <s v="Valid"/>
    <s v="POS"/>
    <s v="Pos"/>
    <s v="Dan"/>
    <x v="0"/>
    <x v="2"/>
    <n v="2"/>
    <s v="ok"/>
    <n v="27.32"/>
  </r>
  <r>
    <s v="T100601"/>
    <s v="2026-03-11"/>
    <s v="C5176"/>
    <s v="Grace"/>
    <s v="Grace"/>
    <s v="Male"/>
    <n v="8"/>
    <s v="Invalid"/>
    <s v="PH"/>
    <x v="1"/>
    <s v="Groceries"/>
    <s v="Groceries"/>
    <s v="Rice"/>
    <s v="Rice"/>
    <n v="29.11"/>
    <n v="4"/>
    <n v="4"/>
    <n v="-10"/>
    <s v="invalid"/>
    <s v="Mobile Money"/>
    <s v="Mobile Money"/>
    <s v="Ada"/>
    <x v="2"/>
    <x v="3"/>
    <n v="1"/>
    <s v="ok"/>
    <n v="128.084"/>
  </r>
  <r>
    <s v="T100602"/>
    <s v="03/06/2025"/>
    <s v="C4826"/>
    <m/>
    <s v=""/>
    <s v="Male"/>
    <n v="54"/>
    <s v="Valid"/>
    <s v="Kano"/>
    <x v="4"/>
    <s v="groceris"/>
    <s v="Groceris"/>
    <s v="Rice"/>
    <s v="Rice"/>
    <n v="139.44999999999999"/>
    <n v="-2"/>
    <n v="1"/>
    <n v="0"/>
    <s v="Valid"/>
    <s v="Mobile Money"/>
    <s v="Mobile Money"/>
    <s v="Ben"/>
    <x v="3"/>
    <x v="1"/>
    <n v="3"/>
    <s v="Missing"/>
    <n v="139.44999999999999"/>
  </r>
  <r>
    <s v="T100603"/>
    <s v="2025-03-30"/>
    <s v="C5517"/>
    <s v="Aisha"/>
    <s v="Aisha"/>
    <s v="Male"/>
    <n v="40"/>
    <s v="Valid"/>
    <s v="lagos"/>
    <x v="0"/>
    <s v="Home"/>
    <s v="Home"/>
    <s v="Chair"/>
    <s v="Chair"/>
    <n v="276.43"/>
    <n v="-2"/>
    <n v="1"/>
    <n v="120"/>
    <s v="invalid"/>
    <s v="Transfer"/>
    <s v="Transfer"/>
    <s v="Chi"/>
    <x v="1"/>
    <x v="0"/>
    <n v="4"/>
    <s v="ok"/>
    <n v="-55.285999999999987"/>
  </r>
  <r>
    <s v="T100604"/>
    <s v="2025-05-19"/>
    <s v="C5266"/>
    <s v="David"/>
    <s v="David"/>
    <s v="Male"/>
    <n v="8"/>
    <s v="Invalid"/>
    <s v="lagos"/>
    <x v="0"/>
    <s v="groceris"/>
    <s v="Groceris"/>
    <s v="Rice"/>
    <s v="Rice"/>
    <n v="304.25"/>
    <n v="3"/>
    <n v="3"/>
    <n v="10"/>
    <s v="Valid"/>
    <s v="Transfer"/>
    <s v="Transfer"/>
    <s v="Chi"/>
    <x v="1"/>
    <x v="2"/>
    <n v="1"/>
    <s v="ok"/>
    <n v="821.47500000000002"/>
  </r>
  <r>
    <s v="T100605"/>
    <s v="2025-11-28"/>
    <s v="C1401"/>
    <s v="Peter"/>
    <s v="Peter"/>
    <s v="Female"/>
    <n v="130"/>
    <s v="Invalid"/>
    <s v="Abuja"/>
    <x v="3"/>
    <s v="groceris"/>
    <s v="Groceris"/>
    <s v="Rice"/>
    <s v="Rice"/>
    <n v="46.7"/>
    <n v="9"/>
    <n v="9"/>
    <n v="120"/>
    <s v="invalid"/>
    <s v="POS"/>
    <s v="Pos"/>
    <s v="Chi"/>
    <x v="1"/>
    <x v="3"/>
    <n v="4"/>
    <s v="ok"/>
    <n v="-84.059999999999988"/>
  </r>
  <r>
    <s v="T100606"/>
    <s v="2026-02-01"/>
    <s v="C8409"/>
    <s v="Grace"/>
    <s v="Grace"/>
    <s v="Male"/>
    <n v="56"/>
    <s v="Valid"/>
    <s v="PH"/>
    <x v="1"/>
    <s v="Sports"/>
    <s v="Sports"/>
    <s v="Ball"/>
    <s v="Ball"/>
    <n v="368.18"/>
    <n v="8"/>
    <n v="8"/>
    <n v="-10"/>
    <s v="invalid"/>
    <s v="POS"/>
    <s v="Pos"/>
    <s v="Ben"/>
    <x v="3"/>
    <x v="0"/>
    <n v="4"/>
    <s v="ok"/>
    <n v="3239.9840000000004"/>
  </r>
  <r>
    <s v="T100607"/>
    <s v="2025-03-19"/>
    <s v="C8978"/>
    <s v="Aisha"/>
    <s v="Aisha"/>
    <s v="Female"/>
    <n v="130"/>
    <s v="Invalid"/>
    <s v="lagos"/>
    <x v="0"/>
    <s v="Fashion"/>
    <s v="Fashion"/>
    <s v="Shirt"/>
    <s v="Shirt"/>
    <n v="126"/>
    <n v="2"/>
    <n v="2"/>
    <n v="0"/>
    <s v="Valid"/>
    <s v="Transfer"/>
    <s v="Transfer"/>
    <s v="Ada"/>
    <x v="2"/>
    <x v="2"/>
    <n v="5"/>
    <s v="ok"/>
    <n v="252"/>
  </r>
  <r>
    <s v="T100608"/>
    <s v="2026-06-12"/>
    <s v="C8709"/>
    <s v="Peter"/>
    <s v="Peter"/>
    <s v="Female"/>
    <n v="52"/>
    <s v="Valid"/>
    <s v="lagos"/>
    <x v="0"/>
    <s v="Fashion"/>
    <s v="Fashion"/>
    <s v="Shirt"/>
    <s v="Shirt"/>
    <n v="264.92"/>
    <n v="-2"/>
    <n v="1"/>
    <n v="120"/>
    <s v="invalid"/>
    <s v="Mobile Money"/>
    <s v="Mobile Money"/>
    <s v="Dan"/>
    <x v="0"/>
    <x v="1"/>
    <n v="1"/>
    <s v="ok"/>
    <n v="-52.983999999999995"/>
  </r>
  <r>
    <s v="T100609"/>
    <s v="19/08/2025"/>
    <s v="C8575"/>
    <s v="John"/>
    <s v="John"/>
    <s v="Female"/>
    <n v="18"/>
    <s v="Invalid"/>
    <s v="PH"/>
    <x v="1"/>
    <s v="Beauty"/>
    <s v="Beauty"/>
    <s v="Cream"/>
    <s v="Cream"/>
    <n v="147.71"/>
    <n v="-2"/>
    <n v="1"/>
    <n v="-10"/>
    <s v="invalid"/>
    <s v="POS"/>
    <s v="Pos"/>
    <s v="Ben"/>
    <x v="3"/>
    <x v="3"/>
    <n v="5"/>
    <s v="ok"/>
    <n v="162.48100000000002"/>
  </r>
  <r>
    <s v="T100610"/>
    <s v="2025-10-20"/>
    <s v="C9474"/>
    <s v="Aisha"/>
    <s v="Aisha"/>
    <s v="Male"/>
    <n v="8"/>
    <s v="Invalid"/>
    <s v="Kano"/>
    <x v="4"/>
    <s v="Home"/>
    <s v="Home"/>
    <s v="Chair"/>
    <s v="Chair"/>
    <n v="237.21"/>
    <n v="-2"/>
    <n v="1"/>
    <n v="-10"/>
    <s v="invalid"/>
    <s v="POS"/>
    <s v="Pos"/>
    <s v="Dan"/>
    <x v="0"/>
    <x v="3"/>
    <n v="1"/>
    <s v="ok"/>
    <n v="260.93100000000004"/>
  </r>
  <r>
    <s v="T100611"/>
    <s v="2025-09-02"/>
    <s v="C7836"/>
    <s v="Aisha"/>
    <s v="Aisha"/>
    <s v="Male"/>
    <n v="8"/>
    <s v="Invalid"/>
    <s v="Abuja"/>
    <x v="3"/>
    <s v="Fashion"/>
    <s v="Fashion"/>
    <s v="Shirt"/>
    <s v="Shirt"/>
    <n v="202.59"/>
    <n v="2"/>
    <n v="2"/>
    <n v="10"/>
    <s v="Valid"/>
    <s v="Cash"/>
    <s v="Cash"/>
    <s v="Ben"/>
    <x v="3"/>
    <x v="2"/>
    <n v="1"/>
    <s v="ok"/>
    <n v="364.66200000000003"/>
  </r>
  <r>
    <s v="T100612"/>
    <s v="2025-03-01"/>
    <s v="C1360"/>
    <m/>
    <s v=""/>
    <s v="Male"/>
    <n v="8"/>
    <s v="Invalid"/>
    <s v="lagos"/>
    <x v="0"/>
    <s v="Electronics"/>
    <s v="Electronics"/>
    <s v="Phone"/>
    <s v="Phone"/>
    <n v="325.45"/>
    <n v="-2"/>
    <n v="1"/>
    <n v="0"/>
    <s v="Valid"/>
    <s v="Mobile Money"/>
    <s v="Mobile Money"/>
    <s v="Chi"/>
    <x v="1"/>
    <x v="2"/>
    <n v="1"/>
    <s v="Missing"/>
    <n v="325.45"/>
  </r>
  <r>
    <s v="T100613"/>
    <s v="2025-06-28"/>
    <s v="C7979"/>
    <s v="David"/>
    <s v="David"/>
    <s v="Male"/>
    <n v="8"/>
    <s v="Invalid"/>
    <s v="PH"/>
    <x v="1"/>
    <s v="Fashion"/>
    <s v="Fashion"/>
    <s v="Shirt"/>
    <s v="Shirt"/>
    <n v="178.77"/>
    <n v="6"/>
    <n v="6"/>
    <n v="5"/>
    <s v="Valid"/>
    <s v="Cash"/>
    <s v="Cash"/>
    <s v="Ada"/>
    <x v="2"/>
    <x v="3"/>
    <n v="2"/>
    <s v="ok"/>
    <n v="1018.989"/>
  </r>
  <r>
    <s v="T100614"/>
    <s v="2025-04-20"/>
    <s v="C3512"/>
    <s v="Peter"/>
    <s v="Peter"/>
    <s v="Male"/>
    <n v="8"/>
    <s v="Invalid"/>
    <s v="lagos"/>
    <x v="0"/>
    <s v="Home"/>
    <s v="Home"/>
    <s v="Chair"/>
    <s v="Chair"/>
    <n v="277.95"/>
    <n v="-2"/>
    <n v="1"/>
    <n v="10"/>
    <s v="Valid"/>
    <s v="Transfer"/>
    <s v="Transfer"/>
    <s v="Ben"/>
    <x v="3"/>
    <x v="0"/>
    <n v="4"/>
    <s v="ok"/>
    <n v="250.155"/>
  </r>
  <r>
    <s v="T100615"/>
    <s v="2026-03-03"/>
    <s v="C4805"/>
    <s v="Grace"/>
    <s v="Grace"/>
    <s v="Female"/>
    <n v="130"/>
    <s v="Invalid"/>
    <s v="Kano"/>
    <x v="4"/>
    <s v="groceris"/>
    <s v="Groceris"/>
    <s v="Rice"/>
    <s v="Rice"/>
    <n v="167.52"/>
    <n v="6"/>
    <n v="6"/>
    <n v="5"/>
    <s v="Valid"/>
    <s v="Transfer"/>
    <s v="Transfer"/>
    <s v="Dan"/>
    <x v="0"/>
    <x v="2"/>
    <n v="4"/>
    <s v="ok"/>
    <n v="954.86400000000003"/>
  </r>
  <r>
    <s v="T100616"/>
    <s v="29/08/2025"/>
    <s v="C4529"/>
    <s v="  James "/>
    <s v="James"/>
    <s v="Male"/>
    <n v="130"/>
    <s v="Invalid"/>
    <s v="lagos"/>
    <x v="0"/>
    <s v="Electronics"/>
    <s v="Electronics"/>
    <s v="Phone"/>
    <s v="Phone"/>
    <n v="470.53"/>
    <n v="6"/>
    <n v="6"/>
    <n v="5"/>
    <s v="Valid"/>
    <s v="Mobile Money"/>
    <s v="Mobile Money"/>
    <s v="Ben"/>
    <x v="3"/>
    <x v="2"/>
    <n v="2"/>
    <s v="ok"/>
    <n v="2682.0209999999997"/>
  </r>
  <r>
    <s v="T100617"/>
    <s v="2026-05-09"/>
    <s v="C6910"/>
    <s v="Grace"/>
    <s v="Grace"/>
    <s v="Male"/>
    <n v="130"/>
    <s v="Invalid"/>
    <s v="lagos"/>
    <x v="0"/>
    <s v="Home"/>
    <s v="Home"/>
    <s v="Chair"/>
    <s v="Chair"/>
    <n v="147.83000000000001"/>
    <n v="-2"/>
    <n v="1"/>
    <n v="120"/>
    <s v="invalid"/>
    <s v="POS"/>
    <s v="Pos"/>
    <s v="Ada"/>
    <x v="2"/>
    <x v="3"/>
    <m/>
    <s v="ok"/>
    <n v="-29.565999999999995"/>
  </r>
  <r>
    <s v="T100618"/>
    <s v="2025-03-02"/>
    <s v="C2436"/>
    <m/>
    <s v=""/>
    <s v="Female"/>
    <n v="8"/>
    <s v="Invalid"/>
    <s v="lagos"/>
    <x v="0"/>
    <s v="Groceries"/>
    <s v="Groceries"/>
    <s v="Rice"/>
    <s v="Rice"/>
    <n v="166.79"/>
    <n v="5"/>
    <n v="5"/>
    <n v="5"/>
    <s v="Valid"/>
    <s v="Cash"/>
    <s v="Cash"/>
    <s v="Ada"/>
    <x v="2"/>
    <x v="3"/>
    <n v="2"/>
    <s v="Missing"/>
    <n v="792.25249999999994"/>
  </r>
  <r>
    <s v="T100619"/>
    <s v="2026-04-22"/>
    <s v="C9971"/>
    <s v="Mary"/>
    <s v="Mary"/>
    <s v="Female"/>
    <n v="8"/>
    <s v="Invalid"/>
    <s v="lagos"/>
    <x v="0"/>
    <s v="Fashion"/>
    <s v="Fashion"/>
    <s v="Shirt"/>
    <s v="Shirt"/>
    <n v="127.89"/>
    <n v="-2"/>
    <n v="1"/>
    <n v="0"/>
    <s v="Valid"/>
    <s v="Transfer"/>
    <s v="Transfer"/>
    <s v="Ben"/>
    <x v="3"/>
    <x v="2"/>
    <m/>
    <s v="ok"/>
    <n v="127.89"/>
  </r>
  <r>
    <s v="T100620"/>
    <s v="2026-03-15"/>
    <s v="C1892"/>
    <m/>
    <s v=""/>
    <s v="Female"/>
    <n v="8"/>
    <s v="Invalid"/>
    <s v="lagos"/>
    <x v="0"/>
    <s v="Electronics"/>
    <s v="Electronics"/>
    <s v="Phone"/>
    <s v="Phone"/>
    <n v="208.53"/>
    <n v="5"/>
    <n v="5"/>
    <n v="-10"/>
    <s v="invalid"/>
    <s v="Transfer"/>
    <s v="Transfer"/>
    <s v="Dan"/>
    <x v="0"/>
    <x v="0"/>
    <n v="2"/>
    <s v="Missing"/>
    <n v="1146.9150000000002"/>
  </r>
  <r>
    <s v="T100621"/>
    <s v="2025-06-18"/>
    <s v="C2753"/>
    <s v="Aisha"/>
    <s v="Aisha"/>
    <s v="Male"/>
    <n v="20"/>
    <s v="Valid"/>
    <s v="PH"/>
    <x v="1"/>
    <s v="Fashion"/>
    <s v="Fashion"/>
    <s v="Shirt"/>
    <s v="Shirt"/>
    <n v="356.56"/>
    <n v="-2"/>
    <n v="1"/>
    <n v="10"/>
    <s v="Valid"/>
    <s v="Transfer"/>
    <s v="Transfer"/>
    <s v="Ben"/>
    <x v="3"/>
    <x v="2"/>
    <n v="5"/>
    <s v="ok"/>
    <n v="320.904"/>
  </r>
  <r>
    <s v="T100622"/>
    <s v="2025-05-09"/>
    <s v="C7704"/>
    <s v="Mary"/>
    <s v="Mary"/>
    <s v="Female"/>
    <n v="38"/>
    <s v="Valid"/>
    <s v="lagos"/>
    <x v="0"/>
    <s v="Sports"/>
    <s v="Sports"/>
    <s v="Ball"/>
    <s v="Ball"/>
    <n v="77.540000000000006"/>
    <n v="6"/>
    <n v="6"/>
    <n v="10"/>
    <s v="Valid"/>
    <s v="Transfer"/>
    <s v="Transfer"/>
    <s v="Ben"/>
    <x v="3"/>
    <x v="1"/>
    <n v="3"/>
    <s v="ok"/>
    <n v="418.71600000000001"/>
  </r>
  <r>
    <s v="T100623"/>
    <s v="03/08/2025"/>
    <s v="C5485"/>
    <s v="Grace"/>
    <s v="Grace"/>
    <s v="Female"/>
    <n v="8"/>
    <s v="Invalid"/>
    <s v="lagos"/>
    <x v="0"/>
    <s v="Fashion"/>
    <s v="Fashion"/>
    <s v="Shirt"/>
    <s v="Shirt"/>
    <n v="257.81"/>
    <n v="3"/>
    <n v="3"/>
    <n v="5"/>
    <s v="Valid"/>
    <s v="POS"/>
    <s v="Pos"/>
    <s v="Ada"/>
    <x v="2"/>
    <x v="2"/>
    <m/>
    <s v="ok"/>
    <n v="734.75850000000003"/>
  </r>
  <r>
    <s v="T100624"/>
    <s v="2025-05-05"/>
    <s v="C2509"/>
    <s v="  James "/>
    <s v="James"/>
    <s v="Female"/>
    <n v="44"/>
    <s v="Valid"/>
    <s v="PH"/>
    <x v="1"/>
    <s v="Fashion"/>
    <s v="Fashion"/>
    <s v="Shirt"/>
    <s v="Shirt"/>
    <n v="201.37"/>
    <n v="-2"/>
    <n v="1"/>
    <n v="5"/>
    <s v="Valid"/>
    <s v="Mobile Money"/>
    <s v="Mobile Money"/>
    <s v="Chi"/>
    <x v="1"/>
    <x v="1"/>
    <n v="3"/>
    <s v="ok"/>
    <n v="191.3015"/>
  </r>
  <r>
    <s v="T100625"/>
    <s v="2025-10-22"/>
    <s v="C2858"/>
    <s v="Grace"/>
    <s v="Grace"/>
    <s v="Female"/>
    <n v="8"/>
    <s v="Invalid"/>
    <s v="Abuja"/>
    <x v="3"/>
    <s v="Fashion"/>
    <s v="Fashion"/>
    <s v="Shirt"/>
    <s v="Shirt"/>
    <n v="402.34"/>
    <n v="4"/>
    <n v="4"/>
    <n v="5"/>
    <s v="Valid"/>
    <m/>
    <s v=""/>
    <s v="Ada"/>
    <x v="2"/>
    <x v="1"/>
    <n v="4"/>
    <s v="ok"/>
    <n v="1528.8919999999998"/>
  </r>
  <r>
    <s v="T100626"/>
    <s v="2025-05-02"/>
    <s v="C4528"/>
    <s v="Aisha"/>
    <s v="Aisha"/>
    <s v="Male"/>
    <n v="130"/>
    <s v="Invalid"/>
    <s v="Abuja"/>
    <x v="3"/>
    <s v="groceris"/>
    <s v="Groceris"/>
    <s v="Rice"/>
    <s v="Rice"/>
    <n v="156.51"/>
    <n v="-2"/>
    <n v="1"/>
    <n v="15"/>
    <s v="Valid"/>
    <s v="Cash"/>
    <s v="Cash"/>
    <s v="Ben"/>
    <x v="3"/>
    <x v="2"/>
    <m/>
    <s v="ok"/>
    <n v="133.03349999999998"/>
  </r>
  <r>
    <s v="T100627"/>
    <s v="2026-01-02"/>
    <s v="C1803"/>
    <s v="  James "/>
    <s v="James"/>
    <s v="Female"/>
    <n v="54"/>
    <s v="Valid"/>
    <s v="Enugu"/>
    <x v="2"/>
    <s v="Sports"/>
    <s v="Sports"/>
    <s v="Ball"/>
    <s v="Ball"/>
    <n v="79.2"/>
    <n v="10"/>
    <n v="10"/>
    <n v="5"/>
    <s v="Valid"/>
    <s v="Mobile Money"/>
    <s v="Mobile Money"/>
    <s v="Chi"/>
    <x v="1"/>
    <x v="0"/>
    <n v="5"/>
    <s v="ok"/>
    <n v="752.4"/>
  </r>
  <r>
    <s v="T100628"/>
    <s v="2025-01-05"/>
    <s v="C5982"/>
    <s v="Peter"/>
    <s v="Peter"/>
    <s v="Female"/>
    <n v="36"/>
    <s v="Valid"/>
    <s v="lagos"/>
    <x v="0"/>
    <s v="Fashion"/>
    <s v="Fashion"/>
    <s v="Shirt"/>
    <s v="Shirt"/>
    <n v="116.58"/>
    <n v="-2"/>
    <n v="1"/>
    <n v="0"/>
    <s v="Valid"/>
    <m/>
    <s v=""/>
    <s v="Ada"/>
    <x v="2"/>
    <x v="0"/>
    <n v="4"/>
    <s v="ok"/>
    <n v="116.58"/>
  </r>
  <r>
    <s v="T100629"/>
    <s v="2025-01-07"/>
    <s v="C2453"/>
    <s v="Mary"/>
    <s v="Mary"/>
    <s v="Female"/>
    <n v="8"/>
    <s v="Invalid"/>
    <s v="Abuja"/>
    <x v="3"/>
    <s v="groceris"/>
    <s v="Groceris"/>
    <s v="Rice"/>
    <s v="Rice"/>
    <n v="106.48"/>
    <n v="-2"/>
    <n v="1"/>
    <n v="5"/>
    <s v="Valid"/>
    <s v="Cash"/>
    <s v="Cash"/>
    <s v="Chi"/>
    <x v="1"/>
    <x v="0"/>
    <m/>
    <s v="ok"/>
    <n v="101.15600000000001"/>
  </r>
  <r>
    <s v="T100630"/>
    <s v="12/05/2026"/>
    <s v="C4449"/>
    <s v="David"/>
    <s v="David"/>
    <s v="Female"/>
    <n v="8"/>
    <s v="Invalid"/>
    <s v="Kano"/>
    <x v="4"/>
    <s v="Home"/>
    <s v="Home"/>
    <s v="Chair"/>
    <s v="Chair"/>
    <n v="106.25"/>
    <n v="-2"/>
    <n v="1"/>
    <n v="10"/>
    <s v="Valid"/>
    <s v="Cash"/>
    <s v="Cash"/>
    <s v="Dan"/>
    <x v="0"/>
    <x v="0"/>
    <n v="2"/>
    <s v="ok"/>
    <n v="95.625"/>
  </r>
  <r>
    <s v="T100631"/>
    <s v="2025-11-20"/>
    <s v="C6647"/>
    <s v="Grace"/>
    <s v="Grace"/>
    <s v="Female"/>
    <n v="130"/>
    <s v="Invalid"/>
    <s v="Abuja"/>
    <x v="3"/>
    <s v="Sports"/>
    <s v="Sports"/>
    <s v="Ball"/>
    <s v="Ball"/>
    <n v="390.88"/>
    <n v="-2"/>
    <n v="1"/>
    <n v="10"/>
    <s v="Valid"/>
    <s v="Cash"/>
    <s v="Cash"/>
    <s v="Ben"/>
    <x v="3"/>
    <x v="3"/>
    <m/>
    <s v="ok"/>
    <n v="351.79200000000003"/>
  </r>
  <r>
    <s v="T100632"/>
    <s v="2025-07-27"/>
    <s v="C6839"/>
    <s v="Aisha"/>
    <s v="Aisha"/>
    <s v="Female"/>
    <n v="8"/>
    <s v="Invalid"/>
    <s v="lagos"/>
    <x v="0"/>
    <s v="groceris"/>
    <s v="Groceris"/>
    <s v="Rice"/>
    <s v="Rice"/>
    <n v="61.26"/>
    <n v="-2"/>
    <n v="1"/>
    <n v="10"/>
    <s v="Valid"/>
    <s v="Transfer"/>
    <s v="Transfer"/>
    <s v="Dan"/>
    <x v="0"/>
    <x v="1"/>
    <n v="1"/>
    <s v="ok"/>
    <n v="55.134"/>
  </r>
  <r>
    <s v="T100633"/>
    <s v="2026-01-28"/>
    <s v="C3900"/>
    <s v="Peter"/>
    <s v="Peter"/>
    <s v="Male"/>
    <n v="41"/>
    <s v="Valid"/>
    <s v="PH"/>
    <x v="1"/>
    <s v="Electronics"/>
    <s v="Electronics"/>
    <s v="Phone"/>
    <s v="Phone"/>
    <n v="83.5"/>
    <n v="5"/>
    <n v="5"/>
    <n v="5"/>
    <s v="Valid"/>
    <s v="Cash"/>
    <s v="Cash"/>
    <s v="Ada"/>
    <x v="2"/>
    <x v="0"/>
    <n v="4"/>
    <s v="ok"/>
    <n v="396.625"/>
  </r>
  <r>
    <s v="T100634"/>
    <s v="2025-03-12"/>
    <s v="C5263"/>
    <s v="Aisha"/>
    <s v="Aisha"/>
    <s v="Female"/>
    <n v="43"/>
    <s v="Valid"/>
    <s v="PH"/>
    <x v="1"/>
    <s v="groceris"/>
    <s v="Groceris"/>
    <s v="Rice"/>
    <s v="Rice"/>
    <n v="15.24"/>
    <n v="-2"/>
    <n v="1"/>
    <n v="10"/>
    <s v="Valid"/>
    <s v="POS"/>
    <s v="Pos"/>
    <s v="Chi"/>
    <x v="1"/>
    <x v="1"/>
    <n v="4"/>
    <s v="ok"/>
    <n v="13.716000000000001"/>
  </r>
  <r>
    <s v="T100635"/>
    <s v="2026-04-20"/>
    <s v="C7989"/>
    <s v="Aisha"/>
    <s v="Aisha"/>
    <s v="Female"/>
    <n v="130"/>
    <s v="Invalid"/>
    <s v="lagos"/>
    <x v="0"/>
    <s v="Electronics"/>
    <s v="Electronics"/>
    <s v="Phone"/>
    <s v="Phone"/>
    <n v="304.64"/>
    <n v="7"/>
    <n v="7"/>
    <n v="120"/>
    <s v="invalid"/>
    <s v="Cash"/>
    <s v="Cash"/>
    <s v="Chi"/>
    <x v="1"/>
    <x v="2"/>
    <n v="2"/>
    <s v="ok"/>
    <n v="-426.49599999999992"/>
  </r>
  <r>
    <s v="T100636"/>
    <s v="2025-07-24"/>
    <s v="C6707"/>
    <m/>
    <s v=""/>
    <s v="Male"/>
    <n v="46"/>
    <s v="Valid"/>
    <s v="Kano"/>
    <x v="4"/>
    <s v="Beauty"/>
    <s v="Beauty"/>
    <s v="Cream"/>
    <s v="Cream"/>
    <n v="440.64"/>
    <n v="-2"/>
    <n v="1"/>
    <n v="0"/>
    <s v="Valid"/>
    <s v="POS"/>
    <s v="Pos"/>
    <s v="Dan"/>
    <x v="0"/>
    <x v="0"/>
    <m/>
    <s v="Missing"/>
    <n v="440.64"/>
  </r>
  <r>
    <s v="T100637"/>
    <s v="07/06/2026"/>
    <s v="C2331"/>
    <s v="Peter"/>
    <s v="Peter"/>
    <s v="Female"/>
    <n v="8"/>
    <s v="Invalid"/>
    <s v="lagos"/>
    <x v="0"/>
    <s v="Fashion"/>
    <s v="Fashion"/>
    <s v="Shirt"/>
    <s v="Shirt"/>
    <n v="458.86"/>
    <n v="5"/>
    <n v="5"/>
    <n v="-10"/>
    <s v="invalid"/>
    <s v="POS"/>
    <s v="Pos"/>
    <s v="Dan"/>
    <x v="0"/>
    <x v="3"/>
    <n v="3"/>
    <s v="ok"/>
    <n v="2523.7300000000005"/>
  </r>
  <r>
    <s v="T100638"/>
    <s v="2025-04-06"/>
    <s v="C6457"/>
    <s v="Aisha"/>
    <s v="Aisha"/>
    <s v="Female"/>
    <n v="8"/>
    <s v="Invalid"/>
    <s v="lagos"/>
    <x v="0"/>
    <s v="Beauty"/>
    <s v="Beauty"/>
    <s v="Cream"/>
    <s v="Cream"/>
    <n v="487.6"/>
    <n v="1"/>
    <n v="1"/>
    <n v="15"/>
    <s v="Valid"/>
    <s v="POS"/>
    <s v="Pos"/>
    <s v="Ada"/>
    <x v="2"/>
    <x v="2"/>
    <n v="4"/>
    <s v="ok"/>
    <n v="414.46000000000004"/>
  </r>
  <r>
    <s v="T100639"/>
    <s v="2025-10-24"/>
    <s v="C7132"/>
    <m/>
    <s v=""/>
    <s v="Male"/>
    <n v="57"/>
    <s v="Valid"/>
    <s v="Kano"/>
    <x v="4"/>
    <s v="Beauty"/>
    <s v="Beauty"/>
    <s v="Cream"/>
    <s v="Cream"/>
    <n v="166.06"/>
    <n v="-2"/>
    <n v="1"/>
    <n v="5"/>
    <s v="Valid"/>
    <s v="Cash"/>
    <s v="Cash"/>
    <s v="Dan"/>
    <x v="0"/>
    <x v="1"/>
    <n v="3"/>
    <s v="Missing"/>
    <n v="157.75700000000001"/>
  </r>
  <r>
    <s v="T100640"/>
    <s v="2025-10-30"/>
    <s v="C8466"/>
    <s v="John"/>
    <s v="John"/>
    <s v="Female"/>
    <n v="130"/>
    <s v="Invalid"/>
    <s v="lagos"/>
    <x v="0"/>
    <s v="Electronics"/>
    <s v="Electronics"/>
    <s v="Phone"/>
    <s v="Phone"/>
    <n v="493.5"/>
    <n v="-2"/>
    <n v="1"/>
    <n v="-10"/>
    <s v="invalid"/>
    <m/>
    <s v=""/>
    <s v="Chi"/>
    <x v="1"/>
    <x v="2"/>
    <m/>
    <s v="ok"/>
    <n v="542.85"/>
  </r>
  <r>
    <s v="T100641"/>
    <s v="2025-07-23"/>
    <s v="C4895"/>
    <s v="Grace"/>
    <s v="Grace"/>
    <s v="Female"/>
    <n v="130"/>
    <s v="Invalid"/>
    <s v="Kano"/>
    <x v="4"/>
    <s v="Sports"/>
    <s v="Sports"/>
    <s v="Ball"/>
    <s v="Ball"/>
    <n v="428.14"/>
    <n v="10"/>
    <n v="10"/>
    <n v="5"/>
    <s v="Valid"/>
    <s v="Mobile Money"/>
    <s v="Mobile Money"/>
    <s v="Ada"/>
    <x v="2"/>
    <x v="0"/>
    <n v="2"/>
    <s v="ok"/>
    <n v="4067.3299999999995"/>
  </r>
  <r>
    <s v="T100642"/>
    <s v="2026-02-21"/>
    <s v="C4686"/>
    <s v="Peter"/>
    <s v="Peter"/>
    <s v="Female"/>
    <n v="130"/>
    <s v="Invalid"/>
    <s v="PH"/>
    <x v="1"/>
    <s v="Groceries"/>
    <s v="Groceries"/>
    <s v="Rice"/>
    <s v="Rice"/>
    <n v="445.63"/>
    <n v="-2"/>
    <n v="1"/>
    <n v="5"/>
    <s v="Valid"/>
    <s v="POS"/>
    <s v="Pos"/>
    <s v="Ada"/>
    <x v="2"/>
    <x v="1"/>
    <n v="5"/>
    <s v="ok"/>
    <n v="423.3485"/>
  </r>
  <r>
    <s v="T100643"/>
    <s v="2025-04-18"/>
    <s v="C4284"/>
    <s v="Peter"/>
    <s v="Peter"/>
    <s v="Female"/>
    <n v="130"/>
    <s v="Invalid"/>
    <s v="Enugu"/>
    <x v="2"/>
    <s v="Fashion"/>
    <s v="Fashion"/>
    <s v="Shirt"/>
    <s v="Shirt"/>
    <n v="141.63999999999999"/>
    <n v="-2"/>
    <n v="1"/>
    <n v="0"/>
    <s v="Valid"/>
    <s v="Mobile Money"/>
    <s v="Mobile Money"/>
    <s v="Dan"/>
    <x v="0"/>
    <x v="3"/>
    <m/>
    <s v="ok"/>
    <n v="141.63999999999999"/>
  </r>
  <r>
    <s v="T100644"/>
    <s v="02/11/2025"/>
    <s v="C6348"/>
    <s v="David"/>
    <s v="David"/>
    <s v="Female"/>
    <n v="8"/>
    <s v="Invalid"/>
    <s v="lagos"/>
    <x v="0"/>
    <s v="groceris"/>
    <s v="Groceris"/>
    <s v="Rice"/>
    <s v="Rice"/>
    <n v="429.31"/>
    <n v="-2"/>
    <n v="1"/>
    <n v="10"/>
    <s v="Valid"/>
    <s v="Mobile Money"/>
    <s v="Mobile Money"/>
    <s v="Ada"/>
    <x v="2"/>
    <x v="2"/>
    <m/>
    <s v="ok"/>
    <n v="386.37900000000002"/>
  </r>
  <r>
    <s v="T100645"/>
    <s v="2025-04-12"/>
    <s v="C6597"/>
    <s v="  James "/>
    <s v="James"/>
    <s v="Male"/>
    <n v="40"/>
    <s v="Valid"/>
    <s v="PH"/>
    <x v="1"/>
    <s v="Sports"/>
    <s v="Sports"/>
    <s v="Ball"/>
    <s v="Ball"/>
    <n v="391.5"/>
    <n v="-2"/>
    <n v="1"/>
    <n v="0"/>
    <s v="Valid"/>
    <s v="Transfer"/>
    <s v="Transfer"/>
    <s v="Ben"/>
    <x v="3"/>
    <x v="2"/>
    <m/>
    <s v="ok"/>
    <n v="391.5"/>
  </r>
  <r>
    <s v="T100646"/>
    <s v="2025-10-01"/>
    <s v="C8608"/>
    <s v="David"/>
    <s v="David"/>
    <s v="Male"/>
    <n v="130"/>
    <s v="Invalid"/>
    <s v="lagos"/>
    <x v="0"/>
    <s v="Sports"/>
    <s v="Sports"/>
    <s v="Ball"/>
    <s v="Ball"/>
    <n v="57.66"/>
    <n v="-2"/>
    <n v="1"/>
    <n v="10"/>
    <s v="Valid"/>
    <m/>
    <s v=""/>
    <s v="Dan"/>
    <x v="0"/>
    <x v="1"/>
    <n v="2"/>
    <s v="ok"/>
    <n v="51.893999999999998"/>
  </r>
  <r>
    <s v="T100647"/>
    <s v="2026-03-04"/>
    <s v="C4044"/>
    <s v="David"/>
    <s v="David"/>
    <s v="Male"/>
    <n v="19"/>
    <s v="Valid"/>
    <s v="Abuja"/>
    <x v="3"/>
    <s v="Groceries"/>
    <s v="Groceries"/>
    <s v="Rice"/>
    <s v="Rice"/>
    <n v="69.73"/>
    <n v="-2"/>
    <n v="1"/>
    <n v="10"/>
    <s v="Valid"/>
    <m/>
    <s v=""/>
    <s v="Dan"/>
    <x v="0"/>
    <x v="1"/>
    <n v="2"/>
    <s v="ok"/>
    <n v="62.757000000000005"/>
  </r>
  <r>
    <s v="T100648"/>
    <s v="2025-12-30"/>
    <s v="C7869"/>
    <s v="  James "/>
    <s v="James"/>
    <s v="Female"/>
    <n v="130"/>
    <s v="Invalid"/>
    <s v="lagos"/>
    <x v="0"/>
    <s v="Electronics"/>
    <s v="Electronics"/>
    <s v="Phone"/>
    <s v="Phone"/>
    <n v="355.09"/>
    <n v="-2"/>
    <n v="1"/>
    <n v="-10"/>
    <s v="invalid"/>
    <s v="POS"/>
    <s v="Pos"/>
    <s v="Ben"/>
    <x v="3"/>
    <x v="2"/>
    <n v="3"/>
    <s v="ok"/>
    <n v="390.59899999999999"/>
  </r>
  <r>
    <s v="T100649"/>
    <s v="2026-05-28"/>
    <s v="C7886"/>
    <s v="Mary"/>
    <s v="Mary"/>
    <s v="Male"/>
    <n v="55"/>
    <s v="Valid"/>
    <s v="Kano"/>
    <x v="4"/>
    <s v="Groceries"/>
    <s v="Groceries"/>
    <s v="Rice"/>
    <s v="Rice"/>
    <n v="410.99"/>
    <n v="3"/>
    <n v="3"/>
    <n v="-10"/>
    <s v="invalid"/>
    <m/>
    <s v=""/>
    <s v="Dan"/>
    <x v="0"/>
    <x v="3"/>
    <n v="5"/>
    <s v="ok"/>
    <n v="1356.2670000000001"/>
  </r>
  <r>
    <s v="T100650"/>
    <s v="2025-08-12"/>
    <s v="C4941"/>
    <s v="Aisha"/>
    <s v="Aisha"/>
    <s v="Female"/>
    <n v="130"/>
    <s v="Invalid"/>
    <s v="lagos"/>
    <x v="0"/>
    <s v="groceris"/>
    <s v="Groceris"/>
    <s v="Rice"/>
    <s v="Rice"/>
    <n v="410.13"/>
    <n v="-2"/>
    <n v="1"/>
    <n v="10"/>
    <s v="Valid"/>
    <s v="Mobile Money"/>
    <s v="Mobile Money"/>
    <s v="Ada"/>
    <x v="2"/>
    <x v="3"/>
    <m/>
    <s v="ok"/>
    <n v="369.11700000000002"/>
  </r>
  <r>
    <s v="T100651"/>
    <s v="26/12/2025"/>
    <s v="C6792"/>
    <s v="Mary"/>
    <s v="Mary"/>
    <s v="Male"/>
    <n v="8"/>
    <s v="Invalid"/>
    <s v="Enugu"/>
    <x v="2"/>
    <s v="Home"/>
    <s v="Home"/>
    <s v="Chair"/>
    <s v="Chair"/>
    <n v="349.19"/>
    <n v="6"/>
    <n v="6"/>
    <n v="120"/>
    <s v="invalid"/>
    <s v="Cash"/>
    <s v="Cash"/>
    <s v="Dan"/>
    <x v="0"/>
    <x v="0"/>
    <n v="2"/>
    <s v="ok"/>
    <n v="-419.02799999999991"/>
  </r>
  <r>
    <s v="T100652"/>
    <s v="2026-02-06"/>
    <s v="C4739"/>
    <s v="  James "/>
    <s v="James"/>
    <s v="Female"/>
    <n v="60"/>
    <s v="Valid"/>
    <s v="Kano"/>
    <x v="4"/>
    <s v="Electronics"/>
    <s v="Electronics"/>
    <s v="Phone"/>
    <s v="Phone"/>
    <n v="394.92"/>
    <n v="-2"/>
    <n v="1"/>
    <n v="10"/>
    <s v="Valid"/>
    <s v="Mobile Money"/>
    <s v="Mobile Money"/>
    <s v="Chi"/>
    <x v="1"/>
    <x v="0"/>
    <n v="2"/>
    <s v="ok"/>
    <n v="355.428"/>
  </r>
  <r>
    <s v="T100653"/>
    <s v="2025-05-07"/>
    <s v="C4636"/>
    <s v="Grace"/>
    <s v="Grace"/>
    <s v="Female"/>
    <n v="8"/>
    <s v="Invalid"/>
    <s v="PH"/>
    <x v="1"/>
    <s v="Electronics"/>
    <s v="Electronics"/>
    <s v="Phone"/>
    <s v="Phone"/>
    <n v="125.08"/>
    <n v="2"/>
    <n v="2"/>
    <n v="5"/>
    <s v="Valid"/>
    <s v="Mobile Money"/>
    <s v="Mobile Money"/>
    <s v="Ben"/>
    <x v="3"/>
    <x v="3"/>
    <n v="5"/>
    <s v="ok"/>
    <n v="237.65199999999999"/>
  </r>
  <r>
    <s v="T100654"/>
    <s v="2025-09-22"/>
    <s v="C1908"/>
    <s v="John"/>
    <s v="John"/>
    <s v="Female"/>
    <n v="130"/>
    <s v="Invalid"/>
    <s v="lagos"/>
    <x v="0"/>
    <s v="Electronics"/>
    <s v="Electronics"/>
    <s v="Phone"/>
    <s v="Phone"/>
    <n v="189.1"/>
    <n v="-2"/>
    <n v="1"/>
    <n v="120"/>
    <s v="invalid"/>
    <s v="Mobile Money"/>
    <s v="Mobile Money"/>
    <s v="Ada"/>
    <x v="2"/>
    <x v="0"/>
    <n v="2"/>
    <s v="ok"/>
    <n v="-37.819999999999993"/>
  </r>
  <r>
    <s v="T100655"/>
    <s v="2025-01-09"/>
    <s v="C5938"/>
    <s v="Peter"/>
    <s v="Peter"/>
    <s v="Female"/>
    <n v="130"/>
    <s v="Invalid"/>
    <s v="Kano"/>
    <x v="4"/>
    <s v="Sports"/>
    <s v="Sports"/>
    <s v="Ball"/>
    <s v="Ball"/>
    <n v="237.14"/>
    <n v="9"/>
    <n v="9"/>
    <n v="-10"/>
    <s v="invalid"/>
    <s v="Cash"/>
    <s v="Cash"/>
    <s v="Dan"/>
    <x v="0"/>
    <x v="0"/>
    <n v="3"/>
    <s v="ok"/>
    <n v="2347.6860000000001"/>
  </r>
  <r>
    <s v="T100656"/>
    <s v="2025-09-04"/>
    <s v="C7949"/>
    <m/>
    <s v=""/>
    <s v="Male"/>
    <n v="130"/>
    <s v="Invalid"/>
    <s v="lagos"/>
    <x v="0"/>
    <s v="Electronics"/>
    <s v="Electronics"/>
    <s v="Phone"/>
    <s v="Phone"/>
    <n v="192.42"/>
    <n v="-2"/>
    <n v="1"/>
    <n v="5"/>
    <s v="Valid"/>
    <s v="Transfer"/>
    <s v="Transfer"/>
    <s v="Chi"/>
    <x v="1"/>
    <x v="3"/>
    <n v="1"/>
    <s v="Missing"/>
    <n v="182.79899999999998"/>
  </r>
  <r>
    <s v="T100657"/>
    <s v="2025-05-23"/>
    <s v="C1598"/>
    <s v="Peter"/>
    <s v="Peter"/>
    <s v="Male"/>
    <n v="130"/>
    <s v="Invalid"/>
    <s v="Kano"/>
    <x v="4"/>
    <s v="groceris"/>
    <s v="Groceris"/>
    <s v="Rice"/>
    <s v="Rice"/>
    <n v="296.12"/>
    <n v="7"/>
    <n v="7"/>
    <n v="15"/>
    <s v="Valid"/>
    <m/>
    <s v=""/>
    <s v="Chi"/>
    <x v="1"/>
    <x v="3"/>
    <n v="1"/>
    <s v="ok"/>
    <n v="1761.914"/>
  </r>
  <r>
    <s v="T100658"/>
    <s v="01/09/2025"/>
    <s v="C7185"/>
    <s v="Mary"/>
    <s v="Mary"/>
    <s v="Male"/>
    <n v="130"/>
    <s v="Invalid"/>
    <s v="lagos"/>
    <x v="0"/>
    <s v="Beauty"/>
    <s v="Beauty"/>
    <s v="Cream"/>
    <s v="Cream"/>
    <n v="273.82"/>
    <n v="1"/>
    <n v="1"/>
    <n v="10"/>
    <s v="Valid"/>
    <s v="POS"/>
    <s v="Pos"/>
    <s v="Ada"/>
    <x v="2"/>
    <x v="0"/>
    <n v="5"/>
    <s v="ok"/>
    <n v="246.43799999999999"/>
  </r>
  <r>
    <s v="T100659"/>
    <s v="2026-02-15"/>
    <s v="C4013"/>
    <s v="Aisha"/>
    <s v="Aisha"/>
    <s v="Male"/>
    <n v="8"/>
    <s v="Invalid"/>
    <s v="lagos"/>
    <x v="0"/>
    <s v="Beauty"/>
    <s v="Beauty"/>
    <s v="Cream"/>
    <s v="Cream"/>
    <n v="169.03"/>
    <n v="7"/>
    <n v="7"/>
    <n v="10"/>
    <s v="Valid"/>
    <s v="POS"/>
    <s v="Pos"/>
    <s v="Ben"/>
    <x v="3"/>
    <x v="0"/>
    <n v="1"/>
    <s v="ok"/>
    <n v="1064.8890000000001"/>
  </r>
  <r>
    <s v="T100660"/>
    <s v="2026-06-06"/>
    <s v="C7269"/>
    <s v="Grace"/>
    <s v="Grace"/>
    <s v="Female"/>
    <n v="130"/>
    <s v="Invalid"/>
    <s v="Kano"/>
    <x v="4"/>
    <s v="Sports"/>
    <s v="Sports"/>
    <s v="Ball"/>
    <s v="Ball"/>
    <n v="106.03"/>
    <n v="-2"/>
    <n v="1"/>
    <n v="-10"/>
    <s v="invalid"/>
    <s v="Cash"/>
    <s v="Cash"/>
    <s v="Ben"/>
    <x v="3"/>
    <x v="2"/>
    <n v="2"/>
    <s v="ok"/>
    <n v="116.63300000000001"/>
  </r>
  <r>
    <s v="T100661"/>
    <s v="2025-02-03"/>
    <s v="C7284"/>
    <s v="Grace"/>
    <s v="Grace"/>
    <s v="Female"/>
    <n v="130"/>
    <s v="Invalid"/>
    <s v="Kano"/>
    <x v="4"/>
    <s v="Fashion"/>
    <s v="Fashion"/>
    <s v="Shirt"/>
    <s v="Shirt"/>
    <n v="249.72"/>
    <n v="-2"/>
    <n v="1"/>
    <n v="5"/>
    <s v="Valid"/>
    <m/>
    <s v=""/>
    <s v="Dan"/>
    <x v="0"/>
    <x v="2"/>
    <n v="3"/>
    <s v="ok"/>
    <n v="237.23399999999998"/>
  </r>
  <r>
    <s v="T100662"/>
    <s v="2026-03-12"/>
    <s v="C6995"/>
    <s v="  James "/>
    <s v="James"/>
    <s v="Male"/>
    <n v="8"/>
    <s v="Invalid"/>
    <s v="Enugu"/>
    <x v="2"/>
    <s v="Beauty"/>
    <s v="Beauty"/>
    <s v="Cream"/>
    <s v="Cream"/>
    <n v="14.14"/>
    <n v="1"/>
    <n v="1"/>
    <n v="10"/>
    <s v="Valid"/>
    <s v="Mobile Money"/>
    <s v="Mobile Money"/>
    <s v="Chi"/>
    <x v="1"/>
    <x v="2"/>
    <n v="3"/>
    <s v="ok"/>
    <n v="12.726000000000001"/>
  </r>
  <r>
    <s v="T100663"/>
    <s v="2025-09-11"/>
    <s v="C4750"/>
    <s v="Peter"/>
    <s v="Peter"/>
    <s v="Male"/>
    <n v="8"/>
    <s v="Invalid"/>
    <s v="lagos"/>
    <x v="0"/>
    <s v="Fashion"/>
    <s v="Fashion"/>
    <s v="Shirt"/>
    <s v="Shirt"/>
    <n v="62.98"/>
    <n v="9"/>
    <n v="9"/>
    <n v="-10"/>
    <s v="invalid"/>
    <s v="Cash"/>
    <s v="Cash"/>
    <s v="Dan"/>
    <x v="0"/>
    <x v="0"/>
    <n v="4"/>
    <s v="ok"/>
    <n v="623.50199999999995"/>
  </r>
  <r>
    <s v="T100664"/>
    <s v="2025-02-07"/>
    <s v="C1312"/>
    <s v="Mary"/>
    <s v="Mary"/>
    <s v="Female"/>
    <n v="130"/>
    <s v="Invalid"/>
    <s v="Abuja"/>
    <x v="3"/>
    <s v="Fashion"/>
    <s v="Fashion"/>
    <s v="Shirt"/>
    <s v="Shirt"/>
    <n v="349.17"/>
    <n v="-2"/>
    <n v="1"/>
    <n v="15"/>
    <s v="Valid"/>
    <s v="Cash"/>
    <s v="Cash"/>
    <s v="Chi"/>
    <x v="1"/>
    <x v="3"/>
    <n v="4"/>
    <s v="ok"/>
    <n v="296.79450000000003"/>
  </r>
  <r>
    <s v="T100665"/>
    <s v="09/10/2025"/>
    <s v="C5599"/>
    <s v="David"/>
    <s v="David"/>
    <s v="Female"/>
    <n v="8"/>
    <s v="Invalid"/>
    <s v="lagos"/>
    <x v="0"/>
    <s v="Groceries"/>
    <s v="Groceries"/>
    <s v="Rice"/>
    <s v="Rice"/>
    <n v="102.7"/>
    <n v="2"/>
    <n v="2"/>
    <n v="-10"/>
    <s v="invalid"/>
    <m/>
    <s v=""/>
    <s v="Ben"/>
    <x v="3"/>
    <x v="0"/>
    <n v="5"/>
    <s v="ok"/>
    <n v="225.94000000000003"/>
  </r>
  <r>
    <s v="T100666"/>
    <s v="2025-09-06"/>
    <s v="C8314"/>
    <m/>
    <s v=""/>
    <s v="Male"/>
    <n v="39"/>
    <s v="Valid"/>
    <s v="Enugu"/>
    <x v="2"/>
    <s v="Fashion"/>
    <s v="Fashion"/>
    <s v="Shirt"/>
    <s v="Shirt"/>
    <n v="310.35000000000002"/>
    <n v="6"/>
    <n v="6"/>
    <n v="15"/>
    <s v="Valid"/>
    <s v="Transfer"/>
    <s v="Transfer"/>
    <s v="Ada"/>
    <x v="2"/>
    <x v="2"/>
    <n v="4"/>
    <s v="Missing"/>
    <n v="1582.7850000000001"/>
  </r>
  <r>
    <s v="T100667"/>
    <s v="2025-07-24"/>
    <s v="C5838"/>
    <s v="Peter"/>
    <s v="Peter"/>
    <s v="Female"/>
    <n v="8"/>
    <s v="Invalid"/>
    <s v="lagos"/>
    <x v="0"/>
    <s v="Electronics"/>
    <s v="Electronics"/>
    <s v="Phone"/>
    <s v="Phone"/>
    <n v="418.39"/>
    <n v="1"/>
    <n v="1"/>
    <n v="15"/>
    <s v="Valid"/>
    <s v="POS"/>
    <s v="Pos"/>
    <s v="Chi"/>
    <x v="1"/>
    <x v="0"/>
    <n v="1"/>
    <s v="ok"/>
    <n v="355.63149999999996"/>
  </r>
  <r>
    <s v="T100668"/>
    <s v="2026-02-03"/>
    <s v="C2073"/>
    <s v="John"/>
    <s v="John"/>
    <s v="Female"/>
    <n v="130"/>
    <s v="Invalid"/>
    <s v="Enugu"/>
    <x v="2"/>
    <s v="Home"/>
    <s v="Home"/>
    <s v="Chair"/>
    <s v="Chair"/>
    <n v="11.63"/>
    <n v="4"/>
    <n v="4"/>
    <n v="15"/>
    <s v="Valid"/>
    <s v="Transfer"/>
    <s v="Transfer"/>
    <s v="Ada"/>
    <x v="2"/>
    <x v="0"/>
    <n v="5"/>
    <s v="ok"/>
    <n v="39.542000000000002"/>
  </r>
  <r>
    <s v="T100669"/>
    <s v="2026-01-02"/>
    <s v="C7604"/>
    <m/>
    <s v=""/>
    <s v="Male"/>
    <n v="8"/>
    <s v="Invalid"/>
    <s v="Abuja"/>
    <x v="3"/>
    <s v="Groceries"/>
    <s v="Groceries"/>
    <s v="Rice"/>
    <s v="Rice"/>
    <n v="342.24"/>
    <n v="8"/>
    <n v="8"/>
    <n v="15"/>
    <s v="Valid"/>
    <m/>
    <s v=""/>
    <s v="Ada"/>
    <x v="2"/>
    <x v="0"/>
    <n v="4"/>
    <s v="Missing"/>
    <n v="2327.232"/>
  </r>
  <r>
    <s v="T100670"/>
    <s v="2026-04-12"/>
    <s v="C3510"/>
    <s v="Aisha"/>
    <s v="Aisha"/>
    <s v="Female"/>
    <n v="130"/>
    <s v="Invalid"/>
    <s v="Enugu"/>
    <x v="2"/>
    <s v="Home"/>
    <s v="Home"/>
    <s v="Chair"/>
    <s v="Chair"/>
    <n v="395.79"/>
    <n v="9"/>
    <n v="9"/>
    <n v="10"/>
    <s v="Valid"/>
    <m/>
    <s v=""/>
    <s v="Chi"/>
    <x v="1"/>
    <x v="0"/>
    <n v="1"/>
    <s v="ok"/>
    <n v="3205.8990000000003"/>
  </r>
  <r>
    <s v="T100671"/>
    <s v="2025-12-25"/>
    <s v="C6267"/>
    <s v="  James "/>
    <s v="James"/>
    <s v="Female"/>
    <n v="130"/>
    <s v="Invalid"/>
    <s v="lagos"/>
    <x v="0"/>
    <s v="Beauty"/>
    <s v="Beauty"/>
    <s v="Cream"/>
    <s v="Cream"/>
    <n v="362.15"/>
    <n v="1"/>
    <n v="1"/>
    <n v="0"/>
    <s v="Valid"/>
    <s v="Transfer"/>
    <s v="Transfer"/>
    <s v="Dan"/>
    <x v="0"/>
    <x v="2"/>
    <n v="5"/>
    <s v="ok"/>
    <n v="362.15"/>
  </r>
  <r>
    <s v="T100672"/>
    <s v="14/05/2026"/>
    <s v="C9001"/>
    <s v="Mary"/>
    <s v="Mary"/>
    <s v="Female"/>
    <n v="18"/>
    <s v="Invalid"/>
    <s v="Kano"/>
    <x v="4"/>
    <s v="Electronics"/>
    <s v="Electronics"/>
    <s v="Phone"/>
    <s v="Phone"/>
    <n v="306.87"/>
    <n v="2"/>
    <n v="2"/>
    <n v="5"/>
    <s v="Valid"/>
    <s v="POS"/>
    <s v="Pos"/>
    <s v="Dan"/>
    <x v="0"/>
    <x v="3"/>
    <n v="5"/>
    <s v="ok"/>
    <n v="583.053"/>
  </r>
  <r>
    <s v="T100673"/>
    <s v="2026-05-25"/>
    <s v="C1279"/>
    <m/>
    <s v=""/>
    <s v="Female"/>
    <n v="130"/>
    <s v="Invalid"/>
    <s v="lagos"/>
    <x v="0"/>
    <s v="Beauty"/>
    <s v="Beauty"/>
    <s v="Cream"/>
    <s v="Cream"/>
    <n v="53.77"/>
    <n v="1"/>
    <n v="1"/>
    <n v="-10"/>
    <s v="invalid"/>
    <m/>
    <s v=""/>
    <s v="Chi"/>
    <x v="1"/>
    <x v="1"/>
    <n v="5"/>
    <s v="Missing"/>
    <n v="59.147000000000006"/>
  </r>
  <r>
    <s v="T100674"/>
    <s v="2025-06-05"/>
    <s v="C2697"/>
    <s v="Grace"/>
    <s v="Grace"/>
    <s v="Male"/>
    <n v="8"/>
    <s v="Invalid"/>
    <s v="lagos"/>
    <x v="0"/>
    <s v="Groceries"/>
    <s v="Groceries"/>
    <s v="Rice"/>
    <s v="Rice"/>
    <n v="484.94"/>
    <n v="-2"/>
    <n v="1"/>
    <n v="120"/>
    <s v="invalid"/>
    <s v="Cash"/>
    <s v="Cash"/>
    <s v="Ada"/>
    <x v="2"/>
    <x v="3"/>
    <n v="2"/>
    <s v="ok"/>
    <n v="-96.987999999999971"/>
  </r>
  <r>
    <s v="T100675"/>
    <s v="2025-05-07"/>
    <s v="C2531"/>
    <s v="Peter"/>
    <s v="Peter"/>
    <s v="Female"/>
    <n v="32"/>
    <s v="Valid"/>
    <s v="PH"/>
    <x v="1"/>
    <s v="Beauty"/>
    <s v="Beauty"/>
    <s v="Cream"/>
    <s v="Cream"/>
    <n v="106.31"/>
    <n v="3"/>
    <n v="3"/>
    <n v="0"/>
    <s v="Valid"/>
    <s v="Transfer"/>
    <s v="Transfer"/>
    <s v="Ada"/>
    <x v="2"/>
    <x v="3"/>
    <m/>
    <s v="ok"/>
    <n v="318.93"/>
  </r>
  <r>
    <s v="T100676"/>
    <s v="2025-08-01"/>
    <s v="C6282"/>
    <s v="John"/>
    <s v="John"/>
    <s v="Female"/>
    <n v="55"/>
    <s v="Valid"/>
    <s v="PH"/>
    <x v="1"/>
    <s v="Electronics"/>
    <s v="Electronics"/>
    <s v="Phone"/>
    <s v="Phone"/>
    <n v="36.950000000000003"/>
    <n v="-2"/>
    <n v="1"/>
    <n v="5"/>
    <s v="Valid"/>
    <m/>
    <s v=""/>
    <s v="Ben"/>
    <x v="3"/>
    <x v="3"/>
    <n v="2"/>
    <s v="ok"/>
    <n v="35.102499999999999"/>
  </r>
  <r>
    <s v="T100677"/>
    <s v="2025-03-26"/>
    <s v="C3005"/>
    <m/>
    <s v=""/>
    <s v="Female"/>
    <n v="130"/>
    <s v="Invalid"/>
    <s v="lagos"/>
    <x v="0"/>
    <s v="Electronics"/>
    <s v="Electronics"/>
    <s v="Phone"/>
    <s v="Phone"/>
    <n v="438.47"/>
    <n v="-2"/>
    <n v="1"/>
    <n v="15"/>
    <s v="Valid"/>
    <s v="POS"/>
    <s v="Pos"/>
    <s v="Chi"/>
    <x v="1"/>
    <x v="0"/>
    <n v="5"/>
    <s v="Missing"/>
    <n v="372.6995"/>
  </r>
  <r>
    <s v="T100678"/>
    <s v="2026-02-17"/>
    <s v="C9292"/>
    <s v="John"/>
    <s v="John"/>
    <s v="Female"/>
    <n v="8"/>
    <s v="Invalid"/>
    <s v="PH"/>
    <x v="1"/>
    <s v="groceris"/>
    <s v="Groceris"/>
    <s v="Rice"/>
    <s v="Rice"/>
    <n v="428.84"/>
    <n v="4"/>
    <n v="4"/>
    <n v="10"/>
    <s v="Valid"/>
    <s v="POS"/>
    <s v="Pos"/>
    <s v="Ben"/>
    <x v="3"/>
    <x v="0"/>
    <n v="5"/>
    <s v="ok"/>
    <n v="1543.8239999999998"/>
  </r>
  <r>
    <s v="T100679"/>
    <s v="30/08/2025"/>
    <s v="C1385"/>
    <s v="Aisha"/>
    <s v="Aisha"/>
    <s v="Male"/>
    <n v="130"/>
    <s v="Invalid"/>
    <s v="PH"/>
    <x v="1"/>
    <s v="Home"/>
    <s v="Home"/>
    <s v="Chair"/>
    <s v="Chair"/>
    <n v="37.76"/>
    <n v="-2"/>
    <n v="1"/>
    <n v="0"/>
    <s v="Valid"/>
    <s v="Transfer"/>
    <s v="Transfer"/>
    <s v="Ben"/>
    <x v="3"/>
    <x v="0"/>
    <n v="4"/>
    <s v="ok"/>
    <n v="37.76"/>
  </r>
  <r>
    <s v="T100680"/>
    <s v="2026-05-01"/>
    <s v="C7445"/>
    <s v="  James "/>
    <s v="James"/>
    <s v="Female"/>
    <n v="8"/>
    <s v="Invalid"/>
    <s v="lagos"/>
    <x v="0"/>
    <s v="Sports"/>
    <s v="Sports"/>
    <s v="Ball"/>
    <s v="Ball"/>
    <n v="444.69"/>
    <n v="-2"/>
    <n v="1"/>
    <n v="-10"/>
    <s v="invalid"/>
    <s v="POS"/>
    <s v="Pos"/>
    <s v="Dan"/>
    <x v="0"/>
    <x v="2"/>
    <m/>
    <s v="ok"/>
    <n v="489.15900000000005"/>
  </r>
  <r>
    <s v="T100681"/>
    <s v="2026-05-20"/>
    <s v="C9195"/>
    <s v="John"/>
    <s v="John"/>
    <s v="Male"/>
    <n v="8"/>
    <s v="Invalid"/>
    <s v="Abuja"/>
    <x v="3"/>
    <s v="Groceries"/>
    <s v="Groceries"/>
    <s v="Rice"/>
    <s v="Rice"/>
    <n v="211.8"/>
    <n v="-2"/>
    <n v="1"/>
    <n v="10"/>
    <s v="Valid"/>
    <s v="Mobile Money"/>
    <s v="Mobile Money"/>
    <s v="Chi"/>
    <x v="1"/>
    <x v="0"/>
    <n v="4"/>
    <s v="ok"/>
    <n v="190.62"/>
  </r>
  <r>
    <s v="T100682"/>
    <s v="2026-04-15"/>
    <s v="C4184"/>
    <m/>
    <s v=""/>
    <s v="Male"/>
    <n v="8"/>
    <s v="Invalid"/>
    <s v="Abuja"/>
    <x v="3"/>
    <s v="groceris"/>
    <s v="Groceris"/>
    <s v="Rice"/>
    <s v="Rice"/>
    <n v="459.62"/>
    <n v="9"/>
    <n v="9"/>
    <n v="120"/>
    <s v="invalid"/>
    <s v="POS"/>
    <s v="Pos"/>
    <s v="Dan"/>
    <x v="0"/>
    <x v="3"/>
    <n v="1"/>
    <s v="Missing"/>
    <n v="-827.3159999999998"/>
  </r>
  <r>
    <s v="T100683"/>
    <s v="2025-03-30"/>
    <s v="C5385"/>
    <s v="David"/>
    <s v="David"/>
    <s v="Female"/>
    <n v="8"/>
    <s v="Invalid"/>
    <s v="lagos"/>
    <x v="0"/>
    <s v="Beauty"/>
    <s v="Beauty"/>
    <s v="Cream"/>
    <s v="Cream"/>
    <n v="466.69"/>
    <n v="-2"/>
    <n v="1"/>
    <n v="5"/>
    <s v="Valid"/>
    <m/>
    <s v=""/>
    <s v="Chi"/>
    <x v="1"/>
    <x v="0"/>
    <n v="2"/>
    <s v="ok"/>
    <n v="443.35549999999995"/>
  </r>
  <r>
    <s v="T100684"/>
    <s v="2025-10-29"/>
    <s v="C7849"/>
    <s v="John"/>
    <s v="John"/>
    <s v="Male"/>
    <n v="130"/>
    <s v="Invalid"/>
    <s v="lagos"/>
    <x v="0"/>
    <s v="Fashion"/>
    <s v="Fashion"/>
    <s v="Shirt"/>
    <s v="Shirt"/>
    <n v="484.4"/>
    <n v="9"/>
    <n v="9"/>
    <n v="0"/>
    <s v="Valid"/>
    <s v="POS"/>
    <s v="Pos"/>
    <s v="Ada"/>
    <x v="2"/>
    <x v="0"/>
    <n v="3"/>
    <s v="ok"/>
    <n v="4359.5999999999995"/>
  </r>
  <r>
    <s v="T100685"/>
    <s v="2025-10-22"/>
    <s v="C8753"/>
    <m/>
    <s v=""/>
    <s v="Male"/>
    <n v="8"/>
    <s v="Invalid"/>
    <s v="lagos"/>
    <x v="0"/>
    <s v="Beauty"/>
    <s v="Beauty"/>
    <s v="Cream"/>
    <s v="Cream"/>
    <n v="259.79000000000002"/>
    <n v="7"/>
    <n v="7"/>
    <n v="-10"/>
    <s v="invalid"/>
    <m/>
    <s v=""/>
    <s v="Chi"/>
    <x v="1"/>
    <x v="3"/>
    <n v="3"/>
    <s v="Missing"/>
    <n v="2000.3830000000005"/>
  </r>
  <r>
    <s v="T100686"/>
    <s v="30/07/2025"/>
    <s v="C2503"/>
    <s v="John"/>
    <s v="John"/>
    <s v="Male"/>
    <n v="130"/>
    <s v="Invalid"/>
    <s v="lagos"/>
    <x v="0"/>
    <s v="Beauty"/>
    <s v="Beauty"/>
    <s v="Cream"/>
    <s v="Cream"/>
    <n v="435.87"/>
    <n v="-2"/>
    <n v="1"/>
    <n v="10"/>
    <s v="Valid"/>
    <s v="Transfer"/>
    <s v="Transfer"/>
    <s v="Chi"/>
    <x v="1"/>
    <x v="2"/>
    <n v="1"/>
    <s v="ok"/>
    <n v="392.28300000000002"/>
  </r>
  <r>
    <s v="T100687"/>
    <s v="2026-04-03"/>
    <s v="C4298"/>
    <s v="  James "/>
    <s v="James"/>
    <s v="Male"/>
    <n v="130"/>
    <s v="Invalid"/>
    <s v="Abuja"/>
    <x v="3"/>
    <s v="Fashion"/>
    <s v="Fashion"/>
    <s v="Shirt"/>
    <s v="Shirt"/>
    <n v="337.79"/>
    <n v="8"/>
    <n v="8"/>
    <n v="0"/>
    <s v="Valid"/>
    <s v="Transfer"/>
    <s v="Transfer"/>
    <s v="Dan"/>
    <x v="0"/>
    <x v="0"/>
    <n v="2"/>
    <s v="ok"/>
    <n v="2702.32"/>
  </r>
  <r>
    <s v="T100688"/>
    <s v="2025-11-20"/>
    <s v="C1273"/>
    <s v="Aisha"/>
    <s v="Aisha"/>
    <s v="Female"/>
    <n v="130"/>
    <s v="Invalid"/>
    <s v="lagos"/>
    <x v="0"/>
    <s v="Sports"/>
    <s v="Sports"/>
    <s v="Ball"/>
    <s v="Ball"/>
    <n v="310.26"/>
    <n v="9"/>
    <n v="9"/>
    <n v="-10"/>
    <s v="invalid"/>
    <s v="Transfer"/>
    <s v="Transfer"/>
    <s v="Chi"/>
    <x v="1"/>
    <x v="3"/>
    <n v="2"/>
    <s v="ok"/>
    <n v="3071.5740000000005"/>
  </r>
  <r>
    <s v="T100689"/>
    <s v="2026-01-07"/>
    <s v="C2905"/>
    <s v="John"/>
    <s v="John"/>
    <s v="Male"/>
    <n v="22"/>
    <s v="Valid"/>
    <s v="Kano"/>
    <x v="4"/>
    <s v="Electronics"/>
    <s v="Electronics"/>
    <s v="Phone"/>
    <s v="Phone"/>
    <n v="466.6"/>
    <n v="-2"/>
    <n v="1"/>
    <n v="120"/>
    <s v="invalid"/>
    <s v="POS"/>
    <s v="Pos"/>
    <s v="Dan"/>
    <x v="0"/>
    <x v="2"/>
    <m/>
    <s v="ok"/>
    <n v="-93.319999999999979"/>
  </r>
  <r>
    <s v="T100690"/>
    <s v="2026-04-11"/>
    <s v="C1154"/>
    <s v="John"/>
    <s v="John"/>
    <s v="Male"/>
    <n v="130"/>
    <s v="Invalid"/>
    <s v="lagos"/>
    <x v="0"/>
    <s v="Sports"/>
    <s v="Sports"/>
    <s v="Ball"/>
    <s v="Ball"/>
    <n v="424.19"/>
    <n v="5"/>
    <n v="5"/>
    <n v="5"/>
    <s v="Valid"/>
    <s v="Mobile Money"/>
    <s v="Mobile Money"/>
    <s v="Dan"/>
    <x v="0"/>
    <x v="1"/>
    <n v="3"/>
    <s v="ok"/>
    <n v="2014.9024999999997"/>
  </r>
  <r>
    <s v="T100691"/>
    <s v="2026-06-18"/>
    <s v="C9598"/>
    <s v="Peter"/>
    <s v="Peter"/>
    <s v="Female"/>
    <n v="130"/>
    <s v="Invalid"/>
    <s v="Abuja"/>
    <x v="3"/>
    <s v="Sports"/>
    <s v="Sports"/>
    <s v="Ball"/>
    <s v="Ball"/>
    <n v="216.74"/>
    <n v="6"/>
    <n v="6"/>
    <n v="15"/>
    <s v="Valid"/>
    <s v="POS"/>
    <s v="Pos"/>
    <s v="Ben"/>
    <x v="3"/>
    <x v="1"/>
    <n v="2"/>
    <s v="ok"/>
    <n v="1105.374"/>
  </r>
  <r>
    <s v="T100692"/>
    <s v="2025-02-14"/>
    <s v="C8233"/>
    <s v="David"/>
    <s v="David"/>
    <s v="Female"/>
    <n v="130"/>
    <s v="Invalid"/>
    <s v="Enugu"/>
    <x v="2"/>
    <s v="Electronics"/>
    <s v="Electronics"/>
    <s v="Phone"/>
    <s v="Phone"/>
    <n v="166.3"/>
    <n v="3"/>
    <n v="3"/>
    <n v="0"/>
    <s v="Valid"/>
    <s v="POS"/>
    <s v="Pos"/>
    <s v="Dan"/>
    <x v="0"/>
    <x v="1"/>
    <m/>
    <s v="ok"/>
    <n v="498.90000000000003"/>
  </r>
  <r>
    <s v="T100693"/>
    <s v="24/05/2026"/>
    <s v="C2795"/>
    <s v="  James "/>
    <s v="James"/>
    <s v="Female"/>
    <n v="130"/>
    <s v="Invalid"/>
    <s v="lagos"/>
    <x v="0"/>
    <s v="Beauty"/>
    <s v="Beauty"/>
    <s v="Cream"/>
    <s v="Cream"/>
    <n v="249.14"/>
    <n v="-2"/>
    <n v="1"/>
    <n v="120"/>
    <s v="invalid"/>
    <m/>
    <s v=""/>
    <s v="Ada"/>
    <x v="2"/>
    <x v="3"/>
    <n v="1"/>
    <s v="ok"/>
    <n v="-49.827999999999989"/>
  </r>
  <r>
    <s v="T100694"/>
    <s v="2025-01-21"/>
    <s v="C8677"/>
    <s v="Mary"/>
    <s v="Mary"/>
    <s v="Male"/>
    <n v="55"/>
    <s v="Valid"/>
    <s v="lagos"/>
    <x v="0"/>
    <s v="Home"/>
    <s v="Home"/>
    <s v="Chair"/>
    <s v="Chair"/>
    <n v="118.92"/>
    <n v="-2"/>
    <n v="1"/>
    <n v="15"/>
    <s v="Valid"/>
    <s v="Cash"/>
    <s v="Cash"/>
    <s v="Chi"/>
    <x v="1"/>
    <x v="2"/>
    <n v="3"/>
    <s v="ok"/>
    <n v="101.08199999999999"/>
  </r>
  <r>
    <s v="T100695"/>
    <s v="2025-08-15"/>
    <s v="C7752"/>
    <s v="  James "/>
    <s v="James"/>
    <s v="Female"/>
    <n v="130"/>
    <s v="Invalid"/>
    <s v="lagos"/>
    <x v="0"/>
    <s v="Sports"/>
    <s v="Sports"/>
    <s v="Ball"/>
    <s v="Ball"/>
    <n v="252.42"/>
    <n v="-2"/>
    <n v="1"/>
    <n v="-10"/>
    <s v="invalid"/>
    <s v="Cash"/>
    <s v="Cash"/>
    <s v="Ben"/>
    <x v="3"/>
    <x v="0"/>
    <n v="2"/>
    <s v="ok"/>
    <n v="277.66200000000003"/>
  </r>
  <r>
    <s v="T100696"/>
    <s v="2026-03-26"/>
    <s v="C3088"/>
    <s v="David"/>
    <s v="David"/>
    <s v="Female"/>
    <n v="8"/>
    <s v="Invalid"/>
    <s v="lagos"/>
    <x v="0"/>
    <s v="groceris"/>
    <s v="Groceris"/>
    <s v="Rice"/>
    <s v="Rice"/>
    <n v="242.02"/>
    <n v="-2"/>
    <n v="1"/>
    <n v="10"/>
    <s v="Valid"/>
    <s v="Mobile Money"/>
    <s v="Mobile Money"/>
    <s v="Ada"/>
    <x v="2"/>
    <x v="2"/>
    <n v="2"/>
    <s v="ok"/>
    <n v="217.81800000000001"/>
  </r>
  <r>
    <s v="T100697"/>
    <s v="2025-12-03"/>
    <s v="C1527"/>
    <s v="Peter"/>
    <s v="Peter"/>
    <s v="Male"/>
    <n v="8"/>
    <s v="Invalid"/>
    <s v="Kano"/>
    <x v="4"/>
    <s v="groceris"/>
    <s v="Groceris"/>
    <s v="Rice"/>
    <s v="Rice"/>
    <n v="438.51"/>
    <n v="-2"/>
    <n v="1"/>
    <n v="10"/>
    <s v="Valid"/>
    <s v="POS"/>
    <s v="Pos"/>
    <s v="Dan"/>
    <x v="0"/>
    <x v="2"/>
    <n v="1"/>
    <s v="ok"/>
    <n v="394.65899999999999"/>
  </r>
  <r>
    <s v="T100698"/>
    <s v="2025-02-21"/>
    <s v="C1514"/>
    <s v="John"/>
    <s v="John"/>
    <s v="Male"/>
    <n v="130"/>
    <s v="Invalid"/>
    <s v="lagos"/>
    <x v="0"/>
    <s v="Sports"/>
    <s v="Sports"/>
    <s v="Ball"/>
    <s v="Ball"/>
    <n v="367.17"/>
    <n v="-2"/>
    <n v="1"/>
    <n v="-10"/>
    <s v="invalid"/>
    <s v="Cash"/>
    <s v="Cash"/>
    <s v="Dan"/>
    <x v="0"/>
    <x v="2"/>
    <n v="2"/>
    <s v="ok"/>
    <n v="403.88700000000006"/>
  </r>
  <r>
    <s v="T100699"/>
    <s v="2025-02-01"/>
    <s v="C3981"/>
    <s v="Mary"/>
    <s v="Mary"/>
    <s v="Male"/>
    <n v="45"/>
    <s v="Valid"/>
    <s v="lagos"/>
    <x v="0"/>
    <s v="Beauty"/>
    <s v="Beauty"/>
    <s v="Cream"/>
    <s v="Cream"/>
    <n v="128.29"/>
    <n v="-2"/>
    <n v="1"/>
    <n v="10"/>
    <s v="Valid"/>
    <s v="POS"/>
    <s v="Pos"/>
    <s v="Ben"/>
    <x v="3"/>
    <x v="0"/>
    <m/>
    <s v="ok"/>
    <n v="115.461"/>
  </r>
  <r>
    <s v="T100700"/>
    <s v="07/09/2025"/>
    <s v="C4516"/>
    <s v="David"/>
    <s v="David"/>
    <s v="Female"/>
    <n v="130"/>
    <s v="Invalid"/>
    <s v="Enugu"/>
    <x v="2"/>
    <s v="Electronics"/>
    <s v="Electronics"/>
    <s v="Phone"/>
    <s v="Phone"/>
    <n v="477.78"/>
    <n v="9"/>
    <n v="9"/>
    <n v="0"/>
    <s v="Valid"/>
    <s v="POS"/>
    <s v="Pos"/>
    <s v="Ben"/>
    <x v="3"/>
    <x v="2"/>
    <n v="4"/>
    <s v="ok"/>
    <n v="4300.0199999999995"/>
  </r>
  <r>
    <s v="T100701"/>
    <s v="2025-02-24"/>
    <s v="C3375"/>
    <s v="Peter"/>
    <s v="Peter"/>
    <s v="Female"/>
    <n v="130"/>
    <s v="Invalid"/>
    <s v="Kano"/>
    <x v="4"/>
    <s v="Home"/>
    <s v="Home"/>
    <s v="Chair"/>
    <s v="Chair"/>
    <n v="468.25"/>
    <n v="-2"/>
    <n v="1"/>
    <n v="10"/>
    <s v="Valid"/>
    <m/>
    <s v=""/>
    <s v="Ada"/>
    <x v="2"/>
    <x v="3"/>
    <n v="5"/>
    <s v="ok"/>
    <n v="421.42500000000001"/>
  </r>
  <r>
    <s v="T100702"/>
    <s v="2025-03-31"/>
    <s v="C5600"/>
    <s v="Peter"/>
    <s v="Peter"/>
    <s v="Female"/>
    <n v="8"/>
    <s v="Invalid"/>
    <s v="lagos"/>
    <x v="0"/>
    <s v="Groceries"/>
    <s v="Groceries"/>
    <s v="Rice"/>
    <s v="Rice"/>
    <n v="157.15"/>
    <n v="2"/>
    <n v="2"/>
    <n v="10"/>
    <s v="Valid"/>
    <m/>
    <s v=""/>
    <s v="Chi"/>
    <x v="1"/>
    <x v="0"/>
    <n v="3"/>
    <s v="ok"/>
    <n v="282.87"/>
  </r>
  <r>
    <s v="T100703"/>
    <s v="2025-12-04"/>
    <s v="C8961"/>
    <s v="  James "/>
    <s v="James"/>
    <s v="Female"/>
    <n v="8"/>
    <s v="Invalid"/>
    <s v="Kano"/>
    <x v="4"/>
    <s v="Groceries"/>
    <s v="Groceries"/>
    <s v="Rice"/>
    <s v="Rice"/>
    <n v="418.43"/>
    <n v="6"/>
    <n v="6"/>
    <n v="10"/>
    <s v="Valid"/>
    <s v="Transfer"/>
    <s v="Transfer"/>
    <s v="Ada"/>
    <x v="2"/>
    <x v="3"/>
    <n v="1"/>
    <s v="ok"/>
    <n v="2259.5219999999999"/>
  </r>
  <r>
    <s v="T100704"/>
    <s v="2026-01-09"/>
    <s v="C1958"/>
    <s v="Grace"/>
    <s v="Grace"/>
    <s v="Female"/>
    <n v="8"/>
    <s v="Invalid"/>
    <s v="Enugu"/>
    <x v="2"/>
    <s v="Beauty"/>
    <s v="Beauty"/>
    <s v="Cream"/>
    <s v="Cream"/>
    <n v="493.32"/>
    <n v="-2"/>
    <n v="1"/>
    <n v="15"/>
    <s v="Valid"/>
    <m/>
    <s v=""/>
    <s v="Chi"/>
    <x v="1"/>
    <x v="1"/>
    <n v="5"/>
    <s v="ok"/>
    <n v="419.322"/>
  </r>
  <r>
    <s v="T100705"/>
    <s v="2025-11-04"/>
    <s v="C1402"/>
    <s v="Peter"/>
    <s v="Peter"/>
    <s v="Female"/>
    <n v="130"/>
    <s v="Invalid"/>
    <s v="lagos"/>
    <x v="0"/>
    <s v="Electronics"/>
    <s v="Electronics"/>
    <s v="Phone"/>
    <s v="Phone"/>
    <n v="245.82"/>
    <n v="-2"/>
    <n v="1"/>
    <n v="0"/>
    <s v="Valid"/>
    <m/>
    <s v=""/>
    <s v="Dan"/>
    <x v="0"/>
    <x v="0"/>
    <m/>
    <s v="ok"/>
    <n v="245.82"/>
  </r>
  <r>
    <s v="T100706"/>
    <s v="2026-05-28"/>
    <s v="C8401"/>
    <m/>
    <s v=""/>
    <s v="Male"/>
    <n v="8"/>
    <s v="Invalid"/>
    <s v="lagos"/>
    <x v="0"/>
    <s v="Home"/>
    <s v="Home"/>
    <s v="Chair"/>
    <s v="Chair"/>
    <n v="153.78"/>
    <n v="-2"/>
    <n v="1"/>
    <n v="10"/>
    <s v="Valid"/>
    <m/>
    <s v=""/>
    <s v="Ben"/>
    <x v="3"/>
    <x v="2"/>
    <n v="2"/>
    <s v="Missing"/>
    <n v="138.40200000000002"/>
  </r>
  <r>
    <s v="T100707"/>
    <s v="26/02/2026"/>
    <s v="C1917"/>
    <m/>
    <s v=""/>
    <s v="Male"/>
    <n v="8"/>
    <s v="Invalid"/>
    <s v="Kano"/>
    <x v="4"/>
    <s v="Beauty"/>
    <s v="Beauty"/>
    <s v="Cream"/>
    <s v="Cream"/>
    <n v="111.3"/>
    <n v="-2"/>
    <n v="1"/>
    <n v="0"/>
    <s v="Valid"/>
    <s v="POS"/>
    <s v="Pos"/>
    <s v="Chi"/>
    <x v="1"/>
    <x v="1"/>
    <n v="1"/>
    <s v="Missing"/>
    <n v="111.3"/>
  </r>
  <r>
    <s v="T100708"/>
    <s v="2025-11-26"/>
    <s v="C6972"/>
    <s v="Aisha"/>
    <s v="Aisha"/>
    <s v="Female"/>
    <n v="8"/>
    <s v="Invalid"/>
    <s v="Enugu"/>
    <x v="2"/>
    <s v="Sports"/>
    <s v="Sports"/>
    <s v="Ball"/>
    <s v="Ball"/>
    <n v="335.06"/>
    <n v="8"/>
    <n v="8"/>
    <n v="5"/>
    <s v="Valid"/>
    <s v="POS"/>
    <s v="Pos"/>
    <s v="Ada"/>
    <x v="2"/>
    <x v="0"/>
    <n v="3"/>
    <s v="ok"/>
    <n v="2546.4559999999997"/>
  </r>
  <r>
    <s v="T100709"/>
    <s v="2025-01-28"/>
    <s v="C6714"/>
    <m/>
    <s v=""/>
    <s v="Male"/>
    <n v="8"/>
    <s v="Invalid"/>
    <s v="Abuja"/>
    <x v="3"/>
    <s v="Beauty"/>
    <s v="Beauty"/>
    <s v="Cream"/>
    <s v="Cream"/>
    <n v="70.39"/>
    <n v="-2"/>
    <n v="1"/>
    <n v="10"/>
    <s v="Valid"/>
    <s v="Cash"/>
    <s v="Cash"/>
    <s v="Chi"/>
    <x v="1"/>
    <x v="1"/>
    <n v="1"/>
    <s v="Missing"/>
    <n v="63.350999999999999"/>
  </r>
  <r>
    <s v="T100710"/>
    <s v="2025-04-25"/>
    <s v="C3318"/>
    <s v="Mary"/>
    <s v="Mary"/>
    <s v="Male"/>
    <n v="130"/>
    <s v="Invalid"/>
    <s v="lagos"/>
    <x v="0"/>
    <s v="Sports"/>
    <s v="Sports"/>
    <s v="Ball"/>
    <s v="Ball"/>
    <n v="142.19"/>
    <n v="10"/>
    <n v="10"/>
    <n v="120"/>
    <s v="invalid"/>
    <s v="Mobile Money"/>
    <s v="Mobile Money"/>
    <s v="Dan"/>
    <x v="0"/>
    <x v="3"/>
    <n v="2"/>
    <s v="ok"/>
    <n v="-284.37999999999994"/>
  </r>
  <r>
    <s v="T100711"/>
    <s v="2026-01-09"/>
    <s v="C1275"/>
    <s v="John"/>
    <s v="John"/>
    <s v="Female"/>
    <n v="58"/>
    <s v="Valid"/>
    <s v="lagos"/>
    <x v="0"/>
    <s v="Home"/>
    <s v="Home"/>
    <s v="Chair"/>
    <s v="Chair"/>
    <n v="49.38"/>
    <n v="-2"/>
    <n v="1"/>
    <n v="15"/>
    <s v="Valid"/>
    <s v="Transfer"/>
    <s v="Transfer"/>
    <s v="Ada"/>
    <x v="2"/>
    <x v="3"/>
    <n v="3"/>
    <s v="ok"/>
    <n v="41.972999999999999"/>
  </r>
  <r>
    <s v="T100712"/>
    <s v="2025-07-11"/>
    <s v="C8631"/>
    <s v="John"/>
    <s v="John"/>
    <s v="Male"/>
    <n v="8"/>
    <s v="Invalid"/>
    <s v="Kano"/>
    <x v="4"/>
    <s v="Home"/>
    <s v="Home"/>
    <s v="Chair"/>
    <s v="Chair"/>
    <n v="459.67"/>
    <n v="-2"/>
    <n v="1"/>
    <n v="0"/>
    <s v="Valid"/>
    <s v="Cash"/>
    <s v="Cash"/>
    <s v="Ben"/>
    <x v="3"/>
    <x v="2"/>
    <n v="2"/>
    <s v="ok"/>
    <n v="459.67"/>
  </r>
  <r>
    <s v="T100713"/>
    <s v="2025-05-06"/>
    <s v="C5044"/>
    <s v="Aisha"/>
    <s v="Aisha"/>
    <s v="Male"/>
    <n v="130"/>
    <s v="Invalid"/>
    <s v="Enugu"/>
    <x v="2"/>
    <s v="Sports"/>
    <s v="Sports"/>
    <s v="Ball"/>
    <s v="Ball"/>
    <n v="214.46"/>
    <n v="6"/>
    <n v="6"/>
    <n v="5"/>
    <s v="Valid"/>
    <s v="Transfer"/>
    <s v="Transfer"/>
    <s v="Ada"/>
    <x v="2"/>
    <x v="0"/>
    <n v="2"/>
    <s v="ok"/>
    <n v="1222.422"/>
  </r>
  <r>
    <s v="T100714"/>
    <s v="11/03/2025"/>
    <s v="C9789"/>
    <m/>
    <s v=""/>
    <s v="Male"/>
    <n v="35"/>
    <s v="Valid"/>
    <s v="Kano"/>
    <x v="4"/>
    <s v="Home"/>
    <s v="Home"/>
    <s v="Chair"/>
    <s v="Chair"/>
    <n v="124.65"/>
    <n v="6"/>
    <n v="6"/>
    <n v="10"/>
    <s v="Valid"/>
    <s v="Cash"/>
    <s v="Cash"/>
    <s v="Ben"/>
    <x v="3"/>
    <x v="1"/>
    <n v="5"/>
    <s v="Missing"/>
    <n v="673.11000000000013"/>
  </r>
  <r>
    <s v="T100715"/>
    <s v="2025-04-08"/>
    <s v="C9518"/>
    <s v="David"/>
    <s v="David"/>
    <s v="Male"/>
    <n v="130"/>
    <s v="Invalid"/>
    <s v="lagos"/>
    <x v="0"/>
    <s v="Home"/>
    <s v="Home"/>
    <s v="Chair"/>
    <s v="Chair"/>
    <n v="408.47"/>
    <n v="-2"/>
    <n v="1"/>
    <n v="10"/>
    <s v="Valid"/>
    <m/>
    <s v=""/>
    <s v="Ada"/>
    <x v="2"/>
    <x v="1"/>
    <n v="2"/>
    <s v="ok"/>
    <n v="367.62300000000005"/>
  </r>
  <r>
    <s v="T100716"/>
    <s v="2025-06-29"/>
    <s v="C8092"/>
    <m/>
    <s v=""/>
    <s v="Female"/>
    <n v="8"/>
    <s v="Invalid"/>
    <s v="lagos"/>
    <x v="0"/>
    <s v="Fashion"/>
    <s v="Fashion"/>
    <s v="Shirt"/>
    <s v="Shirt"/>
    <n v="221.28"/>
    <n v="-2"/>
    <n v="1"/>
    <n v="120"/>
    <s v="invalid"/>
    <m/>
    <s v=""/>
    <s v="Chi"/>
    <x v="1"/>
    <x v="2"/>
    <n v="3"/>
    <s v="Missing"/>
    <n v="-44.255999999999993"/>
  </r>
  <r>
    <s v="T100717"/>
    <s v="2025-12-03"/>
    <s v="C8451"/>
    <s v="David"/>
    <s v="David"/>
    <s v="Male"/>
    <n v="21"/>
    <s v="Valid"/>
    <s v="PH"/>
    <x v="1"/>
    <s v="Beauty"/>
    <s v="Beauty"/>
    <s v="Cream"/>
    <s v="Cream"/>
    <n v="202.07"/>
    <n v="-2"/>
    <n v="1"/>
    <n v="0"/>
    <s v="Valid"/>
    <m/>
    <s v=""/>
    <s v="Chi"/>
    <x v="1"/>
    <x v="1"/>
    <n v="5"/>
    <s v="ok"/>
    <n v="202.07"/>
  </r>
  <r>
    <s v="T100718"/>
    <s v="2025-05-04"/>
    <s v="C8305"/>
    <s v="David"/>
    <s v="David"/>
    <s v="Male"/>
    <n v="130"/>
    <s v="Invalid"/>
    <s v="Enugu"/>
    <x v="2"/>
    <s v="Fashion"/>
    <s v="Fashion"/>
    <s v="Shirt"/>
    <s v="Shirt"/>
    <n v="134.79"/>
    <n v="7"/>
    <n v="7"/>
    <n v="10"/>
    <s v="Valid"/>
    <m/>
    <s v=""/>
    <s v="Dan"/>
    <x v="0"/>
    <x v="1"/>
    <n v="1"/>
    <s v="ok"/>
    <n v="849.17700000000002"/>
  </r>
  <r>
    <s v="T100719"/>
    <s v="2026-06-18"/>
    <s v="C7117"/>
    <s v="John"/>
    <s v="John"/>
    <s v="Male"/>
    <n v="8"/>
    <s v="Invalid"/>
    <s v="lagos"/>
    <x v="0"/>
    <s v="groceris"/>
    <s v="Groceris"/>
    <s v="Rice"/>
    <s v="Rice"/>
    <n v="340.37"/>
    <n v="2"/>
    <n v="2"/>
    <n v="10"/>
    <s v="Valid"/>
    <s v="POS"/>
    <s v="Pos"/>
    <s v="Ada"/>
    <x v="2"/>
    <x v="1"/>
    <n v="2"/>
    <s v="ok"/>
    <n v="612.66600000000005"/>
  </r>
  <r>
    <s v="T100720"/>
    <s v="2025-04-08"/>
    <s v="C9661"/>
    <s v="Mary"/>
    <s v="Mary"/>
    <s v="Female"/>
    <n v="130"/>
    <s v="Invalid"/>
    <s v="lagos"/>
    <x v="0"/>
    <s v="Sports"/>
    <s v="Sports"/>
    <s v="Ball"/>
    <s v="Ball"/>
    <n v="140.34"/>
    <n v="-2"/>
    <n v="1"/>
    <n v="10"/>
    <s v="Valid"/>
    <s v="Mobile Money"/>
    <s v="Mobile Money"/>
    <s v="Ben"/>
    <x v="3"/>
    <x v="1"/>
    <n v="2"/>
    <s v="ok"/>
    <n v="126.30600000000001"/>
  </r>
  <r>
    <s v="T100721"/>
    <s v="18/03/2026"/>
    <s v="C2323"/>
    <s v="John"/>
    <s v="John"/>
    <s v="Male"/>
    <n v="57"/>
    <s v="Valid"/>
    <s v="lagos"/>
    <x v="0"/>
    <s v="Beauty"/>
    <s v="Beauty"/>
    <s v="Cream"/>
    <s v="Cream"/>
    <n v="448.82"/>
    <n v="-2"/>
    <n v="1"/>
    <n v="10"/>
    <s v="Valid"/>
    <s v="Cash"/>
    <s v="Cash"/>
    <s v="Chi"/>
    <x v="1"/>
    <x v="1"/>
    <n v="4"/>
    <s v="ok"/>
    <n v="403.93799999999999"/>
  </r>
  <r>
    <s v="T100722"/>
    <s v="2026-02-11"/>
    <s v="C8321"/>
    <s v="Mary"/>
    <s v="Mary"/>
    <s v="Male"/>
    <n v="50"/>
    <s v="Valid"/>
    <s v="Abuja"/>
    <x v="3"/>
    <s v="Sports"/>
    <s v="Sports"/>
    <s v="Ball"/>
    <s v="Ball"/>
    <n v="161.80000000000001"/>
    <n v="-2"/>
    <n v="1"/>
    <n v="120"/>
    <s v="invalid"/>
    <s v="Mobile Money"/>
    <s v="Mobile Money"/>
    <s v="Ada"/>
    <x v="2"/>
    <x v="1"/>
    <n v="5"/>
    <s v="ok"/>
    <n v="-32.359999999999992"/>
  </r>
  <r>
    <s v="T100723"/>
    <s v="2025-06-16"/>
    <s v="C2888"/>
    <s v="Grace"/>
    <s v="Grace"/>
    <s v="Male"/>
    <n v="8"/>
    <s v="Invalid"/>
    <s v="Enugu"/>
    <x v="2"/>
    <s v="Sports"/>
    <s v="Sports"/>
    <s v="Ball"/>
    <s v="Ball"/>
    <n v="414.67"/>
    <n v="-2"/>
    <n v="1"/>
    <n v="5"/>
    <s v="Valid"/>
    <s v="Cash"/>
    <s v="Cash"/>
    <s v="Chi"/>
    <x v="1"/>
    <x v="0"/>
    <n v="4"/>
    <s v="ok"/>
    <n v="393.93650000000002"/>
  </r>
  <r>
    <s v="T100724"/>
    <s v="2025-11-26"/>
    <s v="C2260"/>
    <m/>
    <s v=""/>
    <s v="Female"/>
    <n v="130"/>
    <s v="Invalid"/>
    <s v="lagos"/>
    <x v="0"/>
    <s v="Home"/>
    <s v="Home"/>
    <s v="Chair"/>
    <s v="Chair"/>
    <n v="93.2"/>
    <n v="-2"/>
    <n v="1"/>
    <n v="120"/>
    <s v="invalid"/>
    <s v="POS"/>
    <s v="Pos"/>
    <s v="Ben"/>
    <x v="3"/>
    <x v="3"/>
    <n v="3"/>
    <s v="Missing"/>
    <n v="-18.639999999999997"/>
  </r>
  <r>
    <s v="T100725"/>
    <s v="2025-07-28"/>
    <s v="C6563"/>
    <s v="David"/>
    <s v="David"/>
    <s v="Female"/>
    <n v="130"/>
    <s v="Invalid"/>
    <s v="lagos"/>
    <x v="0"/>
    <s v="Home"/>
    <s v="Home"/>
    <s v="Chair"/>
    <s v="Chair"/>
    <n v="404.59"/>
    <n v="-2"/>
    <n v="1"/>
    <n v="-10"/>
    <s v="invalid"/>
    <s v="POS"/>
    <s v="Pos"/>
    <s v="Dan"/>
    <x v="0"/>
    <x v="1"/>
    <n v="3"/>
    <s v="ok"/>
    <n v="445.04900000000004"/>
  </r>
  <r>
    <s v="T100726"/>
    <s v="2025-05-21"/>
    <s v="C7392"/>
    <s v="Peter"/>
    <s v="Peter"/>
    <s v="Female"/>
    <n v="8"/>
    <s v="Invalid"/>
    <s v="lagos"/>
    <x v="0"/>
    <s v="groceris"/>
    <s v="Groceris"/>
    <s v="Rice"/>
    <s v="Rice"/>
    <n v="18.27"/>
    <n v="-2"/>
    <n v="1"/>
    <n v="10"/>
    <s v="Valid"/>
    <s v="Transfer"/>
    <s v="Transfer"/>
    <s v="Ada"/>
    <x v="2"/>
    <x v="0"/>
    <n v="1"/>
    <s v="ok"/>
    <n v="16.443000000000001"/>
  </r>
  <r>
    <s v="T100727"/>
    <s v="2025-03-07"/>
    <s v="C3889"/>
    <s v="Mary"/>
    <s v="Mary"/>
    <s v="Female"/>
    <n v="130"/>
    <s v="Invalid"/>
    <s v="Abuja"/>
    <x v="3"/>
    <s v="Groceries"/>
    <s v="Groceries"/>
    <s v="Rice"/>
    <s v="Rice"/>
    <n v="355.98"/>
    <n v="9"/>
    <n v="9"/>
    <n v="15"/>
    <s v="Valid"/>
    <s v="POS"/>
    <s v="Pos"/>
    <s v="Dan"/>
    <x v="0"/>
    <x v="2"/>
    <n v="3"/>
    <s v="ok"/>
    <n v="2723.2469999999998"/>
  </r>
  <r>
    <s v="T100728"/>
    <s v="10/02/2025"/>
    <s v="C7491"/>
    <s v="Aisha"/>
    <s v="Aisha"/>
    <s v="Female"/>
    <n v="8"/>
    <s v="Invalid"/>
    <s v="lagos"/>
    <x v="0"/>
    <s v="Sports"/>
    <s v="Sports"/>
    <s v="Ball"/>
    <s v="Ball"/>
    <n v="36.130000000000003"/>
    <n v="-2"/>
    <n v="1"/>
    <n v="0"/>
    <s v="Valid"/>
    <s v="Transfer"/>
    <s v="Transfer"/>
    <s v="Ada"/>
    <x v="2"/>
    <x v="2"/>
    <n v="1"/>
    <s v="ok"/>
    <n v="36.130000000000003"/>
  </r>
  <r>
    <s v="T100729"/>
    <s v="2025-02-20"/>
    <s v="C6956"/>
    <s v="Peter"/>
    <s v="Peter"/>
    <s v="Male"/>
    <n v="8"/>
    <s v="Invalid"/>
    <s v="lagos"/>
    <x v="0"/>
    <s v="Electronics"/>
    <s v="Electronics"/>
    <s v="Phone"/>
    <s v="Phone"/>
    <n v="271.72000000000003"/>
    <n v="-2"/>
    <n v="1"/>
    <n v="15"/>
    <s v="Valid"/>
    <s v="Mobile Money"/>
    <s v="Mobile Money"/>
    <s v="Ben"/>
    <x v="3"/>
    <x v="2"/>
    <n v="5"/>
    <s v="ok"/>
    <n v="230.96200000000002"/>
  </r>
  <r>
    <s v="T100730"/>
    <s v="2026-03-11"/>
    <s v="C4627"/>
    <s v="David"/>
    <s v="David"/>
    <s v="Female"/>
    <n v="8"/>
    <s v="Invalid"/>
    <s v="Kano"/>
    <x v="4"/>
    <s v="groceris"/>
    <s v="Groceris"/>
    <s v="Rice"/>
    <s v="Rice"/>
    <n v="482.4"/>
    <n v="-2"/>
    <n v="1"/>
    <n v="120"/>
    <s v="invalid"/>
    <m/>
    <s v=""/>
    <s v="Chi"/>
    <x v="1"/>
    <x v="1"/>
    <n v="5"/>
    <s v="ok"/>
    <n v="-96.479999999999976"/>
  </r>
  <r>
    <s v="T100731"/>
    <s v="2025-10-19"/>
    <s v="C1497"/>
    <s v="Mary"/>
    <s v="Mary"/>
    <s v="Female"/>
    <n v="130"/>
    <s v="Invalid"/>
    <s v="lagos"/>
    <x v="0"/>
    <s v="Groceries"/>
    <s v="Groceries"/>
    <s v="Rice"/>
    <s v="Rice"/>
    <n v="168.45"/>
    <n v="-2"/>
    <n v="1"/>
    <n v="10"/>
    <s v="Valid"/>
    <m/>
    <s v=""/>
    <s v="Ben"/>
    <x v="3"/>
    <x v="1"/>
    <n v="2"/>
    <s v="ok"/>
    <n v="151.60499999999999"/>
  </r>
  <r>
    <s v="T100732"/>
    <s v="2026-01-31"/>
    <s v="C6411"/>
    <s v="Mary"/>
    <s v="Mary"/>
    <s v="Female"/>
    <n v="130"/>
    <s v="Invalid"/>
    <s v="lagos"/>
    <x v="0"/>
    <s v="Beauty"/>
    <s v="Beauty"/>
    <s v="Cream"/>
    <s v="Cream"/>
    <n v="448.25"/>
    <n v="6"/>
    <n v="6"/>
    <n v="5"/>
    <s v="Valid"/>
    <s v="POS"/>
    <s v="Pos"/>
    <s v="Ada"/>
    <x v="2"/>
    <x v="1"/>
    <n v="4"/>
    <s v="ok"/>
    <n v="2555.0250000000001"/>
  </r>
  <r>
    <s v="T100733"/>
    <s v="2026-05-12"/>
    <s v="C6829"/>
    <s v="Mary"/>
    <s v="Mary"/>
    <s v="Female"/>
    <n v="55"/>
    <s v="Valid"/>
    <s v="lagos"/>
    <x v="0"/>
    <s v="groceris"/>
    <s v="Groceris"/>
    <s v="Rice"/>
    <s v="Rice"/>
    <n v="332.15"/>
    <n v="4"/>
    <n v="4"/>
    <n v="10"/>
    <s v="Valid"/>
    <s v="POS"/>
    <s v="Pos"/>
    <s v="Ada"/>
    <x v="2"/>
    <x v="2"/>
    <n v="5"/>
    <s v="ok"/>
    <n v="1195.74"/>
  </r>
  <r>
    <s v="T100734"/>
    <s v="2026-04-07"/>
    <s v="C4249"/>
    <s v="Aisha"/>
    <s v="Aisha"/>
    <s v="Male"/>
    <n v="130"/>
    <s v="Invalid"/>
    <s v="Abuja"/>
    <x v="3"/>
    <s v="Electronics"/>
    <s v="Electronics"/>
    <s v="Phone"/>
    <s v="Phone"/>
    <n v="227.53"/>
    <n v="9"/>
    <n v="9"/>
    <n v="5"/>
    <s v="Valid"/>
    <s v="POS"/>
    <s v="Pos"/>
    <s v="Ben"/>
    <x v="3"/>
    <x v="1"/>
    <n v="1"/>
    <s v="ok"/>
    <n v="1945.3815"/>
  </r>
  <r>
    <s v="T100735"/>
    <s v="10/02/2025"/>
    <s v="C3506"/>
    <s v="John"/>
    <s v="John"/>
    <s v="Female"/>
    <n v="130"/>
    <s v="Invalid"/>
    <s v="lagos"/>
    <x v="0"/>
    <s v="Fashion"/>
    <s v="Fashion"/>
    <s v="Shirt"/>
    <s v="Shirt"/>
    <n v="290.77999999999997"/>
    <n v="-2"/>
    <n v="1"/>
    <n v="-10"/>
    <s v="invalid"/>
    <s v="POS"/>
    <s v="Pos"/>
    <s v="Ben"/>
    <x v="3"/>
    <x v="1"/>
    <n v="4"/>
    <s v="ok"/>
    <n v="319.858"/>
  </r>
  <r>
    <s v="T100736"/>
    <s v="2026-03-05"/>
    <s v="C4060"/>
    <s v="Peter"/>
    <s v="Peter"/>
    <s v="Male"/>
    <n v="8"/>
    <s v="Invalid"/>
    <s v="Enugu"/>
    <x v="2"/>
    <s v="groceris"/>
    <s v="Groceris"/>
    <s v="Rice"/>
    <s v="Rice"/>
    <n v="56.79"/>
    <n v="-2"/>
    <n v="1"/>
    <n v="0"/>
    <s v="Valid"/>
    <m/>
    <s v=""/>
    <s v="Ada"/>
    <x v="2"/>
    <x v="1"/>
    <n v="4"/>
    <s v="ok"/>
    <n v="56.79"/>
  </r>
  <r>
    <s v="T100737"/>
    <s v="2025-10-30"/>
    <s v="C2752"/>
    <s v="John"/>
    <s v="John"/>
    <s v="Female"/>
    <n v="39"/>
    <s v="Valid"/>
    <s v="lagos"/>
    <x v="0"/>
    <s v="Fashion"/>
    <s v="Fashion"/>
    <s v="Shirt"/>
    <s v="Shirt"/>
    <n v="392.13"/>
    <n v="1"/>
    <n v="1"/>
    <n v="-10"/>
    <s v="invalid"/>
    <s v="Cash"/>
    <s v="Cash"/>
    <s v="Dan"/>
    <x v="0"/>
    <x v="1"/>
    <n v="3"/>
    <s v="ok"/>
    <n v="431.34300000000002"/>
  </r>
  <r>
    <s v="T100738"/>
    <s v="2026-01-29"/>
    <s v="C5657"/>
    <s v="Grace"/>
    <s v="Grace"/>
    <s v="Female"/>
    <n v="130"/>
    <s v="Invalid"/>
    <s v="Kano"/>
    <x v="4"/>
    <s v="Home"/>
    <s v="Home"/>
    <s v="Chair"/>
    <s v="Chair"/>
    <n v="153.41999999999999"/>
    <n v="6"/>
    <n v="6"/>
    <n v="120"/>
    <s v="invalid"/>
    <s v="Mobile Money"/>
    <s v="Mobile Money"/>
    <s v="Dan"/>
    <x v="0"/>
    <x v="2"/>
    <n v="2"/>
    <s v="ok"/>
    <n v="-184.10399999999996"/>
  </r>
  <r>
    <s v="T100739"/>
    <s v="2025-09-21"/>
    <s v="C7767"/>
    <s v="Grace"/>
    <s v="Grace"/>
    <s v="Male"/>
    <n v="8"/>
    <s v="Invalid"/>
    <s v="Enugu"/>
    <x v="2"/>
    <s v="Fashion"/>
    <s v="Fashion"/>
    <s v="Shirt"/>
    <s v="Shirt"/>
    <n v="199.05"/>
    <n v="-2"/>
    <n v="1"/>
    <n v="120"/>
    <s v="invalid"/>
    <s v="POS"/>
    <s v="Pos"/>
    <s v="Chi"/>
    <x v="1"/>
    <x v="1"/>
    <n v="3"/>
    <s v="ok"/>
    <n v="-39.809999999999995"/>
  </r>
  <r>
    <s v="T100740"/>
    <s v="2025-03-28"/>
    <s v="C3549"/>
    <s v="Peter"/>
    <s v="Peter"/>
    <s v="Male"/>
    <n v="8"/>
    <s v="Invalid"/>
    <s v="Kano"/>
    <x v="4"/>
    <s v="Home"/>
    <s v="Home"/>
    <s v="Chair"/>
    <s v="Chair"/>
    <n v="332.52"/>
    <n v="-2"/>
    <n v="1"/>
    <n v="5"/>
    <s v="Valid"/>
    <s v="Cash"/>
    <s v="Cash"/>
    <s v="Chi"/>
    <x v="1"/>
    <x v="2"/>
    <n v="1"/>
    <s v="ok"/>
    <n v="315.89399999999995"/>
  </r>
  <r>
    <s v="T100741"/>
    <s v="2026-05-04"/>
    <s v="C9949"/>
    <s v="Aisha"/>
    <s v="Aisha"/>
    <s v="Female"/>
    <n v="8"/>
    <s v="Invalid"/>
    <s v="lagos"/>
    <x v="0"/>
    <s v="Electronics"/>
    <s v="Electronics"/>
    <s v="Phone"/>
    <s v="Phone"/>
    <n v="286.72000000000003"/>
    <n v="-2"/>
    <n v="1"/>
    <n v="-10"/>
    <s v="invalid"/>
    <s v="POS"/>
    <s v="Pos"/>
    <s v="Dan"/>
    <x v="0"/>
    <x v="3"/>
    <n v="2"/>
    <s v="ok"/>
    <n v="315.39200000000005"/>
  </r>
  <r>
    <s v="T100742"/>
    <s v="14/02/2026"/>
    <s v="C1730"/>
    <s v="  James "/>
    <s v="James"/>
    <s v="Male"/>
    <n v="8"/>
    <s v="Invalid"/>
    <s v="lagos"/>
    <x v="0"/>
    <s v="groceris"/>
    <s v="Groceris"/>
    <s v="Rice"/>
    <s v="Rice"/>
    <n v="481.45"/>
    <n v="-2"/>
    <n v="1"/>
    <n v="0"/>
    <s v="Valid"/>
    <m/>
    <s v=""/>
    <s v="Ada"/>
    <x v="2"/>
    <x v="3"/>
    <n v="2"/>
    <s v="ok"/>
    <n v="481.45"/>
  </r>
  <r>
    <s v="T100743"/>
    <s v="2025-09-01"/>
    <s v="C5512"/>
    <s v="Peter"/>
    <s v="Peter"/>
    <s v="Female"/>
    <n v="130"/>
    <s v="Invalid"/>
    <s v="lagos"/>
    <x v="0"/>
    <s v="Beauty"/>
    <s v="Beauty"/>
    <s v="Cream"/>
    <s v="Cream"/>
    <n v="329.19"/>
    <n v="3"/>
    <n v="3"/>
    <n v="10"/>
    <s v="Valid"/>
    <s v="Mobile Money"/>
    <s v="Mobile Money"/>
    <s v="Dan"/>
    <x v="0"/>
    <x v="0"/>
    <n v="2"/>
    <s v="ok"/>
    <n v="888.81299999999999"/>
  </r>
  <r>
    <s v="T100744"/>
    <s v="2025-03-27"/>
    <s v="C5438"/>
    <m/>
    <s v=""/>
    <s v="Female"/>
    <n v="130"/>
    <s v="Invalid"/>
    <s v="Kano"/>
    <x v="4"/>
    <s v="Fashion"/>
    <s v="Fashion"/>
    <s v="Shirt"/>
    <s v="Shirt"/>
    <n v="457.91"/>
    <n v="-2"/>
    <n v="1"/>
    <n v="5"/>
    <s v="Valid"/>
    <s v="Mobile Money"/>
    <s v="Mobile Money"/>
    <s v="Ben"/>
    <x v="3"/>
    <x v="1"/>
    <m/>
    <s v="Missing"/>
    <n v="435.0145"/>
  </r>
  <r>
    <s v="T100745"/>
    <s v="2026-03-13"/>
    <s v="C8093"/>
    <s v="David"/>
    <s v="David"/>
    <s v="Female"/>
    <n v="8"/>
    <s v="Invalid"/>
    <s v="PH"/>
    <x v="1"/>
    <s v="Electronics"/>
    <s v="Electronics"/>
    <s v="Phone"/>
    <s v="Phone"/>
    <n v="484.32"/>
    <n v="-2"/>
    <n v="1"/>
    <n v="0"/>
    <s v="Valid"/>
    <s v="POS"/>
    <s v="Pos"/>
    <s v="Ben"/>
    <x v="3"/>
    <x v="2"/>
    <n v="2"/>
    <s v="ok"/>
    <n v="484.32"/>
  </r>
  <r>
    <s v="T100746"/>
    <s v="2026-06-24"/>
    <s v="C8002"/>
    <s v="  James "/>
    <s v="James"/>
    <s v="Female"/>
    <n v="8"/>
    <s v="Invalid"/>
    <s v="Kano"/>
    <x v="4"/>
    <s v="Sports"/>
    <s v="Sports"/>
    <s v="Ball"/>
    <s v="Ball"/>
    <n v="202.1"/>
    <n v="-2"/>
    <n v="1"/>
    <n v="0"/>
    <s v="Valid"/>
    <m/>
    <s v=""/>
    <s v="Ada"/>
    <x v="2"/>
    <x v="0"/>
    <n v="5"/>
    <s v="ok"/>
    <n v="202.1"/>
  </r>
  <r>
    <s v="T100747"/>
    <s v="2026-06-23"/>
    <s v="C5676"/>
    <s v="Aisha"/>
    <s v="Aisha"/>
    <s v="Male"/>
    <n v="130"/>
    <s v="Invalid"/>
    <s v="Kano"/>
    <x v="4"/>
    <s v="Fashion"/>
    <s v="Fashion"/>
    <s v="Shirt"/>
    <s v="Shirt"/>
    <n v="493.07"/>
    <n v="-2"/>
    <n v="1"/>
    <n v="15"/>
    <s v="Valid"/>
    <s v="Cash"/>
    <s v="Cash"/>
    <s v="Ben"/>
    <x v="3"/>
    <x v="1"/>
    <n v="2"/>
    <s v="ok"/>
    <n v="419.10949999999997"/>
  </r>
  <r>
    <s v="T100748"/>
    <s v="2025-11-04"/>
    <s v="C2111"/>
    <s v="  James "/>
    <s v="James"/>
    <s v="Female"/>
    <n v="37"/>
    <s v="Valid"/>
    <s v="PH"/>
    <x v="1"/>
    <s v="Groceries"/>
    <s v="Groceries"/>
    <s v="Rice"/>
    <s v="Rice"/>
    <n v="319.5"/>
    <n v="-2"/>
    <n v="1"/>
    <n v="10"/>
    <s v="Valid"/>
    <s v="Cash"/>
    <s v="Cash"/>
    <s v="Chi"/>
    <x v="1"/>
    <x v="1"/>
    <m/>
    <s v="ok"/>
    <n v="287.55"/>
  </r>
  <r>
    <s v="T100749"/>
    <s v="25/01/2025"/>
    <s v="C1183"/>
    <s v="Grace"/>
    <s v="Grace"/>
    <s v="Female"/>
    <n v="130"/>
    <s v="Invalid"/>
    <s v="lagos"/>
    <x v="0"/>
    <s v="Beauty"/>
    <s v="Beauty"/>
    <s v="Cream"/>
    <s v="Cream"/>
    <n v="384.7"/>
    <n v="6"/>
    <n v="6"/>
    <n v="10"/>
    <s v="Valid"/>
    <m/>
    <s v=""/>
    <s v="Dan"/>
    <x v="0"/>
    <x v="1"/>
    <n v="4"/>
    <s v="ok"/>
    <n v="2077.38"/>
  </r>
  <r>
    <s v="T100751"/>
    <s v="2025-10-29"/>
    <s v="C6738"/>
    <s v="Mary"/>
    <s v="Mary"/>
    <s v="Male"/>
    <n v="8"/>
    <s v="Invalid"/>
    <s v="lagos"/>
    <x v="0"/>
    <s v="Beauty"/>
    <s v="Beauty"/>
    <s v="Cream"/>
    <s v="Cream"/>
    <n v="191.5"/>
    <n v="7"/>
    <n v="7"/>
    <n v="15"/>
    <s v="Valid"/>
    <s v="Cash"/>
    <s v="Cash"/>
    <s v="Chi"/>
    <x v="1"/>
    <x v="3"/>
    <m/>
    <s v="ok"/>
    <n v="1139.425"/>
  </r>
  <r>
    <s v="T100752"/>
    <s v="2025-02-07"/>
    <s v="C5680"/>
    <s v="John"/>
    <s v="John"/>
    <s v="Female"/>
    <n v="8"/>
    <s v="Invalid"/>
    <s v="lagos"/>
    <x v="0"/>
    <s v="groceris"/>
    <s v="Groceris"/>
    <s v="Rice"/>
    <s v="Rice"/>
    <n v="472.78"/>
    <n v="-2"/>
    <n v="1"/>
    <n v="5"/>
    <s v="Valid"/>
    <s v="Cash"/>
    <s v="Cash"/>
    <s v="Dan"/>
    <x v="0"/>
    <x v="2"/>
    <n v="1"/>
    <s v="ok"/>
    <n v="449.14099999999996"/>
  </r>
  <r>
    <s v="T100753"/>
    <s v="2026-04-03"/>
    <s v="C2049"/>
    <s v="  James "/>
    <s v="James"/>
    <s v="Female"/>
    <n v="30"/>
    <s v="Valid"/>
    <s v="Kano"/>
    <x v="4"/>
    <s v="Electronics"/>
    <s v="Electronics"/>
    <s v="Phone"/>
    <s v="Phone"/>
    <n v="138.71"/>
    <n v="3"/>
    <n v="3"/>
    <n v="15"/>
    <s v="Valid"/>
    <s v="Transfer"/>
    <s v="Transfer"/>
    <s v="Chi"/>
    <x v="1"/>
    <x v="0"/>
    <n v="5"/>
    <s v="ok"/>
    <n v="353.71049999999997"/>
  </r>
  <r>
    <s v="T100754"/>
    <s v="2025-06-07"/>
    <s v="C4144"/>
    <m/>
    <s v=""/>
    <s v="Female"/>
    <n v="130"/>
    <s v="Invalid"/>
    <s v="lagos"/>
    <x v="0"/>
    <s v="Groceries"/>
    <s v="Groceries"/>
    <s v="Rice"/>
    <s v="Rice"/>
    <n v="410.49"/>
    <n v="-2"/>
    <n v="1"/>
    <n v="0"/>
    <s v="Valid"/>
    <s v="Cash"/>
    <s v="Cash"/>
    <s v="Chi"/>
    <x v="1"/>
    <x v="3"/>
    <m/>
    <s v="Missing"/>
    <n v="410.49"/>
  </r>
  <r>
    <s v="T100755"/>
    <s v="2025-04-06"/>
    <s v="C5660"/>
    <s v="David"/>
    <s v="David"/>
    <s v="Female"/>
    <n v="62"/>
    <s v="Valid"/>
    <s v="lagos"/>
    <x v="0"/>
    <s v="Electronics"/>
    <s v="Electronics"/>
    <s v="Phone"/>
    <s v="Phone"/>
    <n v="141.74"/>
    <n v="-2"/>
    <n v="1"/>
    <n v="15"/>
    <s v="Valid"/>
    <s v="Mobile Money"/>
    <s v="Mobile Money"/>
    <s v="Dan"/>
    <x v="0"/>
    <x v="3"/>
    <n v="3"/>
    <s v="ok"/>
    <n v="120.479"/>
  </r>
  <r>
    <s v="T100756"/>
    <s v="28/10/2025"/>
    <s v="C9960"/>
    <s v="  James "/>
    <s v="James"/>
    <s v="Female"/>
    <n v="8"/>
    <s v="Invalid"/>
    <s v="Abuja"/>
    <x v="3"/>
    <s v="Groceries"/>
    <s v="Groceries"/>
    <s v="Rice"/>
    <s v="Rice"/>
    <n v="94.75"/>
    <n v="10"/>
    <n v="10"/>
    <n v="120"/>
    <s v="invalid"/>
    <m/>
    <s v=""/>
    <s v="Ada"/>
    <x v="2"/>
    <x v="0"/>
    <m/>
    <s v="ok"/>
    <n v="-189.49999999999997"/>
  </r>
  <r>
    <s v="T100757"/>
    <s v="2025-05-01"/>
    <s v="C4285"/>
    <m/>
    <s v=""/>
    <s v="Female"/>
    <n v="8"/>
    <s v="Invalid"/>
    <s v="lagos"/>
    <x v="0"/>
    <s v="Sports"/>
    <s v="Sports"/>
    <s v="Ball"/>
    <s v="Ball"/>
    <n v="304.31"/>
    <n v="-2"/>
    <n v="1"/>
    <n v="120"/>
    <s v="invalid"/>
    <s v="Transfer"/>
    <s v="Transfer"/>
    <s v="Ada"/>
    <x v="2"/>
    <x v="2"/>
    <m/>
    <s v="Missing"/>
    <n v="-60.861999999999988"/>
  </r>
  <r>
    <s v="T100758"/>
    <s v="2025-09-26"/>
    <s v="C3496"/>
    <s v="Aisha"/>
    <s v="Aisha"/>
    <s v="Female"/>
    <n v="130"/>
    <s v="Invalid"/>
    <s v="Kano"/>
    <x v="4"/>
    <s v="Sports"/>
    <s v="Sports"/>
    <s v="Ball"/>
    <s v="Ball"/>
    <n v="481.32"/>
    <n v="-2"/>
    <n v="1"/>
    <n v="15"/>
    <s v="Valid"/>
    <m/>
    <s v=""/>
    <s v="Ada"/>
    <x v="2"/>
    <x v="2"/>
    <m/>
    <s v="ok"/>
    <n v="409.12199999999996"/>
  </r>
  <r>
    <s v="T100759"/>
    <s v="2026-05-21"/>
    <s v="C4691"/>
    <s v="Aisha"/>
    <s v="Aisha"/>
    <s v="Male"/>
    <n v="52"/>
    <s v="Valid"/>
    <s v="PH"/>
    <x v="1"/>
    <s v="Beauty"/>
    <s v="Beauty"/>
    <s v="Cream"/>
    <s v="Cream"/>
    <n v="192.14"/>
    <n v="8"/>
    <n v="8"/>
    <n v="0"/>
    <s v="Valid"/>
    <s v="Cash"/>
    <s v="Cash"/>
    <s v="Chi"/>
    <x v="1"/>
    <x v="1"/>
    <n v="4"/>
    <s v="ok"/>
    <n v="1537.12"/>
  </r>
  <r>
    <s v="T100760"/>
    <s v="2025-07-25"/>
    <s v="C8756"/>
    <s v="Grace"/>
    <s v="Grace"/>
    <s v="Male"/>
    <n v="53"/>
    <s v="Valid"/>
    <s v="lagos"/>
    <x v="0"/>
    <s v="Beauty"/>
    <s v="Beauty"/>
    <s v="Cream"/>
    <s v="Cream"/>
    <n v="86.46"/>
    <n v="7"/>
    <n v="7"/>
    <n v="120"/>
    <s v="invalid"/>
    <s v="Cash"/>
    <s v="Cash"/>
    <s v="Chi"/>
    <x v="1"/>
    <x v="0"/>
    <n v="5"/>
    <s v="ok"/>
    <n v="-121.04399999999995"/>
  </r>
  <r>
    <s v="T100761"/>
    <s v="2025-03-13"/>
    <s v="C7256"/>
    <s v="Mary"/>
    <s v="Mary"/>
    <s v="Male"/>
    <n v="8"/>
    <s v="Invalid"/>
    <s v="PH"/>
    <x v="1"/>
    <s v="Fashion"/>
    <s v="Fashion"/>
    <s v="Shirt"/>
    <s v="Shirt"/>
    <n v="346.85"/>
    <n v="-2"/>
    <n v="1"/>
    <n v="15"/>
    <s v="Valid"/>
    <m/>
    <s v=""/>
    <s v="Ben"/>
    <x v="3"/>
    <x v="1"/>
    <n v="3"/>
    <s v="ok"/>
    <n v="294.82249999999999"/>
  </r>
  <r>
    <s v="T100762"/>
    <s v="2025-03-03"/>
    <s v="C1162"/>
    <s v="Peter"/>
    <s v="Peter"/>
    <s v="Female"/>
    <n v="8"/>
    <s v="Invalid"/>
    <s v="Abuja"/>
    <x v="3"/>
    <s v="Groceries"/>
    <s v="Groceries"/>
    <s v="Rice"/>
    <s v="Rice"/>
    <n v="113.78"/>
    <n v="-2"/>
    <n v="1"/>
    <n v="10"/>
    <s v="Valid"/>
    <s v="Mobile Money"/>
    <s v="Mobile Money"/>
    <s v="Ben"/>
    <x v="3"/>
    <x v="1"/>
    <n v="1"/>
    <s v="ok"/>
    <n v="102.402"/>
  </r>
  <r>
    <s v="T100763"/>
    <s v="17/03/2026"/>
    <s v="C8018"/>
    <s v="Grace"/>
    <s v="Grace"/>
    <s v="Male"/>
    <n v="20"/>
    <s v="Valid"/>
    <s v="lagos"/>
    <x v="0"/>
    <s v="Fashion"/>
    <s v="Fashion"/>
    <s v="Shirt"/>
    <s v="Shirt"/>
    <n v="18.73"/>
    <n v="-2"/>
    <n v="1"/>
    <n v="-10"/>
    <s v="invalid"/>
    <s v="Transfer"/>
    <s v="Transfer"/>
    <s v="Dan"/>
    <x v="0"/>
    <x v="1"/>
    <m/>
    <s v="ok"/>
    <n v="20.603000000000002"/>
  </r>
  <r>
    <s v="T100764"/>
    <s v="2025-12-25"/>
    <s v="C5207"/>
    <s v="David"/>
    <s v="David"/>
    <s v="Female"/>
    <n v="8"/>
    <s v="Invalid"/>
    <s v="Enugu"/>
    <x v="2"/>
    <s v="Groceries"/>
    <s v="Groceries"/>
    <s v="Rice"/>
    <s v="Rice"/>
    <n v="425.64"/>
    <n v="-2"/>
    <n v="1"/>
    <n v="0"/>
    <s v="Valid"/>
    <s v="Transfer"/>
    <s v="Transfer"/>
    <s v="Ben"/>
    <x v="3"/>
    <x v="0"/>
    <n v="2"/>
    <s v="ok"/>
    <n v="425.64"/>
  </r>
  <r>
    <s v="T100765"/>
    <s v="2025-12-23"/>
    <s v="C1122"/>
    <s v="Aisha"/>
    <s v="Aisha"/>
    <s v="Female"/>
    <n v="48"/>
    <s v="Valid"/>
    <s v="Enugu"/>
    <x v="2"/>
    <s v="Electronics"/>
    <s v="Electronics"/>
    <s v="Phone"/>
    <s v="Phone"/>
    <n v="79.61"/>
    <n v="-2"/>
    <n v="1"/>
    <n v="5"/>
    <s v="Valid"/>
    <m/>
    <s v=""/>
    <s v="Ben"/>
    <x v="3"/>
    <x v="2"/>
    <n v="5"/>
    <s v="ok"/>
    <n v="75.629499999999993"/>
  </r>
  <r>
    <s v="T100766"/>
    <s v="2025-07-29"/>
    <s v="C7150"/>
    <s v="David"/>
    <s v="David"/>
    <s v="Male"/>
    <n v="8"/>
    <s v="Invalid"/>
    <s v="lagos"/>
    <x v="0"/>
    <s v="Beauty"/>
    <s v="Beauty"/>
    <s v="Cream"/>
    <s v="Cream"/>
    <n v="161.32"/>
    <n v="-2"/>
    <n v="1"/>
    <n v="15"/>
    <s v="Valid"/>
    <m/>
    <s v=""/>
    <s v="Dan"/>
    <x v="0"/>
    <x v="0"/>
    <m/>
    <s v="ok"/>
    <n v="137.12199999999999"/>
  </r>
  <r>
    <s v="T100767"/>
    <s v="2025-01-07"/>
    <s v="C7688"/>
    <m/>
    <s v=""/>
    <s v="Female"/>
    <n v="20"/>
    <s v="Valid"/>
    <s v="PH"/>
    <x v="1"/>
    <s v="Beauty"/>
    <s v="Beauty"/>
    <s v="Cream"/>
    <s v="Cream"/>
    <n v="232.79"/>
    <n v="7"/>
    <n v="7"/>
    <n v="10"/>
    <s v="Valid"/>
    <s v="POS"/>
    <s v="Pos"/>
    <s v="Ada"/>
    <x v="2"/>
    <x v="0"/>
    <n v="3"/>
    <s v="Missing"/>
    <n v="1466.577"/>
  </r>
  <r>
    <s v="T100768"/>
    <s v="2025-11-23"/>
    <s v="C5662"/>
    <s v="Mary"/>
    <s v="Mary"/>
    <s v="Male"/>
    <n v="130"/>
    <s v="Invalid"/>
    <s v="lagos"/>
    <x v="0"/>
    <s v="Groceries"/>
    <s v="Groceries"/>
    <s v="Rice"/>
    <s v="Rice"/>
    <n v="28.75"/>
    <n v="-2"/>
    <n v="1"/>
    <n v="15"/>
    <s v="Valid"/>
    <s v="POS"/>
    <s v="Pos"/>
    <s v="Chi"/>
    <x v="1"/>
    <x v="1"/>
    <n v="1"/>
    <s v="ok"/>
    <n v="24.4375"/>
  </r>
  <r>
    <s v="T100769"/>
    <s v="2025-11-28"/>
    <s v="C5627"/>
    <s v="Peter"/>
    <s v="Peter"/>
    <s v="Male"/>
    <n v="22"/>
    <s v="Valid"/>
    <s v="lagos"/>
    <x v="0"/>
    <s v="Groceries"/>
    <s v="Groceries"/>
    <s v="Rice"/>
    <s v="Rice"/>
    <n v="369.69"/>
    <n v="8"/>
    <n v="8"/>
    <n v="15"/>
    <s v="Valid"/>
    <s v="POS"/>
    <s v="Pos"/>
    <s v="Dan"/>
    <x v="0"/>
    <x v="3"/>
    <n v="5"/>
    <s v="ok"/>
    <n v="2513.8919999999998"/>
  </r>
  <r>
    <s v="T100770"/>
    <s v="27/12/2025"/>
    <s v="C7756"/>
    <s v="  James "/>
    <s v="James"/>
    <s v="Male"/>
    <n v="130"/>
    <s v="Invalid"/>
    <s v="lagos"/>
    <x v="0"/>
    <s v="Sports"/>
    <s v="Sports"/>
    <s v="Ball"/>
    <s v="Ball"/>
    <n v="336.84"/>
    <n v="1"/>
    <n v="1"/>
    <n v="15"/>
    <s v="Valid"/>
    <s v="Transfer"/>
    <s v="Transfer"/>
    <s v="Ada"/>
    <x v="2"/>
    <x v="1"/>
    <n v="1"/>
    <s v="ok"/>
    <n v="286.31399999999996"/>
  </r>
  <r>
    <s v="T100771"/>
    <s v="2025-02-20"/>
    <s v="C5408"/>
    <s v="Grace"/>
    <s v="Grace"/>
    <s v="Female"/>
    <n v="61"/>
    <s v="Valid"/>
    <s v="lagos"/>
    <x v="0"/>
    <s v="Electronics"/>
    <s v="Electronics"/>
    <s v="Phone"/>
    <s v="Phone"/>
    <n v="473.41"/>
    <n v="-2"/>
    <n v="1"/>
    <n v="-10"/>
    <s v="invalid"/>
    <s v="Mobile Money"/>
    <s v="Mobile Money"/>
    <s v="Ada"/>
    <x v="2"/>
    <x v="3"/>
    <n v="1"/>
    <s v="ok"/>
    <n v="520.75100000000009"/>
  </r>
  <r>
    <s v="T100772"/>
    <s v="2025-10-08"/>
    <s v="C7325"/>
    <s v="Grace"/>
    <s v="Grace"/>
    <s v="Female"/>
    <n v="8"/>
    <s v="Invalid"/>
    <s v="lagos"/>
    <x v="0"/>
    <s v="Groceries"/>
    <s v="Groceries"/>
    <s v="Rice"/>
    <s v="Rice"/>
    <n v="94.89"/>
    <n v="2"/>
    <n v="2"/>
    <n v="10"/>
    <s v="Valid"/>
    <m/>
    <s v=""/>
    <s v="Dan"/>
    <x v="0"/>
    <x v="2"/>
    <n v="3"/>
    <s v="ok"/>
    <n v="170.80199999999999"/>
  </r>
  <r>
    <s v="T100773"/>
    <s v="2025-03-08"/>
    <s v="C7252"/>
    <s v="David"/>
    <s v="David"/>
    <s v="Female"/>
    <n v="8"/>
    <s v="Invalid"/>
    <s v="lagos"/>
    <x v="0"/>
    <s v="Electronics"/>
    <s v="Electronics"/>
    <s v="Phone"/>
    <s v="Phone"/>
    <n v="66.97"/>
    <n v="-2"/>
    <n v="1"/>
    <n v="15"/>
    <s v="Valid"/>
    <s v="Transfer"/>
    <s v="Transfer"/>
    <s v="Dan"/>
    <x v="0"/>
    <x v="0"/>
    <n v="2"/>
    <s v="ok"/>
    <n v="56.924499999999995"/>
  </r>
  <r>
    <s v="T100774"/>
    <s v="2025-08-10"/>
    <s v="C2846"/>
    <s v="  James "/>
    <s v="James"/>
    <s v="Female"/>
    <n v="130"/>
    <s v="Invalid"/>
    <s v="PH"/>
    <x v="1"/>
    <s v="groceris"/>
    <s v="Groceris"/>
    <s v="Rice"/>
    <s v="Rice"/>
    <n v="388.77"/>
    <n v="-2"/>
    <n v="1"/>
    <n v="15"/>
    <s v="Valid"/>
    <s v="Cash"/>
    <s v="Cash"/>
    <s v="Ben"/>
    <x v="3"/>
    <x v="0"/>
    <n v="4"/>
    <s v="ok"/>
    <n v="330.4545"/>
  </r>
  <r>
    <s v="T100775"/>
    <s v="2025-11-01"/>
    <s v="C3779"/>
    <s v="  James "/>
    <s v="James"/>
    <s v="Male"/>
    <n v="130"/>
    <s v="Invalid"/>
    <s v="Abuja"/>
    <x v="3"/>
    <s v="Electronics"/>
    <s v="Electronics"/>
    <s v="Phone"/>
    <s v="Phone"/>
    <n v="61.34"/>
    <n v="2"/>
    <n v="2"/>
    <n v="0"/>
    <s v="Valid"/>
    <s v="Mobile Money"/>
    <s v="Mobile Money"/>
    <s v="Ada"/>
    <x v="2"/>
    <x v="1"/>
    <n v="5"/>
    <s v="ok"/>
    <n v="122.68"/>
  </r>
  <r>
    <s v="T100776"/>
    <s v="2025-09-14"/>
    <s v="C8139"/>
    <s v="Grace"/>
    <s v="Grace"/>
    <s v="Male"/>
    <n v="130"/>
    <s v="Invalid"/>
    <s v="lagos"/>
    <x v="0"/>
    <s v="Groceries"/>
    <s v="Groceries"/>
    <s v="Rice"/>
    <s v="Rice"/>
    <n v="380.18"/>
    <n v="-2"/>
    <n v="1"/>
    <n v="15"/>
    <s v="Valid"/>
    <s v="POS"/>
    <s v="Pos"/>
    <s v="Ben"/>
    <x v="3"/>
    <x v="2"/>
    <n v="2"/>
    <s v="ok"/>
    <n v="323.15300000000002"/>
  </r>
  <r>
    <s v="T100777"/>
    <s v="24/04/2026"/>
    <s v="C5749"/>
    <s v="David"/>
    <s v="David"/>
    <s v="Male"/>
    <n v="8"/>
    <s v="Invalid"/>
    <s v="lagos"/>
    <x v="0"/>
    <s v="Home"/>
    <s v="Home"/>
    <s v="Chair"/>
    <s v="Chair"/>
    <n v="467.53"/>
    <n v="7"/>
    <n v="7"/>
    <n v="0"/>
    <s v="Valid"/>
    <s v="Cash"/>
    <s v="Cash"/>
    <s v="Dan"/>
    <x v="0"/>
    <x v="1"/>
    <n v="4"/>
    <s v="ok"/>
    <n v="3272.71"/>
  </r>
  <r>
    <s v="T100778"/>
    <s v="2025-01-02"/>
    <s v="C9770"/>
    <s v="  James "/>
    <s v="James"/>
    <s v="Female"/>
    <n v="8"/>
    <s v="Invalid"/>
    <s v="lagos"/>
    <x v="0"/>
    <s v="Fashion"/>
    <s v="Fashion"/>
    <s v="Shirt"/>
    <s v="Shirt"/>
    <n v="176.66"/>
    <n v="-2"/>
    <n v="1"/>
    <n v="-10"/>
    <s v="invalid"/>
    <s v="Mobile Money"/>
    <s v="Mobile Money"/>
    <s v="Ada"/>
    <x v="2"/>
    <x v="2"/>
    <n v="3"/>
    <s v="ok"/>
    <n v="194.32600000000002"/>
  </r>
  <r>
    <s v="T100779"/>
    <s v="2026-04-10"/>
    <s v="C5753"/>
    <s v="Mary"/>
    <s v="Mary"/>
    <s v="Male"/>
    <n v="8"/>
    <s v="Invalid"/>
    <s v="Abuja"/>
    <x v="3"/>
    <s v="Home"/>
    <s v="Home"/>
    <s v="Chair"/>
    <s v="Chair"/>
    <n v="422.34"/>
    <n v="-2"/>
    <n v="1"/>
    <n v="5"/>
    <s v="Valid"/>
    <m/>
    <s v=""/>
    <s v="Ada"/>
    <x v="2"/>
    <x v="2"/>
    <n v="2"/>
    <s v="ok"/>
    <n v="401.22299999999996"/>
  </r>
  <r>
    <s v="T100780"/>
    <s v="2026-02-23"/>
    <s v="C8396"/>
    <m/>
    <s v=""/>
    <s v="Male"/>
    <n v="130"/>
    <s v="Invalid"/>
    <s v="Kano"/>
    <x v="4"/>
    <s v="Fashion"/>
    <s v="Fashion"/>
    <s v="Shirt"/>
    <s v="Shirt"/>
    <n v="16.28"/>
    <n v="5"/>
    <n v="5"/>
    <n v="10"/>
    <s v="Valid"/>
    <s v="Transfer"/>
    <s v="Transfer"/>
    <s v="Ben"/>
    <x v="3"/>
    <x v="2"/>
    <n v="3"/>
    <s v="Missing"/>
    <n v="73.260000000000005"/>
  </r>
  <r>
    <s v="T100781"/>
    <s v="2025-11-15"/>
    <s v="C1081"/>
    <s v="  James "/>
    <s v="James"/>
    <s v="Male"/>
    <n v="130"/>
    <s v="Invalid"/>
    <s v="Abuja"/>
    <x v="3"/>
    <s v="Fashion"/>
    <s v="Fashion"/>
    <s v="Shirt"/>
    <s v="Shirt"/>
    <n v="79.88"/>
    <n v="6"/>
    <n v="6"/>
    <n v="5"/>
    <s v="Valid"/>
    <s v="Transfer"/>
    <s v="Transfer"/>
    <s v="Dan"/>
    <x v="0"/>
    <x v="0"/>
    <n v="4"/>
    <s v="ok"/>
    <n v="455.31599999999997"/>
  </r>
  <r>
    <s v="T100782"/>
    <s v="2026-05-12"/>
    <s v="C1465"/>
    <m/>
    <s v=""/>
    <s v="Female"/>
    <n v="8"/>
    <s v="Invalid"/>
    <s v="Abuja"/>
    <x v="3"/>
    <s v="Groceries"/>
    <s v="Groceries"/>
    <s v="Rice"/>
    <s v="Rice"/>
    <n v="159.82"/>
    <n v="8"/>
    <n v="8"/>
    <n v="15"/>
    <s v="Valid"/>
    <s v="Mobile Money"/>
    <s v="Mobile Money"/>
    <s v="Ada"/>
    <x v="2"/>
    <x v="3"/>
    <n v="5"/>
    <s v="Missing"/>
    <n v="1086.7759999999998"/>
  </r>
  <r>
    <s v="T100783"/>
    <s v="2025-06-04"/>
    <s v="C1961"/>
    <s v="Grace"/>
    <s v="Grace"/>
    <s v="Male"/>
    <n v="56"/>
    <s v="Valid"/>
    <s v="PH"/>
    <x v="1"/>
    <s v="groceris"/>
    <s v="Groceris"/>
    <s v="Rice"/>
    <s v="Rice"/>
    <n v="465.6"/>
    <n v="-2"/>
    <n v="1"/>
    <n v="120"/>
    <s v="invalid"/>
    <s v="Mobile Money"/>
    <s v="Mobile Money"/>
    <s v="Ada"/>
    <x v="2"/>
    <x v="2"/>
    <n v="4"/>
    <s v="ok"/>
    <n v="-93.11999999999999"/>
  </r>
  <r>
    <s v="T100784"/>
    <s v="12/06/2025"/>
    <s v="C7819"/>
    <s v="David"/>
    <s v="David"/>
    <s v="Male"/>
    <n v="36"/>
    <s v="Valid"/>
    <s v="PH"/>
    <x v="1"/>
    <s v="Groceries"/>
    <s v="Groceries"/>
    <s v="Rice"/>
    <s v="Rice"/>
    <n v="211.77"/>
    <n v="1"/>
    <n v="1"/>
    <n v="-10"/>
    <s v="invalid"/>
    <s v="Mobile Money"/>
    <s v="Mobile Money"/>
    <s v="Dan"/>
    <x v="0"/>
    <x v="2"/>
    <n v="4"/>
    <s v="ok"/>
    <n v="232.94700000000003"/>
  </r>
  <r>
    <s v="T100785"/>
    <s v="2025-10-15"/>
    <s v="C6462"/>
    <s v="Grace"/>
    <s v="Grace"/>
    <s v="Male"/>
    <n v="130"/>
    <s v="Invalid"/>
    <s v="Kano"/>
    <x v="4"/>
    <s v="Sports"/>
    <s v="Sports"/>
    <s v="Ball"/>
    <s v="Ball"/>
    <n v="141.4"/>
    <n v="-2"/>
    <n v="1"/>
    <n v="15"/>
    <s v="Valid"/>
    <s v="POS"/>
    <s v="Pos"/>
    <s v="Chi"/>
    <x v="1"/>
    <x v="1"/>
    <n v="3"/>
    <s v="ok"/>
    <n v="120.19"/>
  </r>
  <r>
    <s v="T100786"/>
    <s v="2026-06-04"/>
    <s v="C1492"/>
    <s v="Mary"/>
    <s v="Mary"/>
    <s v="Male"/>
    <n v="8"/>
    <s v="Invalid"/>
    <s v="Enugu"/>
    <x v="2"/>
    <s v="Electronics"/>
    <s v="Electronics"/>
    <s v="Phone"/>
    <s v="Phone"/>
    <n v="432.47"/>
    <n v="-2"/>
    <n v="1"/>
    <n v="0"/>
    <s v="Valid"/>
    <s v="POS"/>
    <s v="Pos"/>
    <s v="Ben"/>
    <x v="3"/>
    <x v="1"/>
    <n v="4"/>
    <s v="ok"/>
    <n v="432.47"/>
  </r>
  <r>
    <s v="T100787"/>
    <s v="2025-10-09"/>
    <s v="C6609"/>
    <s v="Peter"/>
    <s v="Peter"/>
    <s v="Female"/>
    <n v="58"/>
    <s v="Valid"/>
    <s v="lagos"/>
    <x v="0"/>
    <s v="groceris"/>
    <s v="Groceris"/>
    <s v="Rice"/>
    <s v="Rice"/>
    <n v="170.81"/>
    <n v="-2"/>
    <n v="1"/>
    <n v="15"/>
    <s v="Valid"/>
    <m/>
    <s v=""/>
    <s v="Ben"/>
    <x v="3"/>
    <x v="0"/>
    <n v="5"/>
    <s v="ok"/>
    <n v="145.1885"/>
  </r>
  <r>
    <s v="T100788"/>
    <s v="2025-04-11"/>
    <s v="C8452"/>
    <s v="John"/>
    <s v="John"/>
    <s v="Female"/>
    <n v="8"/>
    <s v="Invalid"/>
    <s v="Enugu"/>
    <x v="2"/>
    <s v="Fashion"/>
    <s v="Fashion"/>
    <s v="Shirt"/>
    <s v="Shirt"/>
    <n v="131.66"/>
    <n v="-2"/>
    <n v="1"/>
    <n v="0"/>
    <s v="Valid"/>
    <s v="POS"/>
    <s v="Pos"/>
    <s v="Dan"/>
    <x v="0"/>
    <x v="1"/>
    <n v="3"/>
    <s v="ok"/>
    <n v="131.66"/>
  </r>
  <r>
    <s v="T100789"/>
    <s v="2025-12-05"/>
    <s v="C2025"/>
    <m/>
    <s v=""/>
    <s v="Male"/>
    <n v="130"/>
    <s v="Invalid"/>
    <s v="Kano"/>
    <x v="4"/>
    <s v="Sports"/>
    <s v="Sports"/>
    <s v="Ball"/>
    <s v="Ball"/>
    <n v="226.38"/>
    <n v="9"/>
    <n v="9"/>
    <n v="120"/>
    <s v="invalid"/>
    <s v="Transfer"/>
    <s v="Transfer"/>
    <s v="Chi"/>
    <x v="1"/>
    <x v="0"/>
    <n v="2"/>
    <s v="Missing"/>
    <n v="-407.48399999999992"/>
  </r>
  <r>
    <s v="T100790"/>
    <s v="2025-11-28"/>
    <s v="C7573"/>
    <s v="Peter"/>
    <s v="Peter"/>
    <s v="Female"/>
    <n v="63"/>
    <s v="Valid"/>
    <s v="Abuja"/>
    <x v="3"/>
    <s v="Electronics"/>
    <s v="Electronics"/>
    <s v="Phone"/>
    <s v="Phone"/>
    <n v="403.36"/>
    <n v="1"/>
    <n v="1"/>
    <n v="5"/>
    <s v="Valid"/>
    <s v="Transfer"/>
    <s v="Transfer"/>
    <s v="Dan"/>
    <x v="0"/>
    <x v="0"/>
    <n v="4"/>
    <s v="ok"/>
    <n v="383.19200000000001"/>
  </r>
  <r>
    <s v="T100791"/>
    <s v="27/01/2025"/>
    <s v="C6429"/>
    <s v="Peter"/>
    <s v="Peter"/>
    <s v="Male"/>
    <n v="8"/>
    <s v="Invalid"/>
    <s v="lagos"/>
    <x v="0"/>
    <s v="Electronics"/>
    <s v="Electronics"/>
    <s v="Phone"/>
    <s v="Phone"/>
    <n v="117.03"/>
    <n v="-2"/>
    <n v="1"/>
    <n v="120"/>
    <s v="invalid"/>
    <s v="Mobile Money"/>
    <s v="Mobile Money"/>
    <s v="Ada"/>
    <x v="2"/>
    <x v="2"/>
    <n v="3"/>
    <s v="ok"/>
    <n v="-23.405999999999995"/>
  </r>
  <r>
    <s v="T100792"/>
    <s v="2025-12-19"/>
    <s v="C1309"/>
    <s v="Peter"/>
    <s v="Peter"/>
    <s v="Male"/>
    <n v="130"/>
    <s v="Invalid"/>
    <s v="lagos"/>
    <x v="0"/>
    <s v="Home"/>
    <s v="Home"/>
    <s v="Chair"/>
    <s v="Chair"/>
    <n v="220.48"/>
    <n v="-2"/>
    <n v="1"/>
    <n v="-10"/>
    <s v="invalid"/>
    <s v="Transfer"/>
    <s v="Transfer"/>
    <s v="Chi"/>
    <x v="1"/>
    <x v="2"/>
    <m/>
    <s v="ok"/>
    <n v="242.52800000000002"/>
  </r>
  <r>
    <s v="T100793"/>
    <s v="2026-06-23"/>
    <s v="C9238"/>
    <s v="Aisha"/>
    <s v="Aisha"/>
    <s v="Female"/>
    <n v="130"/>
    <s v="Invalid"/>
    <s v="Kano"/>
    <x v="4"/>
    <s v="Beauty"/>
    <s v="Beauty"/>
    <s v="Cream"/>
    <s v="Cream"/>
    <n v="477.78"/>
    <n v="9"/>
    <n v="9"/>
    <n v="10"/>
    <s v="Valid"/>
    <s v="POS"/>
    <s v="Pos"/>
    <s v="Chi"/>
    <x v="1"/>
    <x v="0"/>
    <n v="5"/>
    <s v="ok"/>
    <n v="3870.0179999999996"/>
  </r>
  <r>
    <s v="T100794"/>
    <s v="2025-10-13"/>
    <s v="C1786"/>
    <s v="  James "/>
    <s v="James"/>
    <s v="Male"/>
    <n v="30"/>
    <s v="Valid"/>
    <s v="Kano"/>
    <x v="4"/>
    <s v="Sports"/>
    <s v="Sports"/>
    <s v="Ball"/>
    <s v="Ball"/>
    <n v="154.04"/>
    <n v="-2"/>
    <n v="1"/>
    <n v="120"/>
    <s v="invalid"/>
    <s v="Transfer"/>
    <s v="Transfer"/>
    <s v="Chi"/>
    <x v="1"/>
    <x v="2"/>
    <n v="2"/>
    <s v="ok"/>
    <n v="-30.807999999999993"/>
  </r>
  <r>
    <s v="T100795"/>
    <s v="2025-05-30"/>
    <s v="C4187"/>
    <s v="Aisha"/>
    <s v="Aisha"/>
    <s v="Male"/>
    <n v="21"/>
    <s v="Valid"/>
    <s v="Abuja"/>
    <x v="3"/>
    <s v="Groceries"/>
    <s v="Groceries"/>
    <s v="Rice"/>
    <s v="Rice"/>
    <n v="444.53"/>
    <n v="-2"/>
    <n v="1"/>
    <n v="10"/>
    <s v="Valid"/>
    <s v="Mobile Money"/>
    <s v="Mobile Money"/>
    <s v="Dan"/>
    <x v="0"/>
    <x v="0"/>
    <n v="3"/>
    <s v="ok"/>
    <n v="400.077"/>
  </r>
  <r>
    <s v="T100796"/>
    <s v="2025-09-23"/>
    <s v="C1543"/>
    <s v="Mary"/>
    <s v="Mary"/>
    <s v="Female"/>
    <n v="130"/>
    <s v="Invalid"/>
    <s v="lagos"/>
    <x v="0"/>
    <s v="Home"/>
    <s v="Home"/>
    <s v="Chair"/>
    <s v="Chair"/>
    <n v="6.65"/>
    <n v="-2"/>
    <n v="1"/>
    <n v="5"/>
    <s v="Valid"/>
    <s v="Mobile Money"/>
    <s v="Mobile Money"/>
    <s v="Ada"/>
    <x v="2"/>
    <x v="0"/>
    <n v="1"/>
    <s v="ok"/>
    <n v="6.3174999999999999"/>
  </r>
  <r>
    <s v="T100797"/>
    <s v="2025-01-23"/>
    <s v="C2467"/>
    <s v="Mary"/>
    <s v="Mary"/>
    <s v="Female"/>
    <n v="130"/>
    <s v="Invalid"/>
    <s v="Kano"/>
    <x v="4"/>
    <s v="Groceries"/>
    <s v="Groceries"/>
    <s v="Rice"/>
    <s v="Rice"/>
    <n v="260.77"/>
    <n v="-2"/>
    <n v="1"/>
    <n v="5"/>
    <s v="Valid"/>
    <s v="POS"/>
    <s v="Pos"/>
    <s v="Ben"/>
    <x v="3"/>
    <x v="3"/>
    <n v="4"/>
    <s v="ok"/>
    <n v="247.73149999999998"/>
  </r>
  <r>
    <s v="T100798"/>
    <s v="29/04/2025"/>
    <s v="C7381"/>
    <s v="David"/>
    <s v="David"/>
    <s v="Male"/>
    <n v="8"/>
    <s v="Invalid"/>
    <s v="lagos"/>
    <x v="0"/>
    <s v="Sports"/>
    <s v="Sports"/>
    <s v="Ball"/>
    <s v="Ball"/>
    <n v="373.19"/>
    <n v="2"/>
    <n v="2"/>
    <n v="0"/>
    <s v="Valid"/>
    <s v="Transfer"/>
    <s v="Transfer"/>
    <s v="Chi"/>
    <x v="1"/>
    <x v="0"/>
    <n v="5"/>
    <s v="ok"/>
    <n v="746.38"/>
  </r>
  <r>
    <s v="T100799"/>
    <s v="2025-02-26"/>
    <s v="C8437"/>
    <s v="Peter"/>
    <s v="Peter"/>
    <s v="Female"/>
    <n v="23"/>
    <s v="Valid"/>
    <s v="Abuja"/>
    <x v="3"/>
    <s v="Electronics"/>
    <s v="Electronics"/>
    <s v="Phone"/>
    <s v="Phone"/>
    <n v="130.62"/>
    <n v="4"/>
    <n v="4"/>
    <n v="120"/>
    <s v="invalid"/>
    <m/>
    <s v=""/>
    <s v="Dan"/>
    <x v="0"/>
    <x v="3"/>
    <n v="2"/>
    <s v="ok"/>
    <n v="-104.49599999999998"/>
  </r>
  <r>
    <s v="T100800"/>
    <s v="2025-10-24"/>
    <s v="C9307"/>
    <s v="Aisha"/>
    <s v="Aisha"/>
    <s v="Male"/>
    <n v="8"/>
    <s v="Invalid"/>
    <s v="Abuja"/>
    <x v="3"/>
    <s v="Groceries"/>
    <s v="Groceries"/>
    <s v="Rice"/>
    <s v="Rice"/>
    <n v="426.83"/>
    <n v="-2"/>
    <n v="1"/>
    <n v="-10"/>
    <s v="invalid"/>
    <m/>
    <s v=""/>
    <s v="Ada"/>
    <x v="2"/>
    <x v="0"/>
    <m/>
    <s v="ok"/>
    <n v="469.51300000000003"/>
  </r>
  <r>
    <s v="T100801"/>
    <s v="2026-05-13"/>
    <s v="C2950"/>
    <s v="  James "/>
    <s v="James"/>
    <s v="Male"/>
    <n v="8"/>
    <s v="Invalid"/>
    <s v="Abuja"/>
    <x v="3"/>
    <s v="Home"/>
    <s v="Home"/>
    <s v="Chair"/>
    <s v="Chair"/>
    <n v="146.33000000000001"/>
    <n v="-2"/>
    <n v="1"/>
    <n v="10"/>
    <s v="Valid"/>
    <s v="Cash"/>
    <s v="Cash"/>
    <s v="Ada"/>
    <x v="2"/>
    <x v="0"/>
    <n v="2"/>
    <s v="ok"/>
    <n v="131.697"/>
  </r>
  <r>
    <s v="T100802"/>
    <s v="2026-06-23"/>
    <s v="C5034"/>
    <s v="Peter"/>
    <s v="Peter"/>
    <s v="Male"/>
    <n v="35"/>
    <s v="Valid"/>
    <s v="Enugu"/>
    <x v="2"/>
    <s v="Home"/>
    <s v="Home"/>
    <s v="Chair"/>
    <s v="Chair"/>
    <n v="338.76"/>
    <n v="5"/>
    <n v="5"/>
    <n v="10"/>
    <s v="Valid"/>
    <m/>
    <s v=""/>
    <s v="Ada"/>
    <x v="2"/>
    <x v="3"/>
    <n v="1"/>
    <s v="ok"/>
    <n v="1524.42"/>
  </r>
  <r>
    <s v="T100803"/>
    <s v="2025-11-13"/>
    <s v="C9715"/>
    <s v="  James "/>
    <s v="James"/>
    <s v="Female"/>
    <n v="51"/>
    <s v="Valid"/>
    <s v="lagos"/>
    <x v="0"/>
    <s v="Sports"/>
    <s v="Sports"/>
    <s v="Ball"/>
    <s v="Ball"/>
    <n v="479.78"/>
    <n v="5"/>
    <n v="5"/>
    <n v="-10"/>
    <s v="invalid"/>
    <s v="Transfer"/>
    <s v="Transfer"/>
    <s v="Dan"/>
    <x v="0"/>
    <x v="0"/>
    <n v="2"/>
    <s v="ok"/>
    <n v="2638.79"/>
  </r>
  <r>
    <s v="T100804"/>
    <s v="2026-02-07"/>
    <s v="C8854"/>
    <s v="Peter"/>
    <s v="Peter"/>
    <s v="Female"/>
    <n v="130"/>
    <s v="Invalid"/>
    <s v="lagos"/>
    <x v="0"/>
    <s v="Electronics"/>
    <s v="Electronics"/>
    <s v="Phone"/>
    <s v="Phone"/>
    <n v="140.81"/>
    <n v="-2"/>
    <n v="1"/>
    <n v="10"/>
    <s v="Valid"/>
    <s v="POS"/>
    <s v="Pos"/>
    <s v="Chi"/>
    <x v="1"/>
    <x v="3"/>
    <n v="4"/>
    <s v="ok"/>
    <n v="126.729"/>
  </r>
  <r>
    <s v="T100805"/>
    <s v="15/05/2025"/>
    <s v="C8149"/>
    <s v="David"/>
    <s v="David"/>
    <s v="Male"/>
    <n v="55"/>
    <s v="Valid"/>
    <s v="Abuja"/>
    <x v="3"/>
    <s v="groceris"/>
    <s v="Groceris"/>
    <s v="Rice"/>
    <s v="Rice"/>
    <n v="339.31"/>
    <n v="10"/>
    <n v="10"/>
    <n v="5"/>
    <s v="Valid"/>
    <s v="Cash"/>
    <s v="Cash"/>
    <s v="Chi"/>
    <x v="1"/>
    <x v="1"/>
    <n v="4"/>
    <s v="ok"/>
    <n v="3223.4449999999997"/>
  </r>
  <r>
    <s v="T100806"/>
    <s v="2025-10-03"/>
    <s v="C5782"/>
    <s v="John"/>
    <s v="John"/>
    <s v="Male"/>
    <n v="8"/>
    <s v="Invalid"/>
    <s v="lagos"/>
    <x v="0"/>
    <s v="groceris"/>
    <s v="Groceris"/>
    <s v="Rice"/>
    <s v="Rice"/>
    <n v="377.01"/>
    <n v="4"/>
    <n v="4"/>
    <n v="-10"/>
    <s v="invalid"/>
    <s v="POS"/>
    <s v="Pos"/>
    <s v="Chi"/>
    <x v="1"/>
    <x v="0"/>
    <n v="4"/>
    <s v="ok"/>
    <n v="1658.8440000000001"/>
  </r>
  <r>
    <s v="T100807"/>
    <s v="2026-02-07"/>
    <s v="C1302"/>
    <s v="John"/>
    <s v="John"/>
    <s v="Female"/>
    <n v="51"/>
    <s v="Valid"/>
    <s v="Kano"/>
    <x v="4"/>
    <s v="Fashion"/>
    <s v="Fashion"/>
    <s v="Shirt"/>
    <s v="Shirt"/>
    <n v="326.77"/>
    <n v="2"/>
    <n v="2"/>
    <n v="5"/>
    <s v="Valid"/>
    <s v="Mobile Money"/>
    <s v="Mobile Money"/>
    <s v="Chi"/>
    <x v="1"/>
    <x v="3"/>
    <n v="4"/>
    <s v="ok"/>
    <n v="620.86299999999994"/>
  </r>
  <r>
    <s v="T100808"/>
    <s v="2025-04-11"/>
    <s v="C4922"/>
    <s v="John"/>
    <s v="John"/>
    <s v="Female"/>
    <n v="8"/>
    <s v="Invalid"/>
    <s v="PH"/>
    <x v="1"/>
    <s v="Electronics"/>
    <s v="Electronics"/>
    <s v="Phone"/>
    <s v="Phone"/>
    <n v="292.8"/>
    <n v="6"/>
    <n v="6"/>
    <n v="5"/>
    <s v="Valid"/>
    <s v="Cash"/>
    <s v="Cash"/>
    <s v="Ada"/>
    <x v="2"/>
    <x v="0"/>
    <n v="2"/>
    <s v="ok"/>
    <n v="1668.96"/>
  </r>
  <r>
    <s v="T100809"/>
    <s v="2025-02-01"/>
    <s v="C8883"/>
    <s v="Peter"/>
    <s v="Peter"/>
    <s v="Male"/>
    <n v="130"/>
    <s v="Invalid"/>
    <s v="Abuja"/>
    <x v="3"/>
    <s v="Home"/>
    <s v="Home"/>
    <s v="Chair"/>
    <s v="Chair"/>
    <n v="244.71"/>
    <n v="-2"/>
    <n v="1"/>
    <n v="-10"/>
    <s v="invalid"/>
    <s v="Mobile Money"/>
    <s v="Mobile Money"/>
    <s v="Ada"/>
    <x v="2"/>
    <x v="1"/>
    <n v="4"/>
    <s v="ok"/>
    <n v="269.18100000000004"/>
  </r>
  <r>
    <s v="T100810"/>
    <s v="2025-06-25"/>
    <s v="C2315"/>
    <s v="Peter"/>
    <s v="Peter"/>
    <s v="Female"/>
    <n v="49"/>
    <s v="Valid"/>
    <s v="Kano"/>
    <x v="4"/>
    <s v="Beauty"/>
    <s v="Beauty"/>
    <s v="Cream"/>
    <s v="Cream"/>
    <n v="228.51"/>
    <n v="-2"/>
    <n v="1"/>
    <n v="0"/>
    <s v="Valid"/>
    <s v="Mobile Money"/>
    <s v="Mobile Money"/>
    <s v="Dan"/>
    <x v="0"/>
    <x v="0"/>
    <m/>
    <s v="ok"/>
    <n v="228.51"/>
  </r>
  <r>
    <s v="T100811"/>
    <s v="2025-06-05"/>
    <s v="C9548"/>
    <s v="John"/>
    <s v="John"/>
    <s v="Female"/>
    <n v="8"/>
    <s v="Invalid"/>
    <s v="Enugu"/>
    <x v="2"/>
    <s v="Sports"/>
    <s v="Sports"/>
    <s v="Ball"/>
    <s v="Ball"/>
    <n v="41.23"/>
    <n v="1"/>
    <n v="1"/>
    <n v="-10"/>
    <s v="invalid"/>
    <s v="POS"/>
    <s v="Pos"/>
    <s v="Dan"/>
    <x v="0"/>
    <x v="0"/>
    <n v="3"/>
    <s v="ok"/>
    <n v="45.353000000000002"/>
  </r>
  <r>
    <s v="T100812"/>
    <s v="08/05/2025"/>
    <s v="C6110"/>
    <s v="John"/>
    <s v="John"/>
    <s v="Female"/>
    <n v="23"/>
    <s v="Valid"/>
    <s v="Enugu"/>
    <x v="2"/>
    <s v="groceris"/>
    <s v="Groceris"/>
    <s v="Rice"/>
    <s v="Rice"/>
    <n v="439.81"/>
    <n v="5"/>
    <n v="5"/>
    <n v="0"/>
    <s v="Valid"/>
    <m/>
    <s v=""/>
    <s v="Dan"/>
    <x v="0"/>
    <x v="3"/>
    <n v="2"/>
    <s v="ok"/>
    <n v="2199.0500000000002"/>
  </r>
  <r>
    <s v="T100813"/>
    <s v="2025-01-26"/>
    <s v="C4963"/>
    <s v="John"/>
    <s v="John"/>
    <s v="Male"/>
    <n v="8"/>
    <s v="Invalid"/>
    <s v="Abuja"/>
    <x v="3"/>
    <s v="Groceries"/>
    <s v="Groceries"/>
    <s v="Rice"/>
    <s v="Rice"/>
    <n v="156.19999999999999"/>
    <n v="10"/>
    <n v="10"/>
    <n v="120"/>
    <s v="invalid"/>
    <s v="Transfer"/>
    <s v="Transfer"/>
    <s v="Chi"/>
    <x v="1"/>
    <x v="2"/>
    <n v="5"/>
    <s v="ok"/>
    <n v="-312.39999999999992"/>
  </r>
  <r>
    <s v="T100814"/>
    <s v="2025-01-30"/>
    <s v="C1573"/>
    <s v="John"/>
    <s v="John"/>
    <s v="Male"/>
    <n v="130"/>
    <s v="Invalid"/>
    <s v="lagos"/>
    <x v="0"/>
    <s v="Sports"/>
    <s v="Sports"/>
    <s v="Ball"/>
    <s v="Ball"/>
    <n v="269.33999999999997"/>
    <n v="4"/>
    <n v="4"/>
    <n v="5"/>
    <s v="Valid"/>
    <m/>
    <s v=""/>
    <s v="Ada"/>
    <x v="2"/>
    <x v="2"/>
    <m/>
    <s v="ok"/>
    <n v="1023.4919999999998"/>
  </r>
  <r>
    <s v="T100815"/>
    <s v="2026-06-24"/>
    <s v="C5695"/>
    <s v="John"/>
    <s v="John"/>
    <s v="Male"/>
    <n v="63"/>
    <s v="Valid"/>
    <s v="lagos"/>
    <x v="0"/>
    <s v="Beauty"/>
    <s v="Beauty"/>
    <s v="Cream"/>
    <s v="Cream"/>
    <n v="278.3"/>
    <n v="4"/>
    <n v="4"/>
    <n v="-10"/>
    <s v="invalid"/>
    <s v="Transfer"/>
    <s v="Transfer"/>
    <s v="Dan"/>
    <x v="0"/>
    <x v="1"/>
    <m/>
    <s v="ok"/>
    <n v="1224.5200000000002"/>
  </r>
  <r>
    <s v="T100816"/>
    <s v="2025-04-08"/>
    <s v="C1016"/>
    <m/>
    <s v=""/>
    <s v="Female"/>
    <n v="130"/>
    <s v="Invalid"/>
    <s v="Kano"/>
    <x v="4"/>
    <s v="Sports"/>
    <s v="Sports"/>
    <s v="Ball"/>
    <s v="Ball"/>
    <n v="492.42"/>
    <n v="-2"/>
    <n v="1"/>
    <n v="120"/>
    <s v="invalid"/>
    <m/>
    <s v=""/>
    <s v="Dan"/>
    <x v="0"/>
    <x v="0"/>
    <n v="1"/>
    <s v="Missing"/>
    <n v="-98.48399999999998"/>
  </r>
  <r>
    <s v="T100817"/>
    <s v="2026-01-14"/>
    <s v="C2501"/>
    <s v="Mary"/>
    <s v="Mary"/>
    <s v="Male"/>
    <n v="59"/>
    <s v="Valid"/>
    <s v="PH"/>
    <x v="1"/>
    <s v="Home"/>
    <s v="Home"/>
    <s v="Chair"/>
    <s v="Chair"/>
    <n v="284.29000000000002"/>
    <n v="3"/>
    <n v="3"/>
    <n v="0"/>
    <s v="Valid"/>
    <m/>
    <s v=""/>
    <s v="Dan"/>
    <x v="0"/>
    <x v="3"/>
    <n v="2"/>
    <s v="ok"/>
    <n v="852.87000000000012"/>
  </r>
  <r>
    <s v="T100818"/>
    <s v="2025-12-12"/>
    <s v="C3357"/>
    <s v="Grace"/>
    <s v="Grace"/>
    <s v="Female"/>
    <n v="8"/>
    <s v="Invalid"/>
    <s v="Abuja"/>
    <x v="3"/>
    <s v="Fashion"/>
    <s v="Fashion"/>
    <s v="Shirt"/>
    <s v="Shirt"/>
    <n v="424.69"/>
    <n v="8"/>
    <n v="8"/>
    <n v="5"/>
    <s v="Valid"/>
    <s v="Transfer"/>
    <s v="Transfer"/>
    <s v="Ada"/>
    <x v="2"/>
    <x v="0"/>
    <n v="4"/>
    <s v="ok"/>
    <n v="3227.6439999999998"/>
  </r>
  <r>
    <s v="T100819"/>
    <s v="17/09/2025"/>
    <s v="C4355"/>
    <s v="John"/>
    <s v="John"/>
    <s v="Male"/>
    <n v="130"/>
    <s v="Invalid"/>
    <s v="lagos"/>
    <x v="0"/>
    <s v="Fashion"/>
    <s v="Fashion"/>
    <s v="Shirt"/>
    <s v="Shirt"/>
    <n v="418.4"/>
    <n v="-2"/>
    <n v="1"/>
    <n v="0"/>
    <s v="Valid"/>
    <s v="Transfer"/>
    <s v="Transfer"/>
    <s v="Dan"/>
    <x v="0"/>
    <x v="3"/>
    <n v="4"/>
    <s v="ok"/>
    <n v="418.4"/>
  </r>
  <r>
    <s v="T100820"/>
    <s v="2025-12-27"/>
    <s v="C7474"/>
    <s v="  James "/>
    <s v="James"/>
    <s v="Male"/>
    <n v="8"/>
    <s v="Invalid"/>
    <s v="Enugu"/>
    <x v="2"/>
    <s v="Fashion"/>
    <s v="Fashion"/>
    <s v="Shirt"/>
    <s v="Shirt"/>
    <n v="401.44"/>
    <n v="-2"/>
    <n v="1"/>
    <n v="-10"/>
    <s v="invalid"/>
    <s v="Transfer"/>
    <s v="Transfer"/>
    <s v="Ben"/>
    <x v="3"/>
    <x v="0"/>
    <n v="5"/>
    <s v="ok"/>
    <n v="441.58400000000006"/>
  </r>
  <r>
    <s v="T100821"/>
    <s v="2026-02-15"/>
    <s v="C3592"/>
    <s v="John"/>
    <s v="John"/>
    <s v="Male"/>
    <n v="8"/>
    <s v="Invalid"/>
    <s v="Kano"/>
    <x v="4"/>
    <s v="Sports"/>
    <s v="Sports"/>
    <s v="Ball"/>
    <s v="Ball"/>
    <n v="492.9"/>
    <n v="10"/>
    <n v="10"/>
    <n v="10"/>
    <s v="Valid"/>
    <m/>
    <s v=""/>
    <s v="Dan"/>
    <x v="0"/>
    <x v="0"/>
    <n v="2"/>
    <s v="ok"/>
    <n v="4436.1000000000004"/>
  </r>
  <r>
    <s v="T100822"/>
    <s v="2025-12-11"/>
    <s v="C3674"/>
    <s v="Peter"/>
    <s v="Peter"/>
    <s v="Female"/>
    <n v="38"/>
    <s v="Valid"/>
    <s v="Kano"/>
    <x v="4"/>
    <s v="Fashion"/>
    <s v="Fashion"/>
    <s v="Shirt"/>
    <s v="Shirt"/>
    <n v="116.66"/>
    <n v="1"/>
    <n v="1"/>
    <n v="10"/>
    <s v="Valid"/>
    <s v="Cash"/>
    <s v="Cash"/>
    <s v="Ada"/>
    <x v="2"/>
    <x v="2"/>
    <n v="1"/>
    <s v="ok"/>
    <n v="104.994"/>
  </r>
  <r>
    <s v="T100823"/>
    <s v="2025-01-28"/>
    <s v="C2931"/>
    <m/>
    <s v=""/>
    <s v="Female"/>
    <n v="41"/>
    <s v="Valid"/>
    <s v="Abuja"/>
    <x v="3"/>
    <s v="Sports"/>
    <s v="Sports"/>
    <s v="Ball"/>
    <s v="Ball"/>
    <n v="461.59"/>
    <n v="-2"/>
    <n v="1"/>
    <n v="10"/>
    <s v="Valid"/>
    <s v="Mobile Money"/>
    <s v="Mobile Money"/>
    <s v="Ada"/>
    <x v="2"/>
    <x v="1"/>
    <m/>
    <s v="Missing"/>
    <n v="415.43099999999998"/>
  </r>
  <r>
    <s v="T100824"/>
    <s v="2025-06-07"/>
    <s v="C3152"/>
    <s v="John"/>
    <s v="John"/>
    <s v="Male"/>
    <n v="8"/>
    <s v="Invalid"/>
    <s v="lagos"/>
    <x v="0"/>
    <s v="Home"/>
    <s v="Home"/>
    <s v="Chair"/>
    <s v="Chair"/>
    <n v="320.07"/>
    <n v="6"/>
    <n v="6"/>
    <n v="5"/>
    <s v="Valid"/>
    <s v="Cash"/>
    <s v="Cash"/>
    <s v="Dan"/>
    <x v="0"/>
    <x v="0"/>
    <n v="3"/>
    <s v="ok"/>
    <n v="1824.3989999999999"/>
  </r>
  <r>
    <s v="T100825"/>
    <s v="2026-05-16"/>
    <s v="C8172"/>
    <s v="Grace"/>
    <s v="Grace"/>
    <s v="Female"/>
    <n v="8"/>
    <s v="Invalid"/>
    <s v="Enugu"/>
    <x v="2"/>
    <s v="Home"/>
    <s v="Home"/>
    <s v="Chair"/>
    <s v="Chair"/>
    <n v="251.33"/>
    <n v="-2"/>
    <n v="1"/>
    <n v="120"/>
    <s v="invalid"/>
    <m/>
    <s v=""/>
    <s v="Dan"/>
    <x v="0"/>
    <x v="3"/>
    <n v="1"/>
    <s v="ok"/>
    <n v="-50.265999999999991"/>
  </r>
  <r>
    <s v="T100826"/>
    <s v="11/01/2025"/>
    <s v="C8100"/>
    <m/>
    <s v=""/>
    <s v="Female"/>
    <n v="35"/>
    <s v="Valid"/>
    <s v="PH"/>
    <x v="1"/>
    <s v="Sports"/>
    <s v="Sports"/>
    <s v="Ball"/>
    <s v="Ball"/>
    <n v="301.43"/>
    <n v="2"/>
    <n v="2"/>
    <n v="5"/>
    <s v="Valid"/>
    <s v="Transfer"/>
    <s v="Transfer"/>
    <s v="Dan"/>
    <x v="0"/>
    <x v="2"/>
    <n v="5"/>
    <s v="Missing"/>
    <n v="572.71699999999998"/>
  </r>
  <r>
    <s v="T100827"/>
    <s v="2025-07-14"/>
    <s v="C6925"/>
    <m/>
    <s v=""/>
    <s v="Male"/>
    <n v="8"/>
    <s v="Invalid"/>
    <s v="Kano"/>
    <x v="4"/>
    <s v="Electronics"/>
    <s v="Electronics"/>
    <s v="Phone"/>
    <s v="Phone"/>
    <n v="336.98"/>
    <n v="-2"/>
    <n v="1"/>
    <n v="0"/>
    <s v="Valid"/>
    <m/>
    <s v=""/>
    <s v="Chi"/>
    <x v="1"/>
    <x v="1"/>
    <m/>
    <s v="Missing"/>
    <n v="336.98"/>
  </r>
  <r>
    <s v="T100828"/>
    <s v="2025-11-05"/>
    <s v="C9572"/>
    <m/>
    <s v=""/>
    <s v="Female"/>
    <n v="18"/>
    <s v="Invalid"/>
    <s v="PH"/>
    <x v="1"/>
    <s v="groceris"/>
    <s v="Groceris"/>
    <s v="Rice"/>
    <s v="Rice"/>
    <n v="112.64"/>
    <n v="5"/>
    <n v="5"/>
    <n v="10"/>
    <s v="Valid"/>
    <s v="Transfer"/>
    <s v="Transfer"/>
    <s v="Chi"/>
    <x v="1"/>
    <x v="0"/>
    <n v="3"/>
    <s v="Missing"/>
    <n v="506.88000000000005"/>
  </r>
  <r>
    <s v="T100829"/>
    <s v="2025-04-14"/>
    <s v="C8446"/>
    <s v="Aisha"/>
    <s v="Aisha"/>
    <s v="Female"/>
    <n v="130"/>
    <s v="Invalid"/>
    <s v="lagos"/>
    <x v="0"/>
    <s v="Electronics"/>
    <s v="Electronics"/>
    <s v="Phone"/>
    <s v="Phone"/>
    <n v="135.58000000000001"/>
    <n v="-2"/>
    <n v="1"/>
    <n v="120"/>
    <s v="invalid"/>
    <m/>
    <s v=""/>
    <s v="Dan"/>
    <x v="0"/>
    <x v="0"/>
    <n v="4"/>
    <s v="ok"/>
    <n v="-27.115999999999996"/>
  </r>
  <r>
    <s v="T100830"/>
    <s v="2025-11-14"/>
    <s v="C2645"/>
    <s v="Grace"/>
    <s v="Grace"/>
    <s v="Female"/>
    <n v="130"/>
    <s v="Invalid"/>
    <s v="Kano"/>
    <x v="4"/>
    <s v="Groceries"/>
    <s v="Groceries"/>
    <s v="Rice"/>
    <s v="Rice"/>
    <n v="312.37"/>
    <n v="-2"/>
    <n v="1"/>
    <n v="10"/>
    <s v="Valid"/>
    <s v="POS"/>
    <s v="Pos"/>
    <s v="Dan"/>
    <x v="0"/>
    <x v="3"/>
    <n v="3"/>
    <s v="ok"/>
    <n v="281.13300000000004"/>
  </r>
  <r>
    <s v="T100831"/>
    <s v="2025-07-13"/>
    <s v="C4489"/>
    <s v="John"/>
    <s v="John"/>
    <s v="Male"/>
    <n v="56"/>
    <s v="Valid"/>
    <s v="PH"/>
    <x v="1"/>
    <s v="Fashion"/>
    <s v="Fashion"/>
    <s v="Shirt"/>
    <s v="Shirt"/>
    <n v="287.23"/>
    <n v="-2"/>
    <n v="1"/>
    <n v="10"/>
    <s v="Valid"/>
    <m/>
    <s v=""/>
    <s v="Ada"/>
    <x v="2"/>
    <x v="2"/>
    <n v="2"/>
    <s v="ok"/>
    <n v="258.50700000000001"/>
  </r>
  <r>
    <s v="T100832"/>
    <s v="2026-01-26"/>
    <s v="C3507"/>
    <s v="Peter"/>
    <s v="Peter"/>
    <s v="Female"/>
    <n v="130"/>
    <s v="Invalid"/>
    <s v="lagos"/>
    <x v="0"/>
    <s v="Home"/>
    <s v="Home"/>
    <s v="Chair"/>
    <s v="Chair"/>
    <n v="189.29"/>
    <n v="-2"/>
    <n v="1"/>
    <n v="10"/>
    <s v="Valid"/>
    <m/>
    <s v=""/>
    <s v="Ada"/>
    <x v="2"/>
    <x v="1"/>
    <n v="5"/>
    <s v="ok"/>
    <n v="170.36099999999999"/>
  </r>
  <r>
    <s v="T100833"/>
    <s v="09/12/2025"/>
    <s v="C4689"/>
    <s v="Grace"/>
    <s v="Grace"/>
    <s v="Male"/>
    <n v="48"/>
    <s v="Valid"/>
    <s v="Kano"/>
    <x v="4"/>
    <s v="Electronics"/>
    <s v="Electronics"/>
    <s v="Phone"/>
    <s v="Phone"/>
    <n v="367.15"/>
    <n v="2"/>
    <n v="2"/>
    <n v="120"/>
    <s v="invalid"/>
    <s v="Mobile Money"/>
    <s v="Mobile Money"/>
    <s v="Chi"/>
    <x v="1"/>
    <x v="2"/>
    <n v="4"/>
    <s v="ok"/>
    <n v="-146.85999999999996"/>
  </r>
  <r>
    <s v="T100834"/>
    <s v="2025-10-17"/>
    <s v="C3950"/>
    <s v="David"/>
    <s v="David"/>
    <s v="Female"/>
    <n v="130"/>
    <s v="Invalid"/>
    <s v="Abuja"/>
    <x v="3"/>
    <s v="Home"/>
    <s v="Home"/>
    <s v="Chair"/>
    <s v="Chair"/>
    <n v="109.53"/>
    <n v="-2"/>
    <n v="1"/>
    <n v="120"/>
    <s v="invalid"/>
    <s v="Mobile Money"/>
    <s v="Mobile Money"/>
    <s v="Ben"/>
    <x v="3"/>
    <x v="3"/>
    <n v="4"/>
    <s v="ok"/>
    <n v="-21.905999999999995"/>
  </r>
  <r>
    <s v="T100835"/>
    <s v="2026-03-05"/>
    <s v="C1014"/>
    <s v="David"/>
    <s v="David"/>
    <s v="Male"/>
    <n v="28"/>
    <s v="Valid"/>
    <s v="lagos"/>
    <x v="0"/>
    <s v="Fashion"/>
    <s v="Fashion"/>
    <s v="Shirt"/>
    <s v="Shirt"/>
    <n v="76"/>
    <n v="-2"/>
    <n v="1"/>
    <n v="15"/>
    <s v="Valid"/>
    <s v="Mobile Money"/>
    <s v="Mobile Money"/>
    <s v="Chi"/>
    <x v="1"/>
    <x v="1"/>
    <n v="2"/>
    <s v="ok"/>
    <n v="64.599999999999994"/>
  </r>
  <r>
    <s v="T100836"/>
    <s v="2025-04-10"/>
    <s v="C9026"/>
    <s v="David"/>
    <s v="David"/>
    <s v="Male"/>
    <n v="60"/>
    <s v="Valid"/>
    <s v="Abuja"/>
    <x v="3"/>
    <s v="Sports"/>
    <s v="Sports"/>
    <s v="Ball"/>
    <s v="Ball"/>
    <n v="100.02"/>
    <n v="-2"/>
    <n v="1"/>
    <n v="120"/>
    <s v="invalid"/>
    <s v="Mobile Money"/>
    <s v="Mobile Money"/>
    <s v="Dan"/>
    <x v="0"/>
    <x v="1"/>
    <n v="5"/>
    <s v="ok"/>
    <n v="-20.003999999999994"/>
  </r>
  <r>
    <s v="T100837"/>
    <s v="2026-05-09"/>
    <s v="C3170"/>
    <m/>
    <s v=""/>
    <s v="Female"/>
    <n v="130"/>
    <s v="Invalid"/>
    <s v="Kano"/>
    <x v="4"/>
    <s v="Beauty"/>
    <s v="Beauty"/>
    <s v="Cream"/>
    <s v="Cream"/>
    <n v="44.07"/>
    <n v="-2"/>
    <n v="1"/>
    <n v="5"/>
    <s v="Valid"/>
    <s v="POS"/>
    <s v="Pos"/>
    <s v="Chi"/>
    <x v="1"/>
    <x v="1"/>
    <m/>
    <s v="Missing"/>
    <n v="41.866499999999995"/>
  </r>
  <r>
    <s v="T100838"/>
    <s v="2025-02-07"/>
    <s v="C3899"/>
    <s v="David"/>
    <s v="David"/>
    <s v="Female"/>
    <n v="130"/>
    <s v="Invalid"/>
    <s v="lagos"/>
    <x v="0"/>
    <s v="Fashion"/>
    <s v="Fashion"/>
    <s v="Shirt"/>
    <s v="Shirt"/>
    <n v="203.4"/>
    <n v="-2"/>
    <n v="1"/>
    <n v="15"/>
    <s v="Valid"/>
    <s v="Cash"/>
    <s v="Cash"/>
    <s v="Ben"/>
    <x v="3"/>
    <x v="1"/>
    <n v="5"/>
    <s v="ok"/>
    <n v="172.89"/>
  </r>
  <r>
    <s v="T100839"/>
    <s v="2025-02-22"/>
    <s v="C9080"/>
    <s v="Mary"/>
    <s v="Mary"/>
    <s v="Female"/>
    <n v="8"/>
    <s v="Invalid"/>
    <s v="Kano"/>
    <x v="4"/>
    <s v="Home"/>
    <s v="Home"/>
    <s v="Chair"/>
    <s v="Chair"/>
    <n v="424.75"/>
    <n v="7"/>
    <n v="7"/>
    <n v="5"/>
    <s v="Valid"/>
    <s v="Mobile Money"/>
    <s v="Mobile Money"/>
    <s v="Chi"/>
    <x v="1"/>
    <x v="1"/>
    <n v="1"/>
    <s v="ok"/>
    <n v="2824.5875000000001"/>
  </r>
  <r>
    <s v="T100840"/>
    <s v="05/06/2025"/>
    <s v="C5505"/>
    <s v="John"/>
    <s v="John"/>
    <s v="Female"/>
    <n v="50"/>
    <s v="Valid"/>
    <s v="lagos"/>
    <x v="0"/>
    <s v="Beauty"/>
    <s v="Beauty"/>
    <s v="Cream"/>
    <s v="Cream"/>
    <n v="428.7"/>
    <n v="9"/>
    <n v="9"/>
    <n v="15"/>
    <s v="Valid"/>
    <s v="Transfer"/>
    <s v="Transfer"/>
    <s v="Ada"/>
    <x v="2"/>
    <x v="0"/>
    <n v="2"/>
    <s v="ok"/>
    <n v="3279.5549999999998"/>
  </r>
  <r>
    <s v="T100841"/>
    <s v="2025-08-12"/>
    <s v="C3316"/>
    <s v="David"/>
    <s v="David"/>
    <s v="Male"/>
    <n v="8"/>
    <s v="Invalid"/>
    <s v="Enugu"/>
    <x v="2"/>
    <s v="Sports"/>
    <s v="Sports"/>
    <s v="Ball"/>
    <s v="Ball"/>
    <n v="332.76"/>
    <n v="-2"/>
    <n v="1"/>
    <n v="120"/>
    <s v="invalid"/>
    <m/>
    <s v=""/>
    <s v="Ben"/>
    <x v="3"/>
    <x v="0"/>
    <n v="3"/>
    <s v="ok"/>
    <n v="-66.551999999999978"/>
  </r>
  <r>
    <s v="T100842"/>
    <s v="2026-04-03"/>
    <s v="C1276"/>
    <s v="Peter"/>
    <s v="Peter"/>
    <s v="Male"/>
    <n v="8"/>
    <s v="Invalid"/>
    <s v="Enugu"/>
    <x v="2"/>
    <s v="Groceries"/>
    <s v="Groceries"/>
    <s v="Rice"/>
    <s v="Rice"/>
    <n v="63.46"/>
    <n v="-2"/>
    <n v="1"/>
    <n v="-10"/>
    <s v="invalid"/>
    <s v="POS"/>
    <s v="Pos"/>
    <s v="Dan"/>
    <x v="0"/>
    <x v="1"/>
    <m/>
    <s v="ok"/>
    <n v="69.806000000000012"/>
  </r>
  <r>
    <s v="T100843"/>
    <s v="2025-09-14"/>
    <s v="C8529"/>
    <s v="Peter"/>
    <s v="Peter"/>
    <s v="Male"/>
    <n v="130"/>
    <s v="Invalid"/>
    <s v="lagos"/>
    <x v="0"/>
    <s v="Electronics"/>
    <s v="Electronics"/>
    <s v="Phone"/>
    <s v="Phone"/>
    <n v="476.39"/>
    <n v="2"/>
    <n v="2"/>
    <n v="-10"/>
    <s v="invalid"/>
    <m/>
    <s v=""/>
    <s v="Ada"/>
    <x v="2"/>
    <x v="2"/>
    <n v="4"/>
    <s v="ok"/>
    <n v="1048.058"/>
  </r>
  <r>
    <s v="T100844"/>
    <s v="2026-04-13"/>
    <s v="C1691"/>
    <m/>
    <s v=""/>
    <s v="Female"/>
    <n v="33"/>
    <s v="Valid"/>
    <s v="Abuja"/>
    <x v="3"/>
    <s v="Groceries"/>
    <s v="Groceries"/>
    <s v="Rice"/>
    <s v="Rice"/>
    <n v="343"/>
    <n v="-2"/>
    <n v="1"/>
    <n v="120"/>
    <s v="invalid"/>
    <s v="Mobile Money"/>
    <s v="Mobile Money"/>
    <s v="Ada"/>
    <x v="2"/>
    <x v="0"/>
    <n v="1"/>
    <s v="Missing"/>
    <n v="-68.59999999999998"/>
  </r>
  <r>
    <s v="T100845"/>
    <s v="2025-11-15"/>
    <s v="C6137"/>
    <s v="John"/>
    <s v="John"/>
    <s v="Female"/>
    <n v="130"/>
    <s v="Invalid"/>
    <s v="lagos"/>
    <x v="0"/>
    <s v="Home"/>
    <s v="Home"/>
    <s v="Chair"/>
    <s v="Chair"/>
    <n v="31.5"/>
    <n v="-2"/>
    <n v="1"/>
    <n v="120"/>
    <s v="invalid"/>
    <s v="POS"/>
    <s v="Pos"/>
    <s v="Chi"/>
    <x v="1"/>
    <x v="1"/>
    <n v="5"/>
    <s v="ok"/>
    <n v="-6.2999999999999989"/>
  </r>
  <r>
    <s v="T100846"/>
    <s v="2026-04-13"/>
    <s v="C3079"/>
    <s v="John"/>
    <s v="John"/>
    <s v="Male"/>
    <n v="8"/>
    <s v="Invalid"/>
    <s v="PH"/>
    <x v="1"/>
    <s v="Fashion"/>
    <s v="Fashion"/>
    <s v="Shirt"/>
    <s v="Shirt"/>
    <n v="189.5"/>
    <n v="-2"/>
    <n v="1"/>
    <n v="0"/>
    <s v="Valid"/>
    <m/>
    <s v=""/>
    <s v="Dan"/>
    <x v="0"/>
    <x v="3"/>
    <n v="4"/>
    <s v="ok"/>
    <n v="189.5"/>
  </r>
  <r>
    <s v="T100847"/>
    <s v="03/08/2025"/>
    <s v="C1442"/>
    <m/>
    <s v=""/>
    <s v="Male"/>
    <n v="50"/>
    <s v="Valid"/>
    <s v="PH"/>
    <x v="1"/>
    <s v="Home"/>
    <s v="Home"/>
    <s v="Chair"/>
    <s v="Chair"/>
    <n v="170.7"/>
    <n v="-2"/>
    <n v="1"/>
    <n v="-10"/>
    <s v="invalid"/>
    <s v="Transfer"/>
    <s v="Transfer"/>
    <s v="Ada"/>
    <x v="2"/>
    <x v="0"/>
    <n v="1"/>
    <s v="Missing"/>
    <n v="187.77"/>
  </r>
  <r>
    <s v="T100848"/>
    <s v="2025-06-04"/>
    <s v="C8712"/>
    <s v="Mary"/>
    <s v="Mary"/>
    <s v="Male"/>
    <n v="130"/>
    <s v="Invalid"/>
    <s v="Enugu"/>
    <x v="2"/>
    <s v="Fashion"/>
    <s v="Fashion"/>
    <s v="Shirt"/>
    <s v="Shirt"/>
    <n v="66.75"/>
    <n v="-2"/>
    <n v="1"/>
    <n v="-10"/>
    <s v="invalid"/>
    <s v="Cash"/>
    <s v="Cash"/>
    <s v="Ada"/>
    <x v="2"/>
    <x v="0"/>
    <m/>
    <s v="ok"/>
    <n v="73.425000000000011"/>
  </r>
  <r>
    <s v="T100849"/>
    <s v="2025-02-26"/>
    <s v="C2839"/>
    <s v="Peter"/>
    <s v="Peter"/>
    <s v="Female"/>
    <n v="26"/>
    <s v="Valid"/>
    <s v="lagos"/>
    <x v="0"/>
    <s v="Groceries"/>
    <s v="Groceries"/>
    <s v="Rice"/>
    <s v="Rice"/>
    <n v="304.24"/>
    <n v="1"/>
    <n v="1"/>
    <n v="5"/>
    <s v="Valid"/>
    <s v="Transfer"/>
    <s v="Transfer"/>
    <s v="Ada"/>
    <x v="2"/>
    <x v="3"/>
    <n v="1"/>
    <s v="ok"/>
    <n v="289.02800000000002"/>
  </r>
  <r>
    <s v="T100850"/>
    <s v="2026-05-16"/>
    <s v="C4443"/>
    <m/>
    <s v=""/>
    <s v="Male"/>
    <n v="30"/>
    <s v="Valid"/>
    <s v="Abuja"/>
    <x v="3"/>
    <s v="Sports"/>
    <s v="Sports"/>
    <s v="Ball"/>
    <s v="Ball"/>
    <n v="377.56"/>
    <n v="10"/>
    <n v="10"/>
    <n v="5"/>
    <s v="Valid"/>
    <m/>
    <s v=""/>
    <s v="Ada"/>
    <x v="2"/>
    <x v="0"/>
    <n v="5"/>
    <s v="Missing"/>
    <n v="3586.8199999999997"/>
  </r>
  <r>
    <s v="T100851"/>
    <s v="2026-04-26"/>
    <s v="C3550"/>
    <s v="David"/>
    <s v="David"/>
    <s v="Male"/>
    <n v="130"/>
    <s v="Invalid"/>
    <s v="PH"/>
    <x v="1"/>
    <s v="Sports"/>
    <s v="Sports"/>
    <s v="Ball"/>
    <s v="Ball"/>
    <n v="69.62"/>
    <n v="9"/>
    <n v="9"/>
    <n v="-10"/>
    <s v="invalid"/>
    <m/>
    <s v=""/>
    <s v="Dan"/>
    <x v="0"/>
    <x v="0"/>
    <n v="5"/>
    <s v="ok"/>
    <n v="689.23800000000006"/>
  </r>
  <r>
    <s v="T100852"/>
    <s v="2026-03-23"/>
    <s v="C3494"/>
    <s v="David"/>
    <s v="David"/>
    <s v="Male"/>
    <n v="130"/>
    <s v="Invalid"/>
    <s v="Kano"/>
    <x v="4"/>
    <s v="groceris"/>
    <s v="Groceris"/>
    <s v="Rice"/>
    <s v="Rice"/>
    <n v="269.74"/>
    <n v="3"/>
    <n v="3"/>
    <n v="0"/>
    <s v="Valid"/>
    <s v="Cash"/>
    <s v="Cash"/>
    <s v="Ben"/>
    <x v="3"/>
    <x v="1"/>
    <n v="4"/>
    <s v="ok"/>
    <n v="809.22"/>
  </r>
  <r>
    <s v="T100853"/>
    <s v="2025-08-29"/>
    <s v="C2631"/>
    <s v="Aisha"/>
    <s v="Aisha"/>
    <s v="Female"/>
    <n v="38"/>
    <s v="Valid"/>
    <s v="lagos"/>
    <x v="0"/>
    <s v="Home"/>
    <s v="Home"/>
    <s v="Chair"/>
    <s v="Chair"/>
    <n v="42.19"/>
    <n v="-2"/>
    <n v="1"/>
    <n v="-10"/>
    <s v="invalid"/>
    <s v="POS"/>
    <s v="Pos"/>
    <s v="Ada"/>
    <x v="2"/>
    <x v="1"/>
    <n v="5"/>
    <s v="ok"/>
    <n v="46.408999999999999"/>
  </r>
  <r>
    <s v="T100854"/>
    <s v="16/12/2025"/>
    <s v="C5621"/>
    <s v="David"/>
    <s v="David"/>
    <s v="Male"/>
    <n v="25"/>
    <s v="Valid"/>
    <s v="lagos"/>
    <x v="0"/>
    <s v="Beauty"/>
    <s v="Beauty"/>
    <s v="Cream"/>
    <s v="Cream"/>
    <n v="127.21"/>
    <n v="3"/>
    <n v="3"/>
    <n v="10"/>
    <s v="Valid"/>
    <s v="POS"/>
    <s v="Pos"/>
    <s v="Ben"/>
    <x v="3"/>
    <x v="0"/>
    <n v="3"/>
    <s v="ok"/>
    <n v="343.46699999999998"/>
  </r>
  <r>
    <s v="T100855"/>
    <s v="2026-02-12"/>
    <s v="C1531"/>
    <s v="Aisha"/>
    <s v="Aisha"/>
    <s v="Male"/>
    <n v="130"/>
    <s v="Invalid"/>
    <s v="Enugu"/>
    <x v="2"/>
    <s v="groceris"/>
    <s v="Groceris"/>
    <s v="Rice"/>
    <s v="Rice"/>
    <n v="411.38"/>
    <n v="7"/>
    <n v="7"/>
    <n v="0"/>
    <s v="Valid"/>
    <s v="Transfer"/>
    <s v="Transfer"/>
    <s v="Ada"/>
    <x v="2"/>
    <x v="0"/>
    <n v="1"/>
    <s v="ok"/>
    <n v="2879.66"/>
  </r>
  <r>
    <s v="T100856"/>
    <s v="2025-06-14"/>
    <s v="C9798"/>
    <s v="Aisha"/>
    <s v="Aisha"/>
    <s v="Female"/>
    <n v="62"/>
    <s v="Valid"/>
    <s v="Abuja"/>
    <x v="3"/>
    <s v="Electronics"/>
    <s v="Electronics"/>
    <s v="Phone"/>
    <s v="Phone"/>
    <n v="424.93"/>
    <n v="-2"/>
    <n v="1"/>
    <n v="5"/>
    <s v="Valid"/>
    <s v="Mobile Money"/>
    <s v="Mobile Money"/>
    <s v="Dan"/>
    <x v="0"/>
    <x v="2"/>
    <n v="4"/>
    <s v="ok"/>
    <n v="403.68349999999998"/>
  </r>
  <r>
    <s v="T100857"/>
    <s v="2025-04-09"/>
    <s v="C1190"/>
    <s v="John"/>
    <s v="John"/>
    <s v="Female"/>
    <n v="130"/>
    <s v="Invalid"/>
    <s v="PH"/>
    <x v="1"/>
    <s v="Groceries"/>
    <s v="Groceries"/>
    <s v="Rice"/>
    <s v="Rice"/>
    <n v="447.25"/>
    <n v="3"/>
    <n v="3"/>
    <n v="10"/>
    <s v="Valid"/>
    <m/>
    <s v=""/>
    <s v="Chi"/>
    <x v="1"/>
    <x v="2"/>
    <n v="3"/>
    <s v="ok"/>
    <n v="1207.575"/>
  </r>
  <r>
    <s v="T100858"/>
    <s v="2025-10-18"/>
    <s v="C7411"/>
    <m/>
    <s v=""/>
    <s v="Male"/>
    <n v="28"/>
    <s v="Valid"/>
    <s v="Abuja"/>
    <x v="3"/>
    <s v="Groceries"/>
    <s v="Groceries"/>
    <s v="Rice"/>
    <s v="Rice"/>
    <n v="57.92"/>
    <n v="-2"/>
    <n v="1"/>
    <n v="10"/>
    <s v="Valid"/>
    <s v="Cash"/>
    <s v="Cash"/>
    <s v="Dan"/>
    <x v="0"/>
    <x v="0"/>
    <n v="5"/>
    <s v="Missing"/>
    <n v="52.128"/>
  </r>
  <r>
    <s v="T100859"/>
    <s v="2026-05-14"/>
    <s v="C4693"/>
    <s v="Mary"/>
    <s v="Mary"/>
    <s v="Female"/>
    <n v="130"/>
    <s v="Invalid"/>
    <s v="lagos"/>
    <x v="0"/>
    <s v="Fashion"/>
    <s v="Fashion"/>
    <s v="Shirt"/>
    <s v="Shirt"/>
    <n v="59.03"/>
    <n v="-2"/>
    <n v="1"/>
    <n v="15"/>
    <s v="Valid"/>
    <m/>
    <s v=""/>
    <s v="Dan"/>
    <x v="0"/>
    <x v="0"/>
    <m/>
    <s v="ok"/>
    <n v="50.1755"/>
  </r>
  <r>
    <s v="T100860"/>
    <s v="2026-03-04"/>
    <s v="C3853"/>
    <m/>
    <s v=""/>
    <s v="Female"/>
    <n v="130"/>
    <s v="Invalid"/>
    <s v="lagos"/>
    <x v="0"/>
    <s v="Home"/>
    <s v="Home"/>
    <s v="Chair"/>
    <s v="Chair"/>
    <n v="401.74"/>
    <n v="5"/>
    <n v="5"/>
    <n v="15"/>
    <s v="Valid"/>
    <s v="Mobile Money"/>
    <s v="Mobile Money"/>
    <s v="Chi"/>
    <x v="1"/>
    <x v="0"/>
    <n v="2"/>
    <s v="Missing"/>
    <n v="1707.395"/>
  </r>
  <r>
    <s v="T100861"/>
    <s v="11/04/2026"/>
    <s v="C5996"/>
    <m/>
    <s v=""/>
    <s v="Female"/>
    <n v="30"/>
    <s v="Valid"/>
    <s v="lagos"/>
    <x v="0"/>
    <s v="Beauty"/>
    <s v="Beauty"/>
    <s v="Cream"/>
    <s v="Cream"/>
    <n v="16.670000000000002"/>
    <n v="-2"/>
    <n v="1"/>
    <n v="0"/>
    <s v="Valid"/>
    <s v="POS"/>
    <s v="Pos"/>
    <s v="Ben"/>
    <x v="3"/>
    <x v="1"/>
    <n v="4"/>
    <s v="Missing"/>
    <n v="16.670000000000002"/>
  </r>
  <r>
    <s v="T100862"/>
    <s v="2025-07-22"/>
    <s v="C2368"/>
    <s v="  James "/>
    <s v="James"/>
    <s v="Male"/>
    <n v="130"/>
    <s v="Invalid"/>
    <s v="lagos"/>
    <x v="0"/>
    <s v="groceris"/>
    <s v="Groceris"/>
    <s v="Rice"/>
    <s v="Rice"/>
    <n v="79.41"/>
    <n v="-2"/>
    <n v="1"/>
    <n v="0"/>
    <s v="Valid"/>
    <m/>
    <s v=""/>
    <s v="Dan"/>
    <x v="0"/>
    <x v="0"/>
    <n v="3"/>
    <s v="ok"/>
    <n v="79.41"/>
  </r>
  <r>
    <s v="T100863"/>
    <s v="2026-02-17"/>
    <s v="C5018"/>
    <s v="Aisha"/>
    <s v="Aisha"/>
    <s v="Male"/>
    <n v="54"/>
    <s v="Valid"/>
    <s v="lagos"/>
    <x v="0"/>
    <s v="Beauty"/>
    <s v="Beauty"/>
    <s v="Cream"/>
    <s v="Cream"/>
    <n v="62.78"/>
    <n v="5"/>
    <n v="5"/>
    <n v="0"/>
    <s v="Valid"/>
    <s v="POS"/>
    <s v="Pos"/>
    <s v="Dan"/>
    <x v="0"/>
    <x v="1"/>
    <n v="1"/>
    <s v="ok"/>
    <n v="313.89999999999998"/>
  </r>
  <r>
    <s v="T100864"/>
    <s v="2025-04-06"/>
    <s v="C6752"/>
    <m/>
    <s v=""/>
    <s v="Male"/>
    <n v="130"/>
    <s v="Invalid"/>
    <s v="lagos"/>
    <x v="0"/>
    <s v="Fashion"/>
    <s v="Fashion"/>
    <s v="Shirt"/>
    <s v="Shirt"/>
    <n v="211.31"/>
    <n v="1"/>
    <n v="1"/>
    <n v="0"/>
    <s v="Valid"/>
    <s v="Mobile Money"/>
    <s v="Mobile Money"/>
    <s v="Chi"/>
    <x v="1"/>
    <x v="2"/>
    <n v="2"/>
    <s v="Missing"/>
    <n v="211.31"/>
  </r>
  <r>
    <s v="T100865"/>
    <s v="2025-06-29"/>
    <s v="C9780"/>
    <m/>
    <s v=""/>
    <s v="Male"/>
    <n v="130"/>
    <s v="Invalid"/>
    <s v="lagos"/>
    <x v="0"/>
    <s v="Home"/>
    <s v="Home"/>
    <s v="Chair"/>
    <s v="Chair"/>
    <n v="228.92"/>
    <n v="7"/>
    <n v="7"/>
    <n v="120"/>
    <s v="invalid"/>
    <m/>
    <s v=""/>
    <s v="Ben"/>
    <x v="3"/>
    <x v="2"/>
    <n v="1"/>
    <s v="Missing"/>
    <n v="-320.48799999999989"/>
  </r>
  <r>
    <s v="T100866"/>
    <s v="2025-08-10"/>
    <s v="C3516"/>
    <s v="Aisha"/>
    <s v="Aisha"/>
    <s v="Female"/>
    <n v="130"/>
    <s v="Invalid"/>
    <s v="Kano"/>
    <x v="4"/>
    <s v="Beauty"/>
    <s v="Beauty"/>
    <s v="Cream"/>
    <s v="Cream"/>
    <n v="192.21"/>
    <n v="-2"/>
    <n v="1"/>
    <n v="0"/>
    <s v="Valid"/>
    <s v="Cash"/>
    <s v="Cash"/>
    <s v="Dan"/>
    <x v="0"/>
    <x v="2"/>
    <n v="2"/>
    <s v="ok"/>
    <n v="192.21"/>
  </r>
  <r>
    <s v="T100867"/>
    <s v="2025-05-26"/>
    <s v="C3910"/>
    <m/>
    <s v=""/>
    <s v="Female"/>
    <n v="130"/>
    <s v="Invalid"/>
    <s v="Enugu"/>
    <x v="2"/>
    <s v="Home"/>
    <s v="Home"/>
    <s v="Chair"/>
    <s v="Chair"/>
    <n v="205.82"/>
    <n v="6"/>
    <n v="6"/>
    <n v="-10"/>
    <s v="invalid"/>
    <s v="Cash"/>
    <s v="Cash"/>
    <s v="Dan"/>
    <x v="0"/>
    <x v="2"/>
    <n v="5"/>
    <s v="Missing"/>
    <n v="1358.4120000000003"/>
  </r>
  <r>
    <s v="T100868"/>
    <s v="11/05/2026"/>
    <s v="C4449"/>
    <s v="  James "/>
    <s v="James"/>
    <s v="Female"/>
    <n v="130"/>
    <s v="Invalid"/>
    <s v="PH"/>
    <x v="1"/>
    <s v="Home"/>
    <s v="Home"/>
    <s v="Chair"/>
    <s v="Chair"/>
    <n v="356.91"/>
    <n v="-2"/>
    <n v="1"/>
    <n v="120"/>
    <s v="invalid"/>
    <s v="Mobile Money"/>
    <s v="Mobile Money"/>
    <s v="Chi"/>
    <x v="1"/>
    <x v="3"/>
    <n v="5"/>
    <s v="ok"/>
    <n v="-71.381999999999991"/>
  </r>
  <r>
    <s v="T100869"/>
    <s v="2025-06-30"/>
    <s v="C5041"/>
    <s v="Mary"/>
    <s v="Mary"/>
    <s v="Female"/>
    <n v="130"/>
    <s v="Invalid"/>
    <s v="PH"/>
    <x v="1"/>
    <s v="Home"/>
    <s v="Home"/>
    <s v="Chair"/>
    <s v="Chair"/>
    <n v="376.38"/>
    <n v="-2"/>
    <n v="1"/>
    <n v="120"/>
    <s v="invalid"/>
    <s v="Transfer"/>
    <s v="Transfer"/>
    <s v="Dan"/>
    <x v="0"/>
    <x v="1"/>
    <n v="2"/>
    <s v="ok"/>
    <n v="-75.275999999999982"/>
  </r>
  <r>
    <s v="T100870"/>
    <s v="2026-03-09"/>
    <s v="C5663"/>
    <s v="  James "/>
    <s v="James"/>
    <s v="Male"/>
    <n v="130"/>
    <s v="Invalid"/>
    <s v="lagos"/>
    <x v="0"/>
    <s v="Fashion"/>
    <s v="Fashion"/>
    <s v="Shirt"/>
    <s v="Shirt"/>
    <n v="197.76"/>
    <n v="10"/>
    <n v="10"/>
    <n v="10"/>
    <s v="Valid"/>
    <m/>
    <s v=""/>
    <s v="Ben"/>
    <x v="3"/>
    <x v="2"/>
    <n v="2"/>
    <s v="ok"/>
    <n v="1779.84"/>
  </r>
  <r>
    <s v="T100871"/>
    <s v="2025-02-20"/>
    <s v="C4934"/>
    <s v="Grace"/>
    <s v="Grace"/>
    <s v="Female"/>
    <n v="8"/>
    <s v="Invalid"/>
    <s v="lagos"/>
    <x v="0"/>
    <s v="Sports"/>
    <s v="Sports"/>
    <s v="Ball"/>
    <s v="Ball"/>
    <n v="135.55000000000001"/>
    <n v="7"/>
    <n v="7"/>
    <n v="0"/>
    <s v="Valid"/>
    <s v="Transfer"/>
    <s v="Transfer"/>
    <s v="Ben"/>
    <x v="3"/>
    <x v="1"/>
    <m/>
    <s v="ok"/>
    <n v="948.85000000000014"/>
  </r>
  <r>
    <s v="T100872"/>
    <s v="2025-05-26"/>
    <s v="C5130"/>
    <s v="Aisha"/>
    <s v="Aisha"/>
    <s v="Male"/>
    <n v="8"/>
    <s v="Invalid"/>
    <s v="lagos"/>
    <x v="0"/>
    <s v="Sports"/>
    <s v="Sports"/>
    <s v="Ball"/>
    <s v="Ball"/>
    <n v="389.27"/>
    <n v="9"/>
    <n v="9"/>
    <n v="15"/>
    <s v="Valid"/>
    <s v="Cash"/>
    <s v="Cash"/>
    <s v="Dan"/>
    <x v="0"/>
    <x v="3"/>
    <n v="4"/>
    <s v="ok"/>
    <n v="2977.9154999999996"/>
  </r>
  <r>
    <s v="T100873"/>
    <s v="2026-05-09"/>
    <s v="C2970"/>
    <s v="  James "/>
    <s v="James"/>
    <s v="Male"/>
    <n v="130"/>
    <s v="Invalid"/>
    <s v="Kano"/>
    <x v="4"/>
    <s v="Fashion"/>
    <s v="Fashion"/>
    <s v="Shirt"/>
    <s v="Shirt"/>
    <n v="280.8"/>
    <n v="-2"/>
    <n v="1"/>
    <n v="0"/>
    <s v="Valid"/>
    <s v="POS"/>
    <s v="Pos"/>
    <s v="Dan"/>
    <x v="0"/>
    <x v="1"/>
    <n v="2"/>
    <s v="ok"/>
    <n v="280.8"/>
  </r>
  <r>
    <s v="T100874"/>
    <s v="2025-03-06"/>
    <s v="C5984"/>
    <s v="Aisha"/>
    <s v="Aisha"/>
    <s v="Male"/>
    <n v="32"/>
    <s v="Valid"/>
    <s v="Enugu"/>
    <x v="2"/>
    <s v="groceris"/>
    <s v="Groceris"/>
    <s v="Rice"/>
    <s v="Rice"/>
    <n v="61.6"/>
    <n v="2"/>
    <n v="2"/>
    <n v="0"/>
    <s v="Valid"/>
    <m/>
    <s v=""/>
    <s v="Dan"/>
    <x v="0"/>
    <x v="3"/>
    <m/>
    <s v="ok"/>
    <n v="123.2"/>
  </r>
  <r>
    <s v="T100875"/>
    <s v="24/06/2025"/>
    <s v="C7854"/>
    <s v="Peter"/>
    <s v="Peter"/>
    <s v="Male"/>
    <n v="130"/>
    <s v="Invalid"/>
    <s v="Kano"/>
    <x v="4"/>
    <s v="groceris"/>
    <s v="Groceris"/>
    <s v="Rice"/>
    <s v="Rice"/>
    <n v="56.72"/>
    <n v="6"/>
    <n v="6"/>
    <n v="0"/>
    <s v="Valid"/>
    <s v="POS"/>
    <s v="Pos"/>
    <s v="Ben"/>
    <x v="3"/>
    <x v="1"/>
    <n v="2"/>
    <s v="ok"/>
    <n v="340.32"/>
  </r>
  <r>
    <s v="T100876"/>
    <s v="2025-06-01"/>
    <s v="C8659"/>
    <s v="Peter"/>
    <s v="Peter"/>
    <s v="Male"/>
    <n v="130"/>
    <s v="Invalid"/>
    <s v="lagos"/>
    <x v="0"/>
    <s v="groceris"/>
    <s v="Groceris"/>
    <s v="Rice"/>
    <s v="Rice"/>
    <n v="470.9"/>
    <n v="4"/>
    <n v="4"/>
    <n v="10"/>
    <s v="Valid"/>
    <s v="POS"/>
    <s v="Pos"/>
    <s v="Dan"/>
    <x v="0"/>
    <x v="0"/>
    <n v="4"/>
    <s v="ok"/>
    <n v="1695.24"/>
  </r>
  <r>
    <s v="T100877"/>
    <s v="2025-04-19"/>
    <s v="C2877"/>
    <s v="  James "/>
    <s v="James"/>
    <s v="Female"/>
    <n v="35"/>
    <s v="Valid"/>
    <s v="lagos"/>
    <x v="0"/>
    <s v="Electronics"/>
    <s v="Electronics"/>
    <s v="Phone"/>
    <s v="Phone"/>
    <n v="131.69999999999999"/>
    <n v="6"/>
    <n v="6"/>
    <n v="10"/>
    <s v="Valid"/>
    <s v="POS"/>
    <s v="Pos"/>
    <s v="Dan"/>
    <x v="0"/>
    <x v="1"/>
    <n v="3"/>
    <s v="ok"/>
    <n v="711.18"/>
  </r>
  <r>
    <s v="T100878"/>
    <s v="2025-11-22"/>
    <s v="C5432"/>
    <s v="  James "/>
    <s v="James"/>
    <s v="Male"/>
    <n v="8"/>
    <s v="Invalid"/>
    <s v="Enugu"/>
    <x v="2"/>
    <s v="Fashion"/>
    <s v="Fashion"/>
    <s v="Shirt"/>
    <s v="Shirt"/>
    <n v="201.11"/>
    <n v="-2"/>
    <n v="1"/>
    <n v="-10"/>
    <s v="invalid"/>
    <s v="Mobile Money"/>
    <s v="Mobile Money"/>
    <s v="Chi"/>
    <x v="1"/>
    <x v="0"/>
    <n v="5"/>
    <s v="ok"/>
    <n v="221.22100000000003"/>
  </r>
  <r>
    <s v="T100879"/>
    <s v="2025-01-19"/>
    <s v="C9446"/>
    <s v="John"/>
    <s v="John"/>
    <s v="Male"/>
    <n v="8"/>
    <s v="Invalid"/>
    <s v="lagos"/>
    <x v="0"/>
    <s v="Sports"/>
    <s v="Sports"/>
    <s v="Ball"/>
    <s v="Ball"/>
    <n v="449.63"/>
    <n v="-2"/>
    <n v="1"/>
    <n v="0"/>
    <s v="Valid"/>
    <m/>
    <s v=""/>
    <s v="Chi"/>
    <x v="1"/>
    <x v="0"/>
    <n v="5"/>
    <s v="ok"/>
    <n v="449.63"/>
  </r>
  <r>
    <s v="T100880"/>
    <s v="2025-10-27"/>
    <s v="C4906"/>
    <s v="David"/>
    <s v="David"/>
    <s v="Female"/>
    <n v="53"/>
    <s v="Valid"/>
    <s v="lagos"/>
    <x v="0"/>
    <s v="Beauty"/>
    <s v="Beauty"/>
    <s v="Cream"/>
    <s v="Cream"/>
    <n v="211.16"/>
    <n v="-2"/>
    <n v="1"/>
    <n v="120"/>
    <s v="invalid"/>
    <s v="Mobile Money"/>
    <s v="Mobile Money"/>
    <s v="Ada"/>
    <x v="2"/>
    <x v="2"/>
    <n v="3"/>
    <s v="ok"/>
    <n v="-42.231999999999992"/>
  </r>
  <r>
    <s v="T100881"/>
    <s v="2026-02-25"/>
    <s v="C1766"/>
    <s v="John"/>
    <s v="John"/>
    <s v="Male"/>
    <n v="130"/>
    <s v="Invalid"/>
    <s v="PH"/>
    <x v="1"/>
    <s v="Electronics"/>
    <s v="Electronics"/>
    <s v="Phone"/>
    <s v="Phone"/>
    <n v="229.99"/>
    <n v="8"/>
    <n v="8"/>
    <n v="15"/>
    <s v="Valid"/>
    <m/>
    <s v=""/>
    <s v="Chi"/>
    <x v="1"/>
    <x v="1"/>
    <m/>
    <s v="ok"/>
    <n v="1563.932"/>
  </r>
  <r>
    <s v="T100882"/>
    <s v="25/05/2025"/>
    <s v="C3125"/>
    <m/>
    <s v=""/>
    <s v="Female"/>
    <n v="130"/>
    <s v="Invalid"/>
    <s v="lagos"/>
    <x v="0"/>
    <s v="Fashion"/>
    <s v="Fashion"/>
    <s v="Shirt"/>
    <s v="Shirt"/>
    <n v="73.14"/>
    <n v="-2"/>
    <n v="1"/>
    <n v="5"/>
    <s v="Valid"/>
    <s v="POS"/>
    <s v="Pos"/>
    <s v="Ada"/>
    <x v="2"/>
    <x v="3"/>
    <n v="1"/>
    <s v="Missing"/>
    <n v="69.483000000000004"/>
  </r>
  <r>
    <s v="T100883"/>
    <s v="2026-06-21"/>
    <s v="C6225"/>
    <s v="Aisha"/>
    <s v="Aisha"/>
    <s v="Male"/>
    <n v="130"/>
    <s v="Invalid"/>
    <s v="PH"/>
    <x v="1"/>
    <s v="Home"/>
    <s v="Home"/>
    <s v="Chair"/>
    <s v="Chair"/>
    <n v="163.41"/>
    <n v="10"/>
    <n v="10"/>
    <n v="5"/>
    <s v="Valid"/>
    <s v="Cash"/>
    <s v="Cash"/>
    <s v="Ben"/>
    <x v="3"/>
    <x v="0"/>
    <n v="5"/>
    <s v="ok"/>
    <n v="1552.3949999999998"/>
  </r>
  <r>
    <s v="T100884"/>
    <s v="2025-07-28"/>
    <s v="C7467"/>
    <m/>
    <s v=""/>
    <s v="Male"/>
    <n v="8"/>
    <s v="Invalid"/>
    <s v="Kano"/>
    <x v="4"/>
    <s v="Sports"/>
    <s v="Sports"/>
    <s v="Ball"/>
    <s v="Ball"/>
    <n v="488.69"/>
    <n v="-2"/>
    <n v="1"/>
    <n v="120"/>
    <s v="invalid"/>
    <s v="Transfer"/>
    <s v="Transfer"/>
    <s v="Ada"/>
    <x v="2"/>
    <x v="3"/>
    <n v="4"/>
    <s v="Missing"/>
    <n v="-97.737999999999971"/>
  </r>
  <r>
    <s v="T100885"/>
    <s v="2025-06-24"/>
    <s v="C2323"/>
    <s v="  James "/>
    <s v="James"/>
    <s v="Female"/>
    <n v="31"/>
    <s v="Valid"/>
    <s v="Kano"/>
    <x v="4"/>
    <s v="Electronics"/>
    <s v="Electronics"/>
    <s v="Phone"/>
    <s v="Phone"/>
    <n v="484.79"/>
    <n v="-2"/>
    <n v="1"/>
    <n v="15"/>
    <s v="Valid"/>
    <s v="Transfer"/>
    <s v="Transfer"/>
    <s v="Ben"/>
    <x v="3"/>
    <x v="2"/>
    <m/>
    <s v="ok"/>
    <n v="412.07150000000001"/>
  </r>
  <r>
    <s v="T100886"/>
    <s v="2026-03-28"/>
    <s v="C4179"/>
    <s v="Mary"/>
    <s v="Mary"/>
    <s v="Female"/>
    <n v="37"/>
    <s v="Valid"/>
    <s v="Abuja"/>
    <x v="3"/>
    <s v="Beauty"/>
    <s v="Beauty"/>
    <s v="Cream"/>
    <s v="Cream"/>
    <n v="368.49"/>
    <n v="-2"/>
    <n v="1"/>
    <n v="10"/>
    <s v="Valid"/>
    <s v="Transfer"/>
    <s v="Transfer"/>
    <s v="Dan"/>
    <x v="0"/>
    <x v="0"/>
    <n v="5"/>
    <s v="ok"/>
    <n v="331.64100000000002"/>
  </r>
  <r>
    <s v="T100887"/>
    <s v="2025-09-13"/>
    <s v="C7098"/>
    <s v="David"/>
    <s v="David"/>
    <s v="Female"/>
    <n v="48"/>
    <s v="Valid"/>
    <s v="PH"/>
    <x v="1"/>
    <s v="groceris"/>
    <s v="Groceris"/>
    <s v="Rice"/>
    <s v="Rice"/>
    <n v="73.61"/>
    <n v="-2"/>
    <n v="1"/>
    <n v="120"/>
    <s v="invalid"/>
    <m/>
    <s v=""/>
    <s v="Chi"/>
    <x v="1"/>
    <x v="1"/>
    <n v="4"/>
    <s v="ok"/>
    <n v="-14.721999999999996"/>
  </r>
  <r>
    <s v="T100888"/>
    <s v="2025-06-10"/>
    <s v="C5604"/>
    <s v="Mary"/>
    <s v="Mary"/>
    <s v="Male"/>
    <n v="38"/>
    <s v="Valid"/>
    <s v="lagos"/>
    <x v="0"/>
    <s v="Groceries"/>
    <s v="Groceries"/>
    <s v="Rice"/>
    <s v="Rice"/>
    <n v="252.98"/>
    <n v="4"/>
    <n v="4"/>
    <n v="120"/>
    <s v="invalid"/>
    <s v="Transfer"/>
    <s v="Transfer"/>
    <s v="Dan"/>
    <x v="0"/>
    <x v="2"/>
    <n v="4"/>
    <s v="ok"/>
    <n v="-202.38399999999996"/>
  </r>
  <r>
    <s v="T100889"/>
    <s v="07/02/2025"/>
    <s v="C9916"/>
    <s v="Mary"/>
    <s v="Mary"/>
    <s v="Male"/>
    <n v="130"/>
    <s v="Invalid"/>
    <s v="PH"/>
    <x v="1"/>
    <s v="Electronics"/>
    <s v="Electronics"/>
    <s v="Phone"/>
    <s v="Phone"/>
    <n v="412.25"/>
    <n v="7"/>
    <n v="7"/>
    <n v="120"/>
    <s v="invalid"/>
    <s v="POS"/>
    <s v="Pos"/>
    <s v="Ada"/>
    <x v="2"/>
    <x v="2"/>
    <n v="3"/>
    <s v="ok"/>
    <n v="-577.14999999999986"/>
  </r>
  <r>
    <s v="T100890"/>
    <s v="2026-01-05"/>
    <s v="C6351"/>
    <s v="David"/>
    <s v="David"/>
    <s v="Male"/>
    <n v="8"/>
    <s v="Invalid"/>
    <s v="Abuja"/>
    <x v="3"/>
    <s v="Fashion"/>
    <s v="Fashion"/>
    <s v="Shirt"/>
    <s v="Shirt"/>
    <n v="457.38"/>
    <n v="10"/>
    <n v="10"/>
    <n v="5"/>
    <s v="Valid"/>
    <m/>
    <s v=""/>
    <s v="Ada"/>
    <x v="2"/>
    <x v="1"/>
    <n v="4"/>
    <s v="ok"/>
    <n v="4345.1099999999997"/>
  </r>
  <r>
    <s v="T100891"/>
    <s v="2025-04-30"/>
    <s v="C9322"/>
    <m/>
    <s v=""/>
    <s v="Female"/>
    <n v="32"/>
    <s v="Valid"/>
    <s v="Abuja"/>
    <x v="3"/>
    <s v="Beauty"/>
    <s v="Beauty"/>
    <s v="Cream"/>
    <s v="Cream"/>
    <n v="300.76"/>
    <n v="8"/>
    <n v="8"/>
    <n v="-10"/>
    <s v="invalid"/>
    <s v="Cash"/>
    <s v="Cash"/>
    <s v="Ben"/>
    <x v="3"/>
    <x v="1"/>
    <n v="4"/>
    <s v="Missing"/>
    <n v="2646.6880000000001"/>
  </r>
  <r>
    <s v="T100892"/>
    <s v="2025-09-01"/>
    <s v="C3958"/>
    <m/>
    <s v=""/>
    <s v="Male"/>
    <n v="8"/>
    <s v="Invalid"/>
    <s v="lagos"/>
    <x v="0"/>
    <s v="Home"/>
    <s v="Home"/>
    <s v="Chair"/>
    <s v="Chair"/>
    <n v="265.42"/>
    <n v="-2"/>
    <n v="1"/>
    <n v="15"/>
    <s v="Valid"/>
    <s v="Cash"/>
    <s v="Cash"/>
    <s v="Ben"/>
    <x v="3"/>
    <x v="0"/>
    <n v="1"/>
    <s v="Missing"/>
    <n v="225.607"/>
  </r>
  <r>
    <s v="T100893"/>
    <s v="2025-01-08"/>
    <s v="C4300"/>
    <s v="  James "/>
    <s v="James"/>
    <s v="Male"/>
    <n v="130"/>
    <s v="Invalid"/>
    <s v="Enugu"/>
    <x v="2"/>
    <s v="Sports"/>
    <s v="Sports"/>
    <s v="Ball"/>
    <s v="Ball"/>
    <n v="379.14"/>
    <n v="-2"/>
    <n v="1"/>
    <n v="120"/>
    <s v="invalid"/>
    <s v="Mobile Money"/>
    <s v="Mobile Money"/>
    <s v="Dan"/>
    <x v="0"/>
    <x v="3"/>
    <n v="5"/>
    <s v="ok"/>
    <n v="-75.827999999999975"/>
  </r>
  <r>
    <s v="T100894"/>
    <s v="2025-04-11"/>
    <s v="C3582"/>
    <s v="Grace"/>
    <s v="Grace"/>
    <s v="Male"/>
    <n v="21"/>
    <s v="Valid"/>
    <s v="Kano"/>
    <x v="4"/>
    <s v="Groceries"/>
    <s v="Groceries"/>
    <s v="Rice"/>
    <s v="Rice"/>
    <n v="30.87"/>
    <n v="8"/>
    <n v="8"/>
    <n v="10"/>
    <s v="Valid"/>
    <s v="POS"/>
    <s v="Pos"/>
    <s v="Chi"/>
    <x v="1"/>
    <x v="3"/>
    <n v="2"/>
    <s v="ok"/>
    <n v="222.26400000000001"/>
  </r>
  <r>
    <s v="T100895"/>
    <s v="2026-03-01"/>
    <s v="C6989"/>
    <s v="Grace"/>
    <s v="Grace"/>
    <s v="Female"/>
    <n v="63"/>
    <s v="Valid"/>
    <s v="lagos"/>
    <x v="0"/>
    <s v="Sports"/>
    <s v="Sports"/>
    <s v="Ball"/>
    <s v="Ball"/>
    <n v="291.66000000000003"/>
    <n v="4"/>
    <n v="4"/>
    <n v="0"/>
    <s v="Valid"/>
    <s v="Transfer"/>
    <s v="Transfer"/>
    <s v="Chi"/>
    <x v="1"/>
    <x v="2"/>
    <n v="2"/>
    <s v="ok"/>
    <n v="1166.6400000000001"/>
  </r>
  <r>
    <s v="T100896"/>
    <s v="25/05/2025"/>
    <s v="C5937"/>
    <s v="Peter"/>
    <s v="Peter"/>
    <s v="Male"/>
    <n v="130"/>
    <s v="Invalid"/>
    <s v="Enugu"/>
    <x v="2"/>
    <s v="Sports"/>
    <s v="Sports"/>
    <s v="Ball"/>
    <s v="Ball"/>
    <n v="289.5"/>
    <n v="-2"/>
    <n v="1"/>
    <n v="10"/>
    <s v="Valid"/>
    <s v="Transfer"/>
    <s v="Transfer"/>
    <s v="Ada"/>
    <x v="2"/>
    <x v="3"/>
    <n v="3"/>
    <s v="ok"/>
    <n v="260.55"/>
  </r>
  <r>
    <s v="T100897"/>
    <s v="2025-06-25"/>
    <s v="C6970"/>
    <s v="John"/>
    <s v="John"/>
    <s v="Female"/>
    <n v="130"/>
    <s v="Invalid"/>
    <s v="lagos"/>
    <x v="0"/>
    <s v="Groceries"/>
    <s v="Groceries"/>
    <s v="Rice"/>
    <s v="Rice"/>
    <n v="207.67"/>
    <n v="-2"/>
    <n v="1"/>
    <n v="0"/>
    <s v="Valid"/>
    <s v="POS"/>
    <s v="Pos"/>
    <s v="Dan"/>
    <x v="0"/>
    <x v="2"/>
    <n v="3"/>
    <s v="ok"/>
    <n v="207.67"/>
  </r>
  <r>
    <s v="T100898"/>
    <s v="2025-04-21"/>
    <s v="C2756"/>
    <s v="Mary"/>
    <s v="Mary"/>
    <s v="Male"/>
    <n v="8"/>
    <s v="Invalid"/>
    <s v="Abuja"/>
    <x v="3"/>
    <s v="Home"/>
    <s v="Home"/>
    <s v="Chair"/>
    <s v="Chair"/>
    <n v="476.52"/>
    <n v="-2"/>
    <n v="1"/>
    <n v="10"/>
    <s v="Valid"/>
    <s v="POS"/>
    <s v="Pos"/>
    <s v="Dan"/>
    <x v="0"/>
    <x v="2"/>
    <n v="3"/>
    <s v="ok"/>
    <n v="428.86799999999999"/>
  </r>
  <r>
    <s v="T100899"/>
    <s v="2026-04-05"/>
    <s v="C4045"/>
    <s v="Peter"/>
    <s v="Peter"/>
    <s v="Male"/>
    <n v="8"/>
    <s v="Invalid"/>
    <s v="lagos"/>
    <x v="0"/>
    <s v="Electronics"/>
    <s v="Electronics"/>
    <s v="Phone"/>
    <s v="Phone"/>
    <n v="228.11"/>
    <n v="-2"/>
    <n v="1"/>
    <n v="15"/>
    <s v="Valid"/>
    <s v="Mobile Money"/>
    <s v="Mobile Money"/>
    <s v="Ada"/>
    <x v="2"/>
    <x v="1"/>
    <n v="5"/>
    <s v="ok"/>
    <n v="193.89350000000002"/>
  </r>
  <r>
    <s v="T100900"/>
    <s v="2025-07-15"/>
    <s v="C3772"/>
    <s v="Aisha"/>
    <s v="Aisha"/>
    <s v="Male"/>
    <n v="130"/>
    <s v="Invalid"/>
    <s v="Abuja"/>
    <x v="3"/>
    <s v="Beauty"/>
    <s v="Beauty"/>
    <s v="Cream"/>
    <s v="Cream"/>
    <n v="246.57"/>
    <n v="-2"/>
    <n v="1"/>
    <n v="-10"/>
    <s v="invalid"/>
    <s v="Transfer"/>
    <s v="Transfer"/>
    <s v="Ada"/>
    <x v="2"/>
    <x v="1"/>
    <m/>
    <s v="ok"/>
    <n v="271.22700000000003"/>
  </r>
  <r>
    <s v="T100901"/>
    <s v="2026-01-01"/>
    <s v="C8966"/>
    <s v="Grace"/>
    <s v="Grace"/>
    <s v="Female"/>
    <n v="8"/>
    <s v="Invalid"/>
    <s v="Enugu"/>
    <x v="2"/>
    <s v="Beauty"/>
    <s v="Beauty"/>
    <s v="Cream"/>
    <s v="Cream"/>
    <n v="402.6"/>
    <n v="-2"/>
    <n v="1"/>
    <n v="-10"/>
    <s v="invalid"/>
    <m/>
    <s v=""/>
    <s v="Ben"/>
    <x v="3"/>
    <x v="0"/>
    <n v="4"/>
    <s v="ok"/>
    <n v="442.86000000000007"/>
  </r>
  <r>
    <s v="T100902"/>
    <s v="2025-09-28"/>
    <s v="C4873"/>
    <s v="John"/>
    <s v="John"/>
    <s v="Female"/>
    <n v="130"/>
    <s v="Invalid"/>
    <s v="lagos"/>
    <x v="0"/>
    <s v="Groceries"/>
    <s v="Groceries"/>
    <s v="Rice"/>
    <s v="Rice"/>
    <n v="216.79"/>
    <n v="9"/>
    <n v="9"/>
    <n v="120"/>
    <s v="invalid"/>
    <s v="Mobile Money"/>
    <s v="Mobile Money"/>
    <s v="Ada"/>
    <x v="2"/>
    <x v="2"/>
    <n v="5"/>
    <s v="ok"/>
    <n v="-390.22199999999987"/>
  </r>
  <r>
    <s v="T100903"/>
    <s v="15/12/2025"/>
    <s v="C8878"/>
    <s v="Mary"/>
    <s v="Mary"/>
    <s v="Female"/>
    <n v="50"/>
    <s v="Valid"/>
    <s v="Kano"/>
    <x v="4"/>
    <s v="Electronics"/>
    <s v="Electronics"/>
    <s v="Phone"/>
    <s v="Phone"/>
    <n v="395.76"/>
    <n v="-2"/>
    <n v="1"/>
    <n v="0"/>
    <s v="Valid"/>
    <s v="Mobile Money"/>
    <s v="Mobile Money"/>
    <s v="Ada"/>
    <x v="2"/>
    <x v="2"/>
    <n v="5"/>
    <s v="ok"/>
    <n v="395.76"/>
  </r>
  <r>
    <s v="T100904"/>
    <s v="2025-10-29"/>
    <s v="C5614"/>
    <m/>
    <s v=""/>
    <s v="Male"/>
    <n v="8"/>
    <s v="Invalid"/>
    <s v="Enugu"/>
    <x v="2"/>
    <s v="Fashion"/>
    <s v="Fashion"/>
    <s v="Shirt"/>
    <s v="Shirt"/>
    <n v="451.64"/>
    <n v="-2"/>
    <n v="1"/>
    <n v="5"/>
    <s v="Valid"/>
    <s v="Cash"/>
    <s v="Cash"/>
    <s v="Ada"/>
    <x v="2"/>
    <x v="0"/>
    <m/>
    <s v="Missing"/>
    <n v="429.05799999999999"/>
  </r>
  <r>
    <s v="T100905"/>
    <s v="2025-12-14"/>
    <s v="C9474"/>
    <s v="Mary"/>
    <s v="Mary"/>
    <s v="Male"/>
    <n v="130"/>
    <s v="Invalid"/>
    <s v="Kano"/>
    <x v="4"/>
    <s v="groceris"/>
    <s v="Groceris"/>
    <s v="Rice"/>
    <s v="Rice"/>
    <n v="243.47"/>
    <n v="1"/>
    <n v="1"/>
    <n v="-10"/>
    <s v="invalid"/>
    <s v="POS"/>
    <s v="Pos"/>
    <s v="Dan"/>
    <x v="0"/>
    <x v="0"/>
    <n v="1"/>
    <s v="ok"/>
    <n v="267.81700000000001"/>
  </r>
  <r>
    <s v="T100906"/>
    <s v="2025-11-19"/>
    <s v="C6308"/>
    <m/>
    <s v=""/>
    <s v="Female"/>
    <n v="130"/>
    <s v="Invalid"/>
    <s v="Abuja"/>
    <x v="3"/>
    <s v="Sports"/>
    <s v="Sports"/>
    <s v="Ball"/>
    <s v="Ball"/>
    <n v="149.80000000000001"/>
    <n v="-2"/>
    <n v="1"/>
    <n v="10"/>
    <s v="Valid"/>
    <s v="Cash"/>
    <s v="Cash"/>
    <s v="Ada"/>
    <x v="2"/>
    <x v="2"/>
    <n v="5"/>
    <s v="Missing"/>
    <n v="134.82000000000002"/>
  </r>
  <r>
    <s v="T100907"/>
    <s v="2025-10-10"/>
    <s v="C9429"/>
    <s v="Peter"/>
    <s v="Peter"/>
    <s v="Male"/>
    <n v="8"/>
    <s v="Invalid"/>
    <s v="PH"/>
    <x v="1"/>
    <s v="Groceries"/>
    <s v="Groceries"/>
    <s v="Rice"/>
    <s v="Rice"/>
    <n v="57.46"/>
    <n v="-2"/>
    <n v="1"/>
    <n v="120"/>
    <s v="invalid"/>
    <s v="Cash"/>
    <s v="Cash"/>
    <s v="Ben"/>
    <x v="3"/>
    <x v="3"/>
    <n v="3"/>
    <s v="ok"/>
    <n v="-11.491999999999997"/>
  </r>
  <r>
    <s v="T100908"/>
    <s v="2026-04-21"/>
    <s v="C4127"/>
    <s v="Mary"/>
    <s v="Mary"/>
    <s v="Male"/>
    <n v="8"/>
    <s v="Invalid"/>
    <s v="lagos"/>
    <x v="0"/>
    <s v="Groceries"/>
    <s v="Groceries"/>
    <s v="Rice"/>
    <s v="Rice"/>
    <n v="479.17"/>
    <n v="3"/>
    <n v="3"/>
    <n v="-10"/>
    <s v="invalid"/>
    <s v="Transfer"/>
    <s v="Transfer"/>
    <s v="Dan"/>
    <x v="0"/>
    <x v="3"/>
    <n v="5"/>
    <s v="ok"/>
    <n v="1581.2610000000002"/>
  </r>
  <r>
    <s v="T100909"/>
    <s v="2026-02-01"/>
    <s v="C7530"/>
    <s v="  James "/>
    <s v="James"/>
    <s v="Male"/>
    <n v="130"/>
    <s v="Invalid"/>
    <s v="Enugu"/>
    <x v="2"/>
    <s v="Beauty"/>
    <s v="Beauty"/>
    <s v="Cream"/>
    <s v="Cream"/>
    <n v="66.819999999999993"/>
    <n v="5"/>
    <n v="5"/>
    <n v="120"/>
    <s v="invalid"/>
    <s v="POS"/>
    <s v="Pos"/>
    <s v="Ben"/>
    <x v="3"/>
    <x v="2"/>
    <m/>
    <s v="ok"/>
    <n v="-66.819999999999979"/>
  </r>
  <r>
    <s v="T100910"/>
    <s v="20/01/2026"/>
    <s v="C3070"/>
    <m/>
    <s v=""/>
    <s v="Female"/>
    <n v="33"/>
    <s v="Valid"/>
    <s v="Abuja"/>
    <x v="3"/>
    <s v="Sports"/>
    <s v="Sports"/>
    <s v="Ball"/>
    <s v="Ball"/>
    <n v="326.39999999999998"/>
    <n v="6"/>
    <n v="6"/>
    <n v="120"/>
    <s v="invalid"/>
    <s v="POS"/>
    <s v="Pos"/>
    <s v="Ada"/>
    <x v="2"/>
    <x v="0"/>
    <m/>
    <s v="Missing"/>
    <n v="-391.67999999999989"/>
  </r>
  <r>
    <s v="T100911"/>
    <s v="2025-05-15"/>
    <s v="C2411"/>
    <s v="John"/>
    <s v="John"/>
    <s v="Female"/>
    <n v="43"/>
    <s v="Valid"/>
    <s v="lagos"/>
    <x v="0"/>
    <s v="Fashion"/>
    <s v="Fashion"/>
    <s v="Shirt"/>
    <s v="Shirt"/>
    <n v="414.14"/>
    <n v="9"/>
    <n v="9"/>
    <n v="-10"/>
    <s v="invalid"/>
    <m/>
    <s v=""/>
    <s v="Chi"/>
    <x v="1"/>
    <x v="0"/>
    <n v="2"/>
    <s v="ok"/>
    <n v="4099.9859999999999"/>
  </r>
  <r>
    <s v="T100912"/>
    <s v="2026-05-18"/>
    <s v="C4834"/>
    <s v="  James "/>
    <s v="James"/>
    <s v="Female"/>
    <n v="60"/>
    <s v="Valid"/>
    <s v="lagos"/>
    <x v="0"/>
    <s v="Beauty"/>
    <s v="Beauty"/>
    <s v="Cream"/>
    <s v="Cream"/>
    <n v="272.70999999999998"/>
    <n v="-2"/>
    <n v="1"/>
    <n v="5"/>
    <s v="Valid"/>
    <s v="POS"/>
    <s v="Pos"/>
    <s v="Dan"/>
    <x v="0"/>
    <x v="1"/>
    <m/>
    <s v="ok"/>
    <n v="259.07449999999994"/>
  </r>
  <r>
    <s v="T100913"/>
    <s v="2026-06-11"/>
    <s v="C4277"/>
    <s v="David"/>
    <s v="David"/>
    <s v="Female"/>
    <n v="33"/>
    <s v="Valid"/>
    <s v="lagos"/>
    <x v="0"/>
    <s v="Groceries"/>
    <s v="Groceries"/>
    <s v="Rice"/>
    <s v="Rice"/>
    <n v="385.74"/>
    <n v="-2"/>
    <n v="1"/>
    <n v="-10"/>
    <s v="invalid"/>
    <s v="Cash"/>
    <s v="Cash"/>
    <s v="Dan"/>
    <x v="0"/>
    <x v="2"/>
    <n v="3"/>
    <s v="ok"/>
    <n v="424.31400000000002"/>
  </r>
  <r>
    <s v="T100914"/>
    <s v="2026-03-02"/>
    <s v="C7537"/>
    <s v="  James "/>
    <s v="James"/>
    <s v="Female"/>
    <n v="51"/>
    <s v="Valid"/>
    <s v="lagos"/>
    <x v="0"/>
    <s v="Groceries"/>
    <s v="Groceries"/>
    <s v="Rice"/>
    <s v="Rice"/>
    <n v="446.31"/>
    <n v="5"/>
    <n v="5"/>
    <n v="-10"/>
    <s v="invalid"/>
    <s v="Mobile Money"/>
    <s v="Mobile Money"/>
    <s v="Chi"/>
    <x v="1"/>
    <x v="2"/>
    <n v="1"/>
    <s v="ok"/>
    <n v="2454.7050000000004"/>
  </r>
  <r>
    <s v="T100915"/>
    <s v="2025-04-29"/>
    <s v="C1072"/>
    <s v="John"/>
    <s v="John"/>
    <s v="Female"/>
    <n v="8"/>
    <s v="Invalid"/>
    <s v="lagos"/>
    <x v="0"/>
    <s v="groceris"/>
    <s v="Groceris"/>
    <s v="Rice"/>
    <s v="Rice"/>
    <n v="32.17"/>
    <n v="-2"/>
    <n v="1"/>
    <n v="15"/>
    <s v="Valid"/>
    <s v="Mobile Money"/>
    <s v="Mobile Money"/>
    <s v="Ada"/>
    <x v="2"/>
    <x v="3"/>
    <n v="1"/>
    <s v="ok"/>
    <n v="27.3445"/>
  </r>
  <r>
    <s v="T100916"/>
    <s v="2025-02-11"/>
    <s v="C7719"/>
    <m/>
    <s v=""/>
    <s v="Male"/>
    <n v="130"/>
    <s v="Invalid"/>
    <s v="Abuja"/>
    <x v="3"/>
    <s v="groceris"/>
    <s v="Groceris"/>
    <s v="Rice"/>
    <s v="Rice"/>
    <n v="302.38"/>
    <n v="-2"/>
    <n v="1"/>
    <n v="120"/>
    <s v="invalid"/>
    <s v="Cash"/>
    <s v="Cash"/>
    <s v="Ben"/>
    <x v="3"/>
    <x v="3"/>
    <n v="5"/>
    <s v="Missing"/>
    <n v="-60.475999999999985"/>
  </r>
  <r>
    <s v="T100917"/>
    <s v="12/01/2025"/>
    <s v="C5868"/>
    <s v="  James "/>
    <s v="James"/>
    <s v="Female"/>
    <n v="8"/>
    <s v="Invalid"/>
    <s v="lagos"/>
    <x v="0"/>
    <s v="Beauty"/>
    <s v="Beauty"/>
    <s v="Cream"/>
    <s v="Cream"/>
    <n v="5.62"/>
    <n v="2"/>
    <n v="2"/>
    <n v="15"/>
    <s v="Valid"/>
    <s v="POS"/>
    <s v="Pos"/>
    <s v="Chi"/>
    <x v="1"/>
    <x v="3"/>
    <n v="1"/>
    <s v="ok"/>
    <n v="9.5540000000000003"/>
  </r>
  <r>
    <s v="T100918"/>
    <s v="2026-05-18"/>
    <s v="C1733"/>
    <s v="John"/>
    <s v="John"/>
    <s v="Female"/>
    <n v="8"/>
    <s v="Invalid"/>
    <s v="lagos"/>
    <x v="0"/>
    <s v="Electronics"/>
    <s v="Electronics"/>
    <s v="Phone"/>
    <s v="Phone"/>
    <n v="286.88"/>
    <n v="3"/>
    <n v="3"/>
    <n v="5"/>
    <s v="Valid"/>
    <m/>
    <s v=""/>
    <s v="Ben"/>
    <x v="3"/>
    <x v="1"/>
    <m/>
    <s v="ok"/>
    <n v="817.60799999999995"/>
  </r>
  <r>
    <s v="T100919"/>
    <s v="2025-04-28"/>
    <s v="C1652"/>
    <s v="Grace"/>
    <s v="Grace"/>
    <s v="Female"/>
    <n v="8"/>
    <s v="Invalid"/>
    <s v="Kano"/>
    <x v="4"/>
    <s v="Beauty"/>
    <s v="Beauty"/>
    <s v="Cream"/>
    <s v="Cream"/>
    <n v="324.54000000000002"/>
    <n v="-2"/>
    <n v="1"/>
    <n v="5"/>
    <s v="Valid"/>
    <m/>
    <s v=""/>
    <s v="Dan"/>
    <x v="0"/>
    <x v="3"/>
    <n v="4"/>
    <s v="ok"/>
    <n v="308.31299999999999"/>
  </r>
  <r>
    <s v="T100920"/>
    <s v="2025-11-24"/>
    <s v="C6460"/>
    <s v="Grace"/>
    <s v="Grace"/>
    <s v="Male"/>
    <n v="8"/>
    <s v="Invalid"/>
    <s v="lagos"/>
    <x v="0"/>
    <s v="groceris"/>
    <s v="Groceris"/>
    <s v="Rice"/>
    <s v="Rice"/>
    <n v="383.59"/>
    <n v="-2"/>
    <n v="1"/>
    <n v="0"/>
    <s v="Valid"/>
    <s v="Mobile Money"/>
    <s v="Mobile Money"/>
    <s v="Chi"/>
    <x v="1"/>
    <x v="3"/>
    <n v="5"/>
    <s v="ok"/>
    <n v="383.59"/>
  </r>
  <r>
    <s v="T100921"/>
    <s v="2025-04-24"/>
    <s v="C1354"/>
    <s v="Aisha"/>
    <s v="Aisha"/>
    <s v="Female"/>
    <n v="8"/>
    <s v="Invalid"/>
    <s v="Abuja"/>
    <x v="3"/>
    <s v="Home"/>
    <s v="Home"/>
    <s v="Chair"/>
    <s v="Chair"/>
    <n v="328.32"/>
    <n v="2"/>
    <n v="2"/>
    <n v="15"/>
    <s v="Valid"/>
    <s v="POS"/>
    <s v="Pos"/>
    <s v="Dan"/>
    <x v="0"/>
    <x v="1"/>
    <m/>
    <s v="ok"/>
    <n v="558.14400000000001"/>
  </r>
  <r>
    <s v="T100922"/>
    <s v="2025-06-05"/>
    <s v="C5202"/>
    <s v="  James "/>
    <s v="James"/>
    <s v="Female"/>
    <n v="27"/>
    <s v="Valid"/>
    <s v="lagos"/>
    <x v="0"/>
    <s v="Beauty"/>
    <s v="Beauty"/>
    <s v="Cream"/>
    <s v="Cream"/>
    <n v="244.87"/>
    <n v="8"/>
    <n v="8"/>
    <n v="10"/>
    <s v="Valid"/>
    <s v="Cash"/>
    <s v="Cash"/>
    <s v="Dan"/>
    <x v="0"/>
    <x v="0"/>
    <m/>
    <s v="ok"/>
    <n v="1763.0640000000001"/>
  </r>
  <r>
    <s v="T100923"/>
    <s v="2026-06-07"/>
    <s v="C7481"/>
    <s v="David"/>
    <s v="David"/>
    <s v="Male"/>
    <n v="8"/>
    <s v="Invalid"/>
    <s v="Abuja"/>
    <x v="3"/>
    <s v="Fashion"/>
    <s v="Fashion"/>
    <s v="Shirt"/>
    <s v="Shirt"/>
    <n v="346.21"/>
    <n v="10"/>
    <n v="10"/>
    <n v="0"/>
    <s v="Valid"/>
    <s v="Mobile Money"/>
    <s v="Mobile Money"/>
    <s v="Ben"/>
    <x v="3"/>
    <x v="2"/>
    <n v="3"/>
    <s v="ok"/>
    <n v="3462.1"/>
  </r>
  <r>
    <s v="T100924"/>
    <s v="19/12/2025"/>
    <s v="C3183"/>
    <s v="Aisha"/>
    <s v="Aisha"/>
    <s v="Female"/>
    <n v="130"/>
    <s v="Invalid"/>
    <s v="lagos"/>
    <x v="0"/>
    <s v="Beauty"/>
    <s v="Beauty"/>
    <s v="Cream"/>
    <s v="Cream"/>
    <n v="481.16"/>
    <n v="-2"/>
    <n v="1"/>
    <n v="0"/>
    <s v="Valid"/>
    <m/>
    <s v=""/>
    <s v="Dan"/>
    <x v="0"/>
    <x v="3"/>
    <n v="2"/>
    <s v="ok"/>
    <n v="481.16"/>
  </r>
  <r>
    <s v="T100925"/>
    <s v="2025-02-25"/>
    <s v="C6183"/>
    <s v="  James "/>
    <s v="James"/>
    <s v="Female"/>
    <n v="8"/>
    <s v="Invalid"/>
    <s v="lagos"/>
    <x v="0"/>
    <s v="Fashion"/>
    <s v="Fashion"/>
    <s v="Shirt"/>
    <s v="Shirt"/>
    <n v="39.5"/>
    <n v="9"/>
    <n v="9"/>
    <n v="-10"/>
    <s v="invalid"/>
    <s v="Mobile Money"/>
    <s v="Mobile Money"/>
    <s v="Ada"/>
    <x v="2"/>
    <x v="3"/>
    <n v="3"/>
    <s v="ok"/>
    <n v="391.05"/>
  </r>
  <r>
    <s v="T100926"/>
    <s v="2026-01-28"/>
    <s v="C2450"/>
    <m/>
    <s v=""/>
    <s v="Male"/>
    <n v="8"/>
    <s v="Invalid"/>
    <s v="Kano"/>
    <x v="4"/>
    <s v="Fashion"/>
    <s v="Fashion"/>
    <s v="Shirt"/>
    <s v="Shirt"/>
    <n v="135.72"/>
    <n v="-2"/>
    <n v="1"/>
    <n v="10"/>
    <s v="Valid"/>
    <s v="Transfer"/>
    <s v="Transfer"/>
    <s v="Dan"/>
    <x v="0"/>
    <x v="3"/>
    <n v="4"/>
    <s v="Missing"/>
    <n v="122.148"/>
  </r>
  <r>
    <s v="T100927"/>
    <s v="2026-04-09"/>
    <s v="C4275"/>
    <s v="David"/>
    <s v="David"/>
    <s v="Male"/>
    <n v="45"/>
    <s v="Valid"/>
    <s v="lagos"/>
    <x v="0"/>
    <s v="Sports"/>
    <s v="Sports"/>
    <s v="Ball"/>
    <s v="Ball"/>
    <n v="168.68"/>
    <n v="-2"/>
    <n v="1"/>
    <n v="0"/>
    <s v="Valid"/>
    <s v="POS"/>
    <s v="Pos"/>
    <s v="Ben"/>
    <x v="3"/>
    <x v="0"/>
    <m/>
    <s v="ok"/>
    <n v="168.68"/>
  </r>
  <r>
    <s v="T100928"/>
    <s v="2025-05-02"/>
    <s v="C6779"/>
    <s v="Grace"/>
    <s v="Grace"/>
    <s v="Male"/>
    <n v="61"/>
    <s v="Valid"/>
    <s v="Enugu"/>
    <x v="2"/>
    <s v="Beauty"/>
    <s v="Beauty"/>
    <s v="Cream"/>
    <s v="Cream"/>
    <n v="225.26"/>
    <n v="6"/>
    <n v="6"/>
    <n v="120"/>
    <s v="invalid"/>
    <s v="POS"/>
    <s v="Pos"/>
    <s v="Ben"/>
    <x v="3"/>
    <x v="0"/>
    <n v="5"/>
    <s v="ok"/>
    <n v="-270.31199999999995"/>
  </r>
  <r>
    <s v="T100929"/>
    <s v="2025-10-01"/>
    <s v="C7099"/>
    <s v="John"/>
    <s v="John"/>
    <s v="Male"/>
    <n v="23"/>
    <s v="Valid"/>
    <s v="Abuja"/>
    <x v="3"/>
    <s v="Electronics"/>
    <s v="Electronics"/>
    <s v="Phone"/>
    <s v="Phone"/>
    <n v="455.24"/>
    <n v="10"/>
    <n v="10"/>
    <n v="15"/>
    <s v="Valid"/>
    <s v="Transfer"/>
    <s v="Transfer"/>
    <s v="Dan"/>
    <x v="0"/>
    <x v="0"/>
    <n v="5"/>
    <s v="ok"/>
    <n v="3869.5399999999995"/>
  </r>
  <r>
    <s v="T100930"/>
    <s v="2025-02-17"/>
    <s v="C4714"/>
    <s v="David"/>
    <s v="David"/>
    <s v="Male"/>
    <n v="130"/>
    <s v="Invalid"/>
    <s v="PH"/>
    <x v="1"/>
    <s v="Sports"/>
    <s v="Sports"/>
    <s v="Ball"/>
    <s v="Ball"/>
    <n v="288.70999999999998"/>
    <n v="5"/>
    <n v="5"/>
    <n v="10"/>
    <s v="Valid"/>
    <s v="Cash"/>
    <s v="Cash"/>
    <s v="Dan"/>
    <x v="0"/>
    <x v="0"/>
    <n v="5"/>
    <s v="ok"/>
    <n v="1299.1949999999999"/>
  </r>
  <r>
    <s v="T100931"/>
    <s v="12/06/2026"/>
    <s v="C6036"/>
    <s v="Mary"/>
    <s v="Mary"/>
    <s v="Male"/>
    <n v="8"/>
    <s v="Invalid"/>
    <s v="lagos"/>
    <x v="0"/>
    <s v="groceris"/>
    <s v="Groceris"/>
    <s v="Rice"/>
    <s v="Rice"/>
    <n v="90.91"/>
    <n v="8"/>
    <n v="8"/>
    <n v="-10"/>
    <s v="invalid"/>
    <m/>
    <s v=""/>
    <s v="Chi"/>
    <x v="1"/>
    <x v="3"/>
    <m/>
    <s v="ok"/>
    <n v="800.00800000000004"/>
  </r>
  <r>
    <s v="T100932"/>
    <s v="2026-05-31"/>
    <s v="C4638"/>
    <s v="Grace"/>
    <s v="Grace"/>
    <s v="Male"/>
    <n v="26"/>
    <s v="Valid"/>
    <s v="Enugu"/>
    <x v="2"/>
    <s v="Fashion"/>
    <s v="Fashion"/>
    <s v="Shirt"/>
    <s v="Shirt"/>
    <n v="323.43"/>
    <n v="7"/>
    <n v="7"/>
    <n v="120"/>
    <s v="invalid"/>
    <m/>
    <s v=""/>
    <s v="Dan"/>
    <x v="0"/>
    <x v="3"/>
    <n v="4"/>
    <s v="ok"/>
    <n v="-452.80199999999996"/>
  </r>
  <r>
    <s v="T100933"/>
    <s v="2026-04-15"/>
    <s v="C3531"/>
    <s v="David"/>
    <s v="David"/>
    <s v="Female"/>
    <n v="36"/>
    <s v="Valid"/>
    <s v="Kano"/>
    <x v="4"/>
    <s v="Fashion"/>
    <s v="Fashion"/>
    <s v="Shirt"/>
    <s v="Shirt"/>
    <n v="413.49"/>
    <n v="2"/>
    <n v="2"/>
    <n v="5"/>
    <s v="Valid"/>
    <m/>
    <s v=""/>
    <s v="Chi"/>
    <x v="1"/>
    <x v="2"/>
    <m/>
    <s v="ok"/>
    <n v="785.63099999999997"/>
  </r>
  <r>
    <s v="T100934"/>
    <s v="2025-12-24"/>
    <s v="C3399"/>
    <s v="Aisha"/>
    <s v="Aisha"/>
    <s v="Male"/>
    <n v="8"/>
    <s v="Invalid"/>
    <s v="lagos"/>
    <x v="0"/>
    <s v="Home"/>
    <s v="Home"/>
    <s v="Chair"/>
    <s v="Chair"/>
    <n v="164.12"/>
    <n v="-2"/>
    <n v="1"/>
    <n v="15"/>
    <s v="Valid"/>
    <m/>
    <s v=""/>
    <s v="Dan"/>
    <x v="0"/>
    <x v="3"/>
    <n v="5"/>
    <s v="ok"/>
    <n v="139.50200000000001"/>
  </r>
  <r>
    <s v="T100935"/>
    <s v="2025-10-29"/>
    <s v="C3624"/>
    <s v="David"/>
    <s v="David"/>
    <s v="Female"/>
    <n v="130"/>
    <s v="Invalid"/>
    <s v="lagos"/>
    <x v="0"/>
    <s v="Beauty"/>
    <s v="Beauty"/>
    <s v="Cream"/>
    <s v="Cream"/>
    <n v="433.52"/>
    <n v="-2"/>
    <n v="1"/>
    <n v="15"/>
    <s v="Valid"/>
    <s v="POS"/>
    <s v="Pos"/>
    <s v="Ben"/>
    <x v="3"/>
    <x v="0"/>
    <n v="5"/>
    <s v="ok"/>
    <n v="368.49199999999996"/>
  </r>
  <r>
    <s v="T100936"/>
    <s v="2026-05-07"/>
    <s v="C3432"/>
    <s v="Grace"/>
    <s v="Grace"/>
    <s v="Male"/>
    <n v="57"/>
    <s v="Valid"/>
    <s v="Kano"/>
    <x v="4"/>
    <s v="Home"/>
    <s v="Home"/>
    <s v="Chair"/>
    <s v="Chair"/>
    <n v="129.28"/>
    <n v="5"/>
    <n v="5"/>
    <n v="0"/>
    <s v="Valid"/>
    <s v="Cash"/>
    <s v="Cash"/>
    <s v="Dan"/>
    <x v="0"/>
    <x v="0"/>
    <n v="3"/>
    <s v="ok"/>
    <n v="646.4"/>
  </r>
  <r>
    <s v="T100937"/>
    <s v="2025-01-21"/>
    <s v="C7101"/>
    <s v="Mary"/>
    <s v="Mary"/>
    <s v="Male"/>
    <n v="130"/>
    <s v="Invalid"/>
    <s v="lagos"/>
    <x v="0"/>
    <s v="Electronics"/>
    <s v="Electronics"/>
    <s v="Phone"/>
    <s v="Phone"/>
    <n v="37.82"/>
    <n v="-2"/>
    <n v="1"/>
    <n v="10"/>
    <s v="Valid"/>
    <m/>
    <s v=""/>
    <s v="Ben"/>
    <x v="3"/>
    <x v="3"/>
    <n v="5"/>
    <s v="ok"/>
    <n v="34.038000000000004"/>
  </r>
  <r>
    <s v="T100938"/>
    <s v="21/06/2025"/>
    <s v="C9833"/>
    <s v="Mary"/>
    <s v="Mary"/>
    <s v="Female"/>
    <n v="130"/>
    <s v="Invalid"/>
    <s v="Kano"/>
    <x v="4"/>
    <s v="Home"/>
    <s v="Home"/>
    <s v="Chair"/>
    <s v="Chair"/>
    <n v="243.87"/>
    <n v="-2"/>
    <n v="1"/>
    <n v="10"/>
    <s v="Valid"/>
    <s v="POS"/>
    <s v="Pos"/>
    <s v="Ben"/>
    <x v="3"/>
    <x v="0"/>
    <m/>
    <s v="ok"/>
    <n v="219.483"/>
  </r>
  <r>
    <s v="T100939"/>
    <s v="2025-04-15"/>
    <s v="C4654"/>
    <m/>
    <s v=""/>
    <s v="Male"/>
    <n v="21"/>
    <s v="Valid"/>
    <s v="Kano"/>
    <x v="4"/>
    <s v="Groceries"/>
    <s v="Groceries"/>
    <s v="Rice"/>
    <s v="Rice"/>
    <n v="92"/>
    <n v="-2"/>
    <n v="1"/>
    <n v="15"/>
    <s v="Valid"/>
    <s v="Cash"/>
    <s v="Cash"/>
    <s v="Ada"/>
    <x v="2"/>
    <x v="0"/>
    <n v="2"/>
    <s v="Missing"/>
    <n v="78.2"/>
  </r>
  <r>
    <s v="T100940"/>
    <s v="2025-08-01"/>
    <s v="C1319"/>
    <s v="  James "/>
    <s v="James"/>
    <s v="Male"/>
    <n v="40"/>
    <s v="Valid"/>
    <s v="Enugu"/>
    <x v="2"/>
    <s v="Sports"/>
    <s v="Sports"/>
    <s v="Ball"/>
    <s v="Ball"/>
    <n v="50"/>
    <n v="1"/>
    <n v="1"/>
    <n v="-10"/>
    <s v="invalid"/>
    <s v="POS"/>
    <s v="Pos"/>
    <s v="Chi"/>
    <x v="1"/>
    <x v="2"/>
    <n v="5"/>
    <s v="ok"/>
    <n v="55.000000000000007"/>
  </r>
  <r>
    <s v="T100941"/>
    <s v="2025-06-08"/>
    <s v="C9348"/>
    <s v="Peter"/>
    <s v="Peter"/>
    <s v="Male"/>
    <n v="8"/>
    <s v="Invalid"/>
    <s v="lagos"/>
    <x v="0"/>
    <s v="Home"/>
    <s v="Home"/>
    <s v="Chair"/>
    <s v="Chair"/>
    <n v="64.81"/>
    <n v="2"/>
    <n v="2"/>
    <n v="-10"/>
    <s v="invalid"/>
    <s v="Cash"/>
    <s v="Cash"/>
    <s v="Chi"/>
    <x v="1"/>
    <x v="2"/>
    <n v="5"/>
    <s v="ok"/>
    <n v="142.58200000000002"/>
  </r>
  <r>
    <s v="T100942"/>
    <s v="2025-11-21"/>
    <s v="C9718"/>
    <s v="  James "/>
    <s v="James"/>
    <s v="Female"/>
    <n v="56"/>
    <s v="Valid"/>
    <s v="Abuja"/>
    <x v="3"/>
    <s v="Beauty"/>
    <s v="Beauty"/>
    <s v="Cream"/>
    <s v="Cream"/>
    <n v="315.49"/>
    <n v="7"/>
    <n v="7"/>
    <n v="120"/>
    <s v="invalid"/>
    <s v="Cash"/>
    <s v="Cash"/>
    <s v="Dan"/>
    <x v="0"/>
    <x v="3"/>
    <n v="3"/>
    <s v="ok"/>
    <n v="-441.68599999999998"/>
  </r>
  <r>
    <s v="T100943"/>
    <s v="2025-09-06"/>
    <s v="C6303"/>
    <m/>
    <s v=""/>
    <s v="Female"/>
    <n v="34"/>
    <s v="Valid"/>
    <s v="Kano"/>
    <x v="4"/>
    <s v="Sports"/>
    <s v="Sports"/>
    <s v="Ball"/>
    <s v="Ball"/>
    <n v="109.69"/>
    <n v="-2"/>
    <n v="1"/>
    <n v="15"/>
    <s v="Valid"/>
    <s v="Transfer"/>
    <s v="Transfer"/>
    <s v="Chi"/>
    <x v="1"/>
    <x v="2"/>
    <n v="1"/>
    <s v="Missing"/>
    <n v="93.236499999999992"/>
  </r>
  <r>
    <s v="T100944"/>
    <s v="2025-11-09"/>
    <s v="C5478"/>
    <s v="John"/>
    <s v="John"/>
    <s v="Female"/>
    <n v="130"/>
    <s v="Invalid"/>
    <s v="lagos"/>
    <x v="0"/>
    <s v="Electronics"/>
    <s v="Electronics"/>
    <s v="Phone"/>
    <s v="Phone"/>
    <n v="445.86"/>
    <n v="-2"/>
    <n v="1"/>
    <n v="10"/>
    <s v="Valid"/>
    <s v="Cash"/>
    <s v="Cash"/>
    <s v="Ben"/>
    <x v="3"/>
    <x v="3"/>
    <m/>
    <s v="ok"/>
    <n v="401.274"/>
  </r>
  <r>
    <s v="T100945"/>
    <s v="25/08/2025"/>
    <s v="C7689"/>
    <s v="Grace"/>
    <s v="Grace"/>
    <s v="Male"/>
    <n v="56"/>
    <s v="Valid"/>
    <s v="Kano"/>
    <x v="4"/>
    <s v="Home"/>
    <s v="Home"/>
    <s v="Chair"/>
    <s v="Chair"/>
    <n v="93.36"/>
    <n v="10"/>
    <n v="10"/>
    <n v="-10"/>
    <s v="invalid"/>
    <s v="POS"/>
    <s v="Pos"/>
    <s v="Ada"/>
    <x v="2"/>
    <x v="0"/>
    <m/>
    <s v="ok"/>
    <n v="1026.96"/>
  </r>
  <r>
    <s v="T100946"/>
    <s v="2026-06-13"/>
    <s v="C1734"/>
    <s v="Grace"/>
    <s v="Grace"/>
    <s v="Male"/>
    <n v="130"/>
    <s v="Invalid"/>
    <s v="Kano"/>
    <x v="4"/>
    <s v="Groceries"/>
    <s v="Groceries"/>
    <s v="Rice"/>
    <s v="Rice"/>
    <n v="408.19"/>
    <n v="-2"/>
    <n v="1"/>
    <n v="15"/>
    <s v="Valid"/>
    <s v="Mobile Money"/>
    <s v="Mobile Money"/>
    <s v="Ada"/>
    <x v="2"/>
    <x v="3"/>
    <m/>
    <s v="ok"/>
    <n v="346.9615"/>
  </r>
  <r>
    <s v="T100947"/>
    <s v="2025-05-12"/>
    <s v="C5724"/>
    <s v="  James "/>
    <s v="James"/>
    <s v="Female"/>
    <n v="130"/>
    <s v="Invalid"/>
    <s v="lagos"/>
    <x v="0"/>
    <s v="Electronics"/>
    <s v="Electronics"/>
    <s v="Phone"/>
    <s v="Phone"/>
    <n v="427.19"/>
    <n v="5"/>
    <n v="5"/>
    <n v="5"/>
    <s v="Valid"/>
    <m/>
    <s v=""/>
    <s v="Ada"/>
    <x v="2"/>
    <x v="1"/>
    <n v="3"/>
    <s v="ok"/>
    <n v="2029.1524999999997"/>
  </r>
  <r>
    <s v="T100948"/>
    <s v="2026-01-25"/>
    <s v="C1268"/>
    <s v="Peter"/>
    <s v="Peter"/>
    <s v="Female"/>
    <n v="37"/>
    <s v="Valid"/>
    <s v="Enugu"/>
    <x v="2"/>
    <s v="groceris"/>
    <s v="Groceris"/>
    <s v="Rice"/>
    <s v="Rice"/>
    <n v="363.4"/>
    <n v="-2"/>
    <n v="1"/>
    <n v="0"/>
    <s v="Valid"/>
    <s v="Mobile Money"/>
    <s v="Mobile Money"/>
    <s v="Dan"/>
    <x v="0"/>
    <x v="1"/>
    <n v="5"/>
    <s v="ok"/>
    <n v="363.4"/>
  </r>
  <r>
    <s v="T100949"/>
    <s v="2025-01-27"/>
    <s v="C7751"/>
    <s v="Grace"/>
    <s v="Grace"/>
    <s v="Female"/>
    <n v="8"/>
    <s v="Invalid"/>
    <s v="Kano"/>
    <x v="4"/>
    <s v="Fashion"/>
    <s v="Fashion"/>
    <s v="Shirt"/>
    <s v="Shirt"/>
    <n v="129.28"/>
    <n v="8"/>
    <n v="8"/>
    <n v="15"/>
    <s v="Valid"/>
    <s v="POS"/>
    <s v="Pos"/>
    <s v="Dan"/>
    <x v="0"/>
    <x v="0"/>
    <n v="4"/>
    <s v="ok"/>
    <n v="879.10399999999993"/>
  </r>
  <r>
    <s v="T100950"/>
    <s v="2026-04-16"/>
    <s v="C7178"/>
    <s v="David"/>
    <s v="David"/>
    <s v="Female"/>
    <n v="34"/>
    <s v="Valid"/>
    <s v="Abuja"/>
    <x v="3"/>
    <s v="Electronics"/>
    <s v="Electronics"/>
    <s v="Phone"/>
    <s v="Phone"/>
    <n v="44.98"/>
    <n v="-2"/>
    <n v="1"/>
    <n v="5"/>
    <s v="Valid"/>
    <s v="Mobile Money"/>
    <s v="Mobile Money"/>
    <s v="Dan"/>
    <x v="0"/>
    <x v="1"/>
    <n v="2"/>
    <s v="ok"/>
    <n v="42.730999999999995"/>
  </r>
  <r>
    <s v="T100951"/>
    <s v="2025-02-04"/>
    <s v="C5952"/>
    <s v="Grace"/>
    <s v="Grace"/>
    <s v="Male"/>
    <n v="8"/>
    <s v="Invalid"/>
    <s v="lagos"/>
    <x v="0"/>
    <s v="Groceries"/>
    <s v="Groceries"/>
    <s v="Rice"/>
    <s v="Rice"/>
    <n v="433.28"/>
    <n v="-2"/>
    <n v="1"/>
    <n v="5"/>
    <s v="Valid"/>
    <m/>
    <s v=""/>
    <s v="Ben"/>
    <x v="3"/>
    <x v="2"/>
    <n v="1"/>
    <s v="ok"/>
    <n v="411.61599999999993"/>
  </r>
  <r>
    <s v="T100952"/>
    <s v="31/05/2026"/>
    <s v="C1044"/>
    <m/>
    <s v=""/>
    <s v="Female"/>
    <n v="8"/>
    <s v="Invalid"/>
    <s v="Abuja"/>
    <x v="3"/>
    <s v="Fashion"/>
    <s v="Fashion"/>
    <s v="Shirt"/>
    <s v="Shirt"/>
    <n v="177.22"/>
    <n v="-2"/>
    <n v="1"/>
    <n v="120"/>
    <s v="invalid"/>
    <m/>
    <s v=""/>
    <s v="Dan"/>
    <x v="0"/>
    <x v="3"/>
    <n v="2"/>
    <s v="Missing"/>
    <n v="-35.443999999999988"/>
  </r>
  <r>
    <s v="T100953"/>
    <s v="2026-02-01"/>
    <s v="C1332"/>
    <s v="Mary"/>
    <s v="Mary"/>
    <s v="Male"/>
    <n v="130"/>
    <s v="Invalid"/>
    <s v="Abuja"/>
    <x v="3"/>
    <s v="Home"/>
    <s v="Home"/>
    <s v="Chair"/>
    <s v="Chair"/>
    <n v="243.48"/>
    <n v="2"/>
    <n v="2"/>
    <n v="0"/>
    <s v="Valid"/>
    <s v="POS"/>
    <s v="Pos"/>
    <s v="Chi"/>
    <x v="1"/>
    <x v="0"/>
    <n v="2"/>
    <s v="ok"/>
    <n v="486.96"/>
  </r>
  <r>
    <s v="T100954"/>
    <s v="2025-03-02"/>
    <s v="C9515"/>
    <s v="Mary"/>
    <s v="Mary"/>
    <s v="Male"/>
    <n v="34"/>
    <s v="Valid"/>
    <s v="lagos"/>
    <x v="0"/>
    <s v="Beauty"/>
    <s v="Beauty"/>
    <s v="Cream"/>
    <s v="Cream"/>
    <n v="289.58999999999997"/>
    <n v="9"/>
    <n v="9"/>
    <n v="120"/>
    <s v="invalid"/>
    <s v="Cash"/>
    <s v="Cash"/>
    <s v="Ada"/>
    <x v="2"/>
    <x v="3"/>
    <n v="5"/>
    <s v="ok"/>
    <n v="-521.26199999999983"/>
  </r>
  <r>
    <s v="T100955"/>
    <s v="2025-12-21"/>
    <s v="C7207"/>
    <s v="Peter"/>
    <s v="Peter"/>
    <s v="Male"/>
    <n v="20"/>
    <s v="Valid"/>
    <s v="Kano"/>
    <x v="4"/>
    <s v="Electronics"/>
    <s v="Electronics"/>
    <s v="Phone"/>
    <s v="Phone"/>
    <n v="154.01"/>
    <n v="-2"/>
    <n v="1"/>
    <n v="120"/>
    <s v="invalid"/>
    <s v="Transfer"/>
    <s v="Transfer"/>
    <s v="Dan"/>
    <x v="0"/>
    <x v="1"/>
    <m/>
    <s v="ok"/>
    <n v="-30.801999999999992"/>
  </r>
  <r>
    <s v="T100956"/>
    <s v="2026-04-11"/>
    <s v="C5656"/>
    <s v="  James "/>
    <s v="James"/>
    <s v="Female"/>
    <n v="8"/>
    <s v="Invalid"/>
    <s v="Kano"/>
    <x v="4"/>
    <s v="Sports"/>
    <s v="Sports"/>
    <s v="Ball"/>
    <s v="Ball"/>
    <n v="291.81"/>
    <n v="-2"/>
    <n v="1"/>
    <n v="15"/>
    <s v="Valid"/>
    <s v="Transfer"/>
    <s v="Transfer"/>
    <s v="Dan"/>
    <x v="0"/>
    <x v="3"/>
    <n v="3"/>
    <s v="ok"/>
    <n v="248.0385"/>
  </r>
  <r>
    <s v="T100957"/>
    <s v="2025-07-30"/>
    <s v="C9918"/>
    <m/>
    <s v=""/>
    <s v="Male"/>
    <n v="8"/>
    <s v="Invalid"/>
    <s v="PH"/>
    <x v="1"/>
    <s v="Home"/>
    <s v="Home"/>
    <s v="Chair"/>
    <s v="Chair"/>
    <n v="125.71"/>
    <n v="-2"/>
    <n v="1"/>
    <n v="5"/>
    <s v="Valid"/>
    <s v="Transfer"/>
    <s v="Transfer"/>
    <s v="Ben"/>
    <x v="3"/>
    <x v="1"/>
    <n v="4"/>
    <s v="Missing"/>
    <n v="119.42449999999999"/>
  </r>
  <r>
    <s v="T100958"/>
    <s v="2026-04-05"/>
    <s v="C8226"/>
    <s v="Grace"/>
    <s v="Grace"/>
    <s v="Female"/>
    <n v="130"/>
    <s v="Invalid"/>
    <s v="lagos"/>
    <x v="0"/>
    <s v="Home"/>
    <s v="Home"/>
    <s v="Chair"/>
    <s v="Chair"/>
    <n v="100.48"/>
    <n v="2"/>
    <n v="2"/>
    <n v="10"/>
    <s v="Valid"/>
    <s v="Cash"/>
    <s v="Cash"/>
    <s v="Dan"/>
    <x v="0"/>
    <x v="1"/>
    <m/>
    <s v="ok"/>
    <n v="180.864"/>
  </r>
  <r>
    <s v="T100959"/>
    <s v="07/04/2026"/>
    <s v="C8529"/>
    <m/>
    <s v=""/>
    <s v="Male"/>
    <n v="27"/>
    <s v="Valid"/>
    <s v="PH"/>
    <x v="1"/>
    <s v="groceris"/>
    <s v="Groceris"/>
    <s v="Rice"/>
    <s v="Rice"/>
    <n v="329.35"/>
    <n v="1"/>
    <n v="1"/>
    <n v="5"/>
    <s v="Valid"/>
    <s v="Transfer"/>
    <s v="Transfer"/>
    <s v="Dan"/>
    <x v="0"/>
    <x v="3"/>
    <n v="3"/>
    <s v="Missing"/>
    <n v="312.88249999999999"/>
  </r>
  <r>
    <s v="T100960"/>
    <s v="2025-05-11"/>
    <s v="C8096"/>
    <s v="Mary"/>
    <s v="Mary"/>
    <s v="Male"/>
    <n v="37"/>
    <s v="Valid"/>
    <s v="lagos"/>
    <x v="0"/>
    <s v="Home"/>
    <s v="Home"/>
    <s v="Chair"/>
    <s v="Chair"/>
    <n v="380.6"/>
    <n v="-2"/>
    <n v="1"/>
    <n v="10"/>
    <s v="Valid"/>
    <s v="Mobile Money"/>
    <s v="Mobile Money"/>
    <s v="Chi"/>
    <x v="1"/>
    <x v="1"/>
    <n v="2"/>
    <s v="ok"/>
    <n v="342.54"/>
  </r>
  <r>
    <s v="T100961"/>
    <s v="2025-05-27"/>
    <s v="C4754"/>
    <s v="David"/>
    <s v="David"/>
    <s v="Female"/>
    <n v="8"/>
    <s v="Invalid"/>
    <s v="Enugu"/>
    <x v="2"/>
    <s v="Groceries"/>
    <s v="Groceries"/>
    <s v="Rice"/>
    <s v="Rice"/>
    <n v="327.17"/>
    <n v="3"/>
    <n v="3"/>
    <n v="15"/>
    <s v="Valid"/>
    <s v="Mobile Money"/>
    <s v="Mobile Money"/>
    <s v="Ben"/>
    <x v="3"/>
    <x v="0"/>
    <m/>
    <s v="ok"/>
    <n v="834.2835"/>
  </r>
  <r>
    <s v="T100962"/>
    <s v="2025-08-03"/>
    <s v="C1617"/>
    <m/>
    <s v=""/>
    <s v="Female"/>
    <n v="8"/>
    <s v="Invalid"/>
    <s v="lagos"/>
    <x v="0"/>
    <s v="Home"/>
    <s v="Home"/>
    <s v="Chair"/>
    <s v="Chair"/>
    <n v="250.67"/>
    <n v="-2"/>
    <n v="1"/>
    <n v="-10"/>
    <s v="invalid"/>
    <s v="POS"/>
    <s v="Pos"/>
    <s v="Chi"/>
    <x v="1"/>
    <x v="2"/>
    <m/>
    <s v="Missing"/>
    <n v="275.73700000000002"/>
  </r>
  <r>
    <s v="T100963"/>
    <s v="2025-06-04"/>
    <s v="C6628"/>
    <m/>
    <s v=""/>
    <s v="Female"/>
    <n v="130"/>
    <s v="Invalid"/>
    <s v="Abuja"/>
    <x v="3"/>
    <s v="groceris"/>
    <s v="Groceris"/>
    <s v="Rice"/>
    <s v="Rice"/>
    <n v="13.18"/>
    <n v="9"/>
    <n v="9"/>
    <n v="-10"/>
    <s v="invalid"/>
    <s v="Transfer"/>
    <s v="Transfer"/>
    <s v="Ben"/>
    <x v="3"/>
    <x v="1"/>
    <n v="4"/>
    <s v="Missing"/>
    <n v="130.48200000000003"/>
  </r>
  <r>
    <s v="T100964"/>
    <s v="2025-12-14"/>
    <s v="C6847"/>
    <s v="Grace"/>
    <s v="Grace"/>
    <s v="Female"/>
    <n v="8"/>
    <s v="Invalid"/>
    <s v="Abuja"/>
    <x v="3"/>
    <s v="Groceries"/>
    <s v="Groceries"/>
    <s v="Rice"/>
    <s v="Rice"/>
    <n v="320.64999999999998"/>
    <n v="-2"/>
    <n v="1"/>
    <n v="120"/>
    <s v="invalid"/>
    <s v="Mobile Money"/>
    <s v="Mobile Money"/>
    <s v="Chi"/>
    <x v="1"/>
    <x v="0"/>
    <n v="3"/>
    <s v="ok"/>
    <n v="-64.129999999999981"/>
  </r>
  <r>
    <s v="T100965"/>
    <s v="2025-04-11"/>
    <s v="C3551"/>
    <s v="Mary"/>
    <s v="Mary"/>
    <s v="Male"/>
    <n v="8"/>
    <s v="Invalid"/>
    <s v="PH"/>
    <x v="1"/>
    <s v="Electronics"/>
    <s v="Electronics"/>
    <s v="Phone"/>
    <s v="Phone"/>
    <n v="254.03"/>
    <n v="-2"/>
    <n v="1"/>
    <n v="10"/>
    <s v="Valid"/>
    <s v="Cash"/>
    <s v="Cash"/>
    <s v="Ada"/>
    <x v="2"/>
    <x v="2"/>
    <n v="5"/>
    <s v="ok"/>
    <n v="228.62700000000001"/>
  </r>
  <r>
    <s v="T100966"/>
    <s v="17/03/2025"/>
    <s v="C7486"/>
    <s v="Aisha"/>
    <s v="Aisha"/>
    <s v="Female"/>
    <n v="8"/>
    <s v="Invalid"/>
    <s v="lagos"/>
    <x v="0"/>
    <s v="Home"/>
    <s v="Home"/>
    <s v="Chair"/>
    <s v="Chair"/>
    <n v="298.57"/>
    <n v="1"/>
    <n v="1"/>
    <n v="15"/>
    <s v="Valid"/>
    <s v="Transfer"/>
    <s v="Transfer"/>
    <s v="Dan"/>
    <x v="0"/>
    <x v="3"/>
    <m/>
    <s v="ok"/>
    <n v="253.78449999999998"/>
  </r>
  <r>
    <s v="T100967"/>
    <s v="2025-03-05"/>
    <s v="C6479"/>
    <s v="  James "/>
    <s v="James"/>
    <s v="Male"/>
    <n v="47"/>
    <s v="Valid"/>
    <s v="Kano"/>
    <x v="4"/>
    <s v="Sports"/>
    <s v="Sports"/>
    <s v="Ball"/>
    <s v="Ball"/>
    <n v="192.44"/>
    <n v="-2"/>
    <n v="1"/>
    <n v="120"/>
    <s v="invalid"/>
    <s v="POS"/>
    <s v="Pos"/>
    <s v="Dan"/>
    <x v="0"/>
    <x v="3"/>
    <m/>
    <s v="ok"/>
    <n v="-38.487999999999992"/>
  </r>
  <r>
    <s v="T100968"/>
    <s v="2025-06-19"/>
    <s v="C4859"/>
    <s v="Grace"/>
    <s v="Grace"/>
    <s v="Female"/>
    <n v="31"/>
    <s v="Valid"/>
    <s v="Abuja"/>
    <x v="3"/>
    <s v="Home"/>
    <s v="Home"/>
    <s v="Chair"/>
    <s v="Chair"/>
    <n v="64.12"/>
    <n v="4"/>
    <n v="4"/>
    <n v="10"/>
    <s v="Valid"/>
    <m/>
    <s v=""/>
    <s v="Ada"/>
    <x v="2"/>
    <x v="3"/>
    <n v="5"/>
    <s v="ok"/>
    <n v="230.83200000000002"/>
  </r>
  <r>
    <s v="T100969"/>
    <s v="2025-01-22"/>
    <s v="C8770"/>
    <m/>
    <s v=""/>
    <s v="Female"/>
    <n v="26"/>
    <s v="Valid"/>
    <s v="lagos"/>
    <x v="0"/>
    <s v="Electronics"/>
    <s v="Electronics"/>
    <s v="Phone"/>
    <s v="Phone"/>
    <n v="247"/>
    <n v="8"/>
    <n v="8"/>
    <n v="5"/>
    <s v="Valid"/>
    <m/>
    <s v=""/>
    <s v="Ada"/>
    <x v="2"/>
    <x v="1"/>
    <n v="1"/>
    <s v="Missing"/>
    <n v="1877.1999999999998"/>
  </r>
  <r>
    <s v="T100970"/>
    <s v="2026-03-22"/>
    <s v="C9923"/>
    <m/>
    <s v=""/>
    <s v="Female"/>
    <n v="130"/>
    <s v="Invalid"/>
    <s v="PH"/>
    <x v="1"/>
    <s v="Electronics"/>
    <s v="Electronics"/>
    <s v="Phone"/>
    <s v="Phone"/>
    <n v="277.22000000000003"/>
    <n v="5"/>
    <n v="5"/>
    <n v="10"/>
    <s v="Valid"/>
    <m/>
    <s v=""/>
    <s v="Chi"/>
    <x v="1"/>
    <x v="1"/>
    <n v="1"/>
    <s v="Missing"/>
    <n v="1247.4900000000002"/>
  </r>
  <r>
    <s v="T100971"/>
    <s v="2025-09-30"/>
    <s v="C7439"/>
    <s v="David"/>
    <s v="David"/>
    <s v="Female"/>
    <n v="8"/>
    <s v="Invalid"/>
    <s v="Abuja"/>
    <x v="3"/>
    <s v="Home"/>
    <s v="Home"/>
    <s v="Chair"/>
    <s v="Chair"/>
    <n v="126.77"/>
    <n v="-2"/>
    <n v="1"/>
    <n v="10"/>
    <s v="Valid"/>
    <s v="Cash"/>
    <s v="Cash"/>
    <s v="Ada"/>
    <x v="2"/>
    <x v="2"/>
    <n v="1"/>
    <s v="ok"/>
    <n v="114.093"/>
  </r>
  <r>
    <s v="T100972"/>
    <s v="2026-04-05"/>
    <s v="C5367"/>
    <m/>
    <s v=""/>
    <s v="Male"/>
    <n v="51"/>
    <s v="Valid"/>
    <s v="lagos"/>
    <x v="0"/>
    <s v="Home"/>
    <s v="Home"/>
    <s v="Chair"/>
    <s v="Chair"/>
    <n v="26.66"/>
    <n v="9"/>
    <n v="9"/>
    <n v="-10"/>
    <s v="invalid"/>
    <m/>
    <s v=""/>
    <s v="Dan"/>
    <x v="0"/>
    <x v="0"/>
    <n v="2"/>
    <s v="Missing"/>
    <n v="263.93400000000003"/>
  </r>
  <r>
    <s v="T100973"/>
    <s v="12/02/2026"/>
    <s v="C1226"/>
    <s v="  James "/>
    <s v="James"/>
    <s v="Male"/>
    <n v="8"/>
    <s v="Invalid"/>
    <s v="Abuja"/>
    <x v="3"/>
    <s v="Home"/>
    <s v="Home"/>
    <s v="Chair"/>
    <s v="Chair"/>
    <n v="493.54"/>
    <n v="-2"/>
    <n v="1"/>
    <n v="10"/>
    <s v="Valid"/>
    <s v="POS"/>
    <s v="Pos"/>
    <s v="Ben"/>
    <x v="3"/>
    <x v="1"/>
    <n v="1"/>
    <s v="ok"/>
    <n v="444.18600000000004"/>
  </r>
  <r>
    <s v="T100974"/>
    <s v="2026-06-06"/>
    <s v="C7715"/>
    <s v="Mary"/>
    <s v="Mary"/>
    <s v="Female"/>
    <n v="130"/>
    <s v="Invalid"/>
    <s v="Abuja"/>
    <x v="3"/>
    <s v="groceris"/>
    <s v="Groceris"/>
    <s v="Rice"/>
    <s v="Rice"/>
    <n v="311.13"/>
    <n v="9"/>
    <n v="9"/>
    <n v="0"/>
    <s v="Valid"/>
    <m/>
    <s v=""/>
    <s v="Dan"/>
    <x v="0"/>
    <x v="1"/>
    <n v="5"/>
    <s v="ok"/>
    <n v="2800.17"/>
  </r>
  <r>
    <s v="T100975"/>
    <s v="2026-06-18"/>
    <s v="C9047"/>
    <s v="Grace"/>
    <s v="Grace"/>
    <s v="Female"/>
    <n v="63"/>
    <s v="Valid"/>
    <s v="Abuja"/>
    <x v="3"/>
    <s v="groceris"/>
    <s v="Groceris"/>
    <s v="Rice"/>
    <s v="Rice"/>
    <n v="280.83"/>
    <n v="-2"/>
    <n v="1"/>
    <n v="-10"/>
    <s v="invalid"/>
    <s v="Cash"/>
    <s v="Cash"/>
    <s v="Ada"/>
    <x v="2"/>
    <x v="1"/>
    <n v="3"/>
    <s v="ok"/>
    <n v="308.91300000000001"/>
  </r>
  <r>
    <s v="T100976"/>
    <s v="2025-03-21"/>
    <s v="C1201"/>
    <m/>
    <s v=""/>
    <s v="Male"/>
    <n v="31"/>
    <s v="Valid"/>
    <s v="lagos"/>
    <x v="0"/>
    <s v="Sports"/>
    <s v="Sports"/>
    <s v="Ball"/>
    <s v="Ball"/>
    <n v="210.05"/>
    <n v="-2"/>
    <n v="1"/>
    <n v="120"/>
    <s v="invalid"/>
    <m/>
    <s v=""/>
    <s v="Ada"/>
    <x v="2"/>
    <x v="3"/>
    <n v="3"/>
    <s v="Missing"/>
    <n v="-42.009999999999991"/>
  </r>
  <r>
    <s v="T100977"/>
    <s v="2025-09-02"/>
    <s v="C8263"/>
    <s v="David"/>
    <s v="David"/>
    <s v="Female"/>
    <n v="130"/>
    <s v="Invalid"/>
    <s v="lagos"/>
    <x v="0"/>
    <s v="Electronics"/>
    <s v="Electronics"/>
    <s v="Phone"/>
    <s v="Phone"/>
    <n v="231.23"/>
    <n v="6"/>
    <n v="6"/>
    <n v="15"/>
    <s v="Valid"/>
    <s v="POS"/>
    <s v="Pos"/>
    <s v="Chi"/>
    <x v="1"/>
    <x v="2"/>
    <n v="4"/>
    <s v="ok"/>
    <n v="1179.2729999999999"/>
  </r>
  <r>
    <s v="T100978"/>
    <s v="2025-03-13"/>
    <s v="C9986"/>
    <m/>
    <s v=""/>
    <s v="Female"/>
    <n v="130"/>
    <s v="Invalid"/>
    <s v="Kano"/>
    <x v="4"/>
    <s v="Home"/>
    <s v="Home"/>
    <s v="Chair"/>
    <s v="Chair"/>
    <n v="91.98"/>
    <n v="1"/>
    <n v="1"/>
    <n v="5"/>
    <s v="Valid"/>
    <s v="Mobile Money"/>
    <s v="Mobile Money"/>
    <s v="Ben"/>
    <x v="3"/>
    <x v="2"/>
    <n v="3"/>
    <s v="Missing"/>
    <n v="87.381"/>
  </r>
  <r>
    <s v="T100979"/>
    <s v="2025-05-20"/>
    <s v="C5336"/>
    <s v="  James "/>
    <s v="James"/>
    <s v="Female"/>
    <n v="65"/>
    <s v="Invalid"/>
    <s v="Abuja"/>
    <x v="3"/>
    <s v="Beauty"/>
    <s v="Beauty"/>
    <s v="Cream"/>
    <s v="Cream"/>
    <n v="80.73"/>
    <n v="-2"/>
    <n v="1"/>
    <n v="10"/>
    <s v="Valid"/>
    <s v="Transfer"/>
    <s v="Transfer"/>
    <s v="Dan"/>
    <x v="0"/>
    <x v="1"/>
    <n v="3"/>
    <s v="ok"/>
    <n v="72.657000000000011"/>
  </r>
  <r>
    <s v="T100980"/>
    <s v="14/02/2026"/>
    <s v="C5348"/>
    <s v="David"/>
    <s v="David"/>
    <s v="Male"/>
    <n v="130"/>
    <s v="Invalid"/>
    <s v="Enugu"/>
    <x v="2"/>
    <s v="Home"/>
    <s v="Home"/>
    <s v="Chair"/>
    <s v="Chair"/>
    <n v="232.36"/>
    <n v="6"/>
    <n v="6"/>
    <n v="10"/>
    <s v="Valid"/>
    <s v="POS"/>
    <s v="Pos"/>
    <s v="Ada"/>
    <x v="2"/>
    <x v="3"/>
    <n v="5"/>
    <s v="ok"/>
    <n v="1254.7440000000001"/>
  </r>
  <r>
    <s v="T100981"/>
    <s v="2026-06-17"/>
    <s v="C6545"/>
    <s v="Mary"/>
    <s v="Mary"/>
    <s v="Male"/>
    <n v="24"/>
    <s v="Valid"/>
    <s v="lagos"/>
    <x v="0"/>
    <s v="Fashion"/>
    <s v="Fashion"/>
    <s v="Shirt"/>
    <s v="Shirt"/>
    <n v="140.35"/>
    <n v="-2"/>
    <n v="1"/>
    <n v="120"/>
    <s v="invalid"/>
    <s v="Transfer"/>
    <s v="Transfer"/>
    <s v="Chi"/>
    <x v="1"/>
    <x v="1"/>
    <n v="2"/>
    <s v="ok"/>
    <n v="-28.069999999999993"/>
  </r>
  <r>
    <s v="T100982"/>
    <s v="2026-06-22"/>
    <s v="C4555"/>
    <m/>
    <s v=""/>
    <s v="Male"/>
    <n v="42"/>
    <s v="Valid"/>
    <s v="Abuja"/>
    <x v="3"/>
    <s v="Electronics"/>
    <s v="Electronics"/>
    <s v="Phone"/>
    <s v="Phone"/>
    <n v="450.02"/>
    <n v="1"/>
    <n v="1"/>
    <n v="15"/>
    <s v="Valid"/>
    <s v="Mobile Money"/>
    <s v="Mobile Money"/>
    <s v="Ben"/>
    <x v="3"/>
    <x v="2"/>
    <n v="4"/>
    <s v="Missing"/>
    <n v="382.517"/>
  </r>
  <r>
    <s v="T100983"/>
    <s v="2026-01-25"/>
    <s v="C1627"/>
    <s v="Peter"/>
    <s v="Peter"/>
    <s v="Male"/>
    <n v="130"/>
    <s v="Invalid"/>
    <s v="lagos"/>
    <x v="0"/>
    <s v="Beauty"/>
    <s v="Beauty"/>
    <s v="Cream"/>
    <s v="Cream"/>
    <n v="301.79000000000002"/>
    <n v="2"/>
    <n v="2"/>
    <n v="5"/>
    <s v="Valid"/>
    <m/>
    <s v=""/>
    <s v="Dan"/>
    <x v="0"/>
    <x v="1"/>
    <n v="2"/>
    <s v="ok"/>
    <n v="573.40100000000007"/>
  </r>
  <r>
    <s v="T100984"/>
    <s v="2026-05-28"/>
    <s v="C1662"/>
    <s v="John"/>
    <s v="John"/>
    <s v="Female"/>
    <n v="35"/>
    <s v="Valid"/>
    <s v="lagos"/>
    <x v="0"/>
    <s v="Fashion"/>
    <s v="Fashion"/>
    <s v="Shirt"/>
    <s v="Shirt"/>
    <n v="109.08"/>
    <n v="-2"/>
    <n v="1"/>
    <n v="10"/>
    <s v="Valid"/>
    <s v="POS"/>
    <s v="Pos"/>
    <s v="Dan"/>
    <x v="0"/>
    <x v="0"/>
    <n v="2"/>
    <s v="ok"/>
    <n v="98.171999999999997"/>
  </r>
  <r>
    <s v="T100985"/>
    <s v="2025-05-31"/>
    <s v="C2607"/>
    <s v="Peter"/>
    <s v="Peter"/>
    <s v="Female"/>
    <n v="8"/>
    <s v="Invalid"/>
    <s v="Enugu"/>
    <x v="2"/>
    <s v="Groceries"/>
    <s v="Groceries"/>
    <s v="Rice"/>
    <s v="Rice"/>
    <n v="415.23"/>
    <n v="10"/>
    <n v="10"/>
    <n v="120"/>
    <s v="invalid"/>
    <s v="POS"/>
    <s v="Pos"/>
    <s v="Ben"/>
    <x v="3"/>
    <x v="2"/>
    <m/>
    <s v="ok"/>
    <n v="-830.45999999999981"/>
  </r>
  <r>
    <s v="T100986"/>
    <s v="2026-03-29"/>
    <s v="C9749"/>
    <s v="David"/>
    <s v="David"/>
    <s v="Female"/>
    <n v="8"/>
    <s v="Invalid"/>
    <s v="lagos"/>
    <x v="0"/>
    <s v="Electronics"/>
    <s v="Electronics"/>
    <s v="Phone"/>
    <s v="Phone"/>
    <n v="18.010000000000002"/>
    <n v="-2"/>
    <n v="1"/>
    <n v="120"/>
    <s v="invalid"/>
    <m/>
    <s v=""/>
    <s v="Ada"/>
    <x v="2"/>
    <x v="1"/>
    <n v="2"/>
    <s v="ok"/>
    <n v="-3.6019999999999994"/>
  </r>
  <r>
    <s v="T100987"/>
    <s v="17/05/2026"/>
    <s v="C9020"/>
    <s v="Mary"/>
    <s v="Mary"/>
    <s v="Female"/>
    <n v="62"/>
    <s v="Valid"/>
    <s v="lagos"/>
    <x v="0"/>
    <s v="groceris"/>
    <s v="Groceris"/>
    <s v="Rice"/>
    <s v="Rice"/>
    <n v="308.10000000000002"/>
    <n v="-2"/>
    <n v="1"/>
    <n v="0"/>
    <s v="Valid"/>
    <s v="Transfer"/>
    <s v="Transfer"/>
    <s v="Ada"/>
    <x v="2"/>
    <x v="2"/>
    <n v="1"/>
    <s v="ok"/>
    <n v="308.10000000000002"/>
  </r>
  <r>
    <s v="T100988"/>
    <s v="2025-06-17"/>
    <s v="C4403"/>
    <s v="Grace"/>
    <s v="Grace"/>
    <s v="Female"/>
    <n v="58"/>
    <s v="Valid"/>
    <s v="PH"/>
    <x v="1"/>
    <s v="Fashion"/>
    <s v="Fashion"/>
    <s v="Shirt"/>
    <s v="Shirt"/>
    <n v="188.6"/>
    <n v="-2"/>
    <n v="1"/>
    <n v="15"/>
    <s v="Valid"/>
    <m/>
    <s v=""/>
    <s v="Dan"/>
    <x v="0"/>
    <x v="1"/>
    <m/>
    <s v="ok"/>
    <n v="160.31"/>
  </r>
  <r>
    <s v="T100989"/>
    <s v="2025-08-14"/>
    <s v="C8674"/>
    <m/>
    <s v=""/>
    <s v="Female"/>
    <n v="130"/>
    <s v="Invalid"/>
    <s v="lagos"/>
    <x v="0"/>
    <s v="Groceries"/>
    <s v="Groceries"/>
    <s v="Rice"/>
    <s v="Rice"/>
    <n v="151.21"/>
    <n v="-2"/>
    <n v="1"/>
    <n v="120"/>
    <s v="invalid"/>
    <s v="POS"/>
    <s v="Pos"/>
    <s v="Ben"/>
    <x v="3"/>
    <x v="1"/>
    <m/>
    <s v="Missing"/>
    <n v="-30.241999999999994"/>
  </r>
  <r>
    <s v="T100990"/>
    <s v="2026-01-13"/>
    <s v="C8818"/>
    <s v="David"/>
    <s v="David"/>
    <s v="Male"/>
    <n v="8"/>
    <s v="Invalid"/>
    <s v="lagos"/>
    <x v="0"/>
    <s v="Home"/>
    <s v="Home"/>
    <s v="Chair"/>
    <s v="Chair"/>
    <n v="314.22000000000003"/>
    <n v="-2"/>
    <n v="1"/>
    <n v="15"/>
    <s v="Valid"/>
    <s v="Transfer"/>
    <s v="Transfer"/>
    <s v="Ben"/>
    <x v="3"/>
    <x v="3"/>
    <n v="3"/>
    <s v="ok"/>
    <n v="267.08699999999999"/>
  </r>
  <r>
    <s v="T100991"/>
    <s v="2025-10-13"/>
    <s v="C4726"/>
    <s v="  James "/>
    <s v="James"/>
    <s v="Male"/>
    <n v="130"/>
    <s v="Invalid"/>
    <s v="lagos"/>
    <x v="0"/>
    <s v="Beauty"/>
    <s v="Beauty"/>
    <s v="Cream"/>
    <s v="Cream"/>
    <n v="379.51"/>
    <n v="-2"/>
    <n v="1"/>
    <n v="5"/>
    <s v="Valid"/>
    <m/>
    <s v=""/>
    <s v="Ben"/>
    <x v="3"/>
    <x v="1"/>
    <n v="1"/>
    <s v="ok"/>
    <n v="360.53449999999998"/>
  </r>
  <r>
    <s v="T100992"/>
    <s v="2025-06-01"/>
    <s v="C5993"/>
    <s v="David"/>
    <s v="David"/>
    <s v="Male"/>
    <n v="8"/>
    <s v="Invalid"/>
    <s v="Enugu"/>
    <x v="2"/>
    <s v="Sports"/>
    <s v="Sports"/>
    <s v="Ball"/>
    <s v="Ball"/>
    <n v="361.43"/>
    <n v="-2"/>
    <n v="1"/>
    <n v="10"/>
    <s v="Valid"/>
    <m/>
    <s v=""/>
    <s v="Dan"/>
    <x v="0"/>
    <x v="2"/>
    <n v="1"/>
    <s v="ok"/>
    <n v="325.28700000000003"/>
  </r>
  <r>
    <s v="T100993"/>
    <s v="2026-03-18"/>
    <s v="C1525"/>
    <s v="Peter"/>
    <s v="Peter"/>
    <s v="Female"/>
    <n v="130"/>
    <s v="Invalid"/>
    <s v="Abuja"/>
    <x v="3"/>
    <s v="Home"/>
    <s v="Home"/>
    <s v="Chair"/>
    <s v="Chair"/>
    <n v="217.9"/>
    <n v="6"/>
    <n v="6"/>
    <n v="10"/>
    <s v="Valid"/>
    <s v="POS"/>
    <s v="Pos"/>
    <s v="Chi"/>
    <x v="1"/>
    <x v="2"/>
    <n v="3"/>
    <s v="ok"/>
    <n v="1176.6600000000001"/>
  </r>
  <r>
    <s v="T100994"/>
    <s v="05/06/2025"/>
    <s v="C7370"/>
    <m/>
    <s v=""/>
    <s v="Female"/>
    <n v="8"/>
    <s v="Invalid"/>
    <s v="Enugu"/>
    <x v="2"/>
    <s v="Sports"/>
    <s v="Sports"/>
    <s v="Ball"/>
    <s v="Ball"/>
    <n v="55.22"/>
    <n v="5"/>
    <n v="5"/>
    <n v="0"/>
    <s v="Valid"/>
    <s v="Mobile Money"/>
    <s v="Mobile Money"/>
    <s v="Ada"/>
    <x v="2"/>
    <x v="2"/>
    <m/>
    <s v="Missing"/>
    <n v="276.10000000000002"/>
  </r>
  <r>
    <s v="T100995"/>
    <s v="2026-03-04"/>
    <s v="C2323"/>
    <s v="Grace"/>
    <s v="Grace"/>
    <s v="Female"/>
    <n v="130"/>
    <s v="Invalid"/>
    <s v="Kano"/>
    <x v="4"/>
    <s v="Fashion"/>
    <s v="Fashion"/>
    <s v="Shirt"/>
    <s v="Shirt"/>
    <n v="25.5"/>
    <n v="3"/>
    <n v="3"/>
    <n v="15"/>
    <s v="Valid"/>
    <m/>
    <s v=""/>
    <s v="Ada"/>
    <x v="2"/>
    <x v="3"/>
    <n v="1"/>
    <s v="ok"/>
    <n v="65.024999999999991"/>
  </r>
  <r>
    <s v="T100996"/>
    <s v="2026-06-22"/>
    <s v="C1038"/>
    <s v="Mary"/>
    <s v="Mary"/>
    <s v="Female"/>
    <n v="8"/>
    <s v="Invalid"/>
    <s v="Kano"/>
    <x v="4"/>
    <s v="Electronics"/>
    <s v="Electronics"/>
    <s v="Phone"/>
    <s v="Phone"/>
    <n v="394.43"/>
    <n v="6"/>
    <n v="6"/>
    <n v="5"/>
    <s v="Valid"/>
    <s v="Transfer"/>
    <s v="Transfer"/>
    <s v="Ada"/>
    <x v="2"/>
    <x v="0"/>
    <n v="2"/>
    <s v="ok"/>
    <n v="2248.2509999999997"/>
  </r>
  <r>
    <s v="T100997"/>
    <s v="2025-01-31"/>
    <s v="C3527"/>
    <s v="John"/>
    <s v="John"/>
    <s v="Male"/>
    <n v="130"/>
    <s v="Invalid"/>
    <s v="Kano"/>
    <x v="4"/>
    <s v="Home"/>
    <s v="Home"/>
    <s v="Chair"/>
    <s v="Chair"/>
    <n v="142.35"/>
    <n v="-2"/>
    <n v="1"/>
    <n v="0"/>
    <s v="Valid"/>
    <s v="POS"/>
    <s v="Pos"/>
    <s v="Chi"/>
    <x v="1"/>
    <x v="3"/>
    <n v="1"/>
    <s v="ok"/>
    <n v="142.35"/>
  </r>
  <r>
    <s v="T100998"/>
    <s v="2025-12-18"/>
    <s v="C2159"/>
    <s v="Grace"/>
    <s v="Grace"/>
    <s v="Male"/>
    <n v="8"/>
    <s v="Invalid"/>
    <s v="Kano"/>
    <x v="4"/>
    <s v="Beauty"/>
    <s v="Beauty"/>
    <s v="Cream"/>
    <s v="Cream"/>
    <n v="379.82"/>
    <n v="-2"/>
    <n v="1"/>
    <n v="0"/>
    <s v="Valid"/>
    <s v="Mobile Money"/>
    <s v="Mobile Money"/>
    <s v="Chi"/>
    <x v="1"/>
    <x v="3"/>
    <n v="5"/>
    <s v="ok"/>
    <n v="379.82"/>
  </r>
  <r>
    <s v="T100999"/>
    <s v="2025-01-16"/>
    <s v="C5369"/>
    <s v="Aisha"/>
    <s v="Aisha"/>
    <s v="Male"/>
    <n v="130"/>
    <s v="Invalid"/>
    <s v="lagos"/>
    <x v="0"/>
    <s v="Electronics"/>
    <s v="Electronics"/>
    <s v="Phone"/>
    <s v="Phone"/>
    <n v="138.75"/>
    <n v="8"/>
    <n v="8"/>
    <n v="15"/>
    <s v="Valid"/>
    <s v="POS"/>
    <s v="Pos"/>
    <s v="Dan"/>
    <x v="0"/>
    <x v="3"/>
    <n v="5"/>
    <s v="ok"/>
    <n v="943.5"/>
  </r>
  <r>
    <s v="T101001"/>
    <s v="19/11/2025"/>
    <s v="C6736"/>
    <m/>
    <s v=""/>
    <s v="Female"/>
    <n v="130"/>
    <s v="Invalid"/>
    <s v="lagos"/>
    <x v="0"/>
    <s v="Beauty"/>
    <s v="Beauty"/>
    <s v="Cream"/>
    <s v="Cream"/>
    <n v="328.25"/>
    <n v="-2"/>
    <n v="1"/>
    <n v="10"/>
    <s v="Valid"/>
    <s v="Mobile Money"/>
    <s v="Mobile Money"/>
    <s v="Dan"/>
    <x v="0"/>
    <x v="0"/>
    <m/>
    <s v="Missing"/>
    <n v="295.42500000000001"/>
  </r>
  <r>
    <s v="T101002"/>
    <s v="2026-05-17"/>
    <s v="C7359"/>
    <s v="Grace"/>
    <s v="Grace"/>
    <s v="Female"/>
    <n v="47"/>
    <s v="Valid"/>
    <s v="Kano"/>
    <x v="4"/>
    <s v="Sports"/>
    <s v="Sports"/>
    <s v="Ball"/>
    <s v="Ball"/>
    <n v="477.17"/>
    <n v="-2"/>
    <n v="1"/>
    <n v="120"/>
    <s v="invalid"/>
    <s v="Cash"/>
    <s v="Cash"/>
    <s v="Ada"/>
    <x v="2"/>
    <x v="0"/>
    <n v="1"/>
    <s v="ok"/>
    <n v="-95.433999999999983"/>
  </r>
  <r>
    <s v="T101003"/>
    <s v="2025-10-03"/>
    <s v="C6133"/>
    <s v="Aisha"/>
    <s v="Aisha"/>
    <s v="Male"/>
    <n v="44"/>
    <s v="Valid"/>
    <s v="lagos"/>
    <x v="0"/>
    <s v="Home"/>
    <s v="Home"/>
    <s v="Chair"/>
    <s v="Chair"/>
    <n v="428.16"/>
    <n v="-2"/>
    <n v="1"/>
    <n v="5"/>
    <s v="Valid"/>
    <s v="POS"/>
    <s v="Pos"/>
    <s v="Ada"/>
    <x v="2"/>
    <x v="0"/>
    <m/>
    <s v="ok"/>
    <n v="406.75200000000001"/>
  </r>
  <r>
    <s v="T101004"/>
    <s v="2026-01-01"/>
    <s v="C3196"/>
    <s v="Grace"/>
    <s v="Grace"/>
    <s v="Male"/>
    <n v="62"/>
    <s v="Valid"/>
    <s v="Enugu"/>
    <x v="2"/>
    <s v="Fashion"/>
    <s v="Fashion"/>
    <s v="Shirt"/>
    <s v="Shirt"/>
    <n v="184.06"/>
    <n v="6"/>
    <n v="6"/>
    <n v="10"/>
    <s v="Valid"/>
    <m/>
    <s v=""/>
    <s v="Ben"/>
    <x v="3"/>
    <x v="0"/>
    <n v="1"/>
    <s v="ok"/>
    <n v="993.92400000000009"/>
  </r>
  <r>
    <s v="T101005"/>
    <s v="2026-02-20"/>
    <s v="C3161"/>
    <s v="Peter"/>
    <s v="Peter"/>
    <s v="Female"/>
    <n v="130"/>
    <s v="Invalid"/>
    <s v="lagos"/>
    <x v="0"/>
    <s v="Sports"/>
    <s v="Sports"/>
    <s v="Ball"/>
    <s v="Ball"/>
    <n v="287.85000000000002"/>
    <n v="-2"/>
    <n v="1"/>
    <n v="0"/>
    <s v="Valid"/>
    <s v="Cash"/>
    <s v="Cash"/>
    <s v="Chi"/>
    <x v="1"/>
    <x v="3"/>
    <n v="3"/>
    <s v="ok"/>
    <n v="287.85000000000002"/>
  </r>
  <r>
    <s v="T101006"/>
    <s v="2025-05-08"/>
    <s v="C1578"/>
    <s v="David"/>
    <s v="David"/>
    <s v="Male"/>
    <n v="56"/>
    <s v="Valid"/>
    <s v="PH"/>
    <x v="1"/>
    <s v="Beauty"/>
    <s v="Beauty"/>
    <s v="Cream"/>
    <s v="Cream"/>
    <n v="422.52"/>
    <n v="9"/>
    <n v="9"/>
    <n v="-10"/>
    <s v="invalid"/>
    <s v="Cash"/>
    <s v="Cash"/>
    <s v="Ben"/>
    <x v="3"/>
    <x v="3"/>
    <n v="4"/>
    <s v="ok"/>
    <n v="4182.9480000000003"/>
  </r>
  <r>
    <s v="T101007"/>
    <s v="2025-09-04"/>
    <s v="C1748"/>
    <s v="  James "/>
    <s v="James"/>
    <s v="Male"/>
    <n v="42"/>
    <s v="Valid"/>
    <s v="Abuja"/>
    <x v="3"/>
    <s v="Home"/>
    <s v="Home"/>
    <s v="Chair"/>
    <s v="Chair"/>
    <n v="481"/>
    <n v="5"/>
    <n v="5"/>
    <n v="-10"/>
    <s v="invalid"/>
    <s v="Transfer"/>
    <s v="Transfer"/>
    <s v="Ada"/>
    <x v="2"/>
    <x v="1"/>
    <m/>
    <s v="ok"/>
    <n v="2645.5"/>
  </r>
  <r>
    <s v="T101008"/>
    <s v="21/04/2025"/>
    <s v="C1358"/>
    <s v="Aisha"/>
    <s v="Aisha"/>
    <s v="Male"/>
    <n v="20"/>
    <s v="Valid"/>
    <s v="Enugu"/>
    <x v="2"/>
    <s v="Electronics"/>
    <s v="Electronics"/>
    <s v="Phone"/>
    <s v="Phone"/>
    <n v="395.06"/>
    <n v="10"/>
    <n v="10"/>
    <n v="10"/>
    <s v="Valid"/>
    <s v="Mobile Money"/>
    <s v="Mobile Money"/>
    <s v="Ben"/>
    <x v="3"/>
    <x v="0"/>
    <n v="5"/>
    <s v="ok"/>
    <n v="3555.54"/>
  </r>
  <r>
    <s v="T101009"/>
    <s v="2025-11-01"/>
    <s v="C4486"/>
    <s v="Grace"/>
    <s v="Grace"/>
    <s v="Female"/>
    <n v="8"/>
    <s v="Invalid"/>
    <s v="lagos"/>
    <x v="0"/>
    <s v="groceris"/>
    <s v="Groceris"/>
    <s v="Rice"/>
    <s v="Rice"/>
    <n v="154.25"/>
    <n v="7"/>
    <n v="7"/>
    <n v="15"/>
    <s v="Valid"/>
    <s v="Cash"/>
    <s v="Cash"/>
    <s v="Dan"/>
    <x v="0"/>
    <x v="1"/>
    <m/>
    <s v="ok"/>
    <n v="917.78750000000002"/>
  </r>
  <r>
    <s v="T101010"/>
    <s v="2026-02-19"/>
    <s v="C8576"/>
    <s v="Aisha"/>
    <s v="Aisha"/>
    <s v="Male"/>
    <n v="8"/>
    <s v="Invalid"/>
    <s v="lagos"/>
    <x v="0"/>
    <s v="Sports"/>
    <s v="Sports"/>
    <s v="Ball"/>
    <s v="Ball"/>
    <n v="69.010000000000005"/>
    <n v="-2"/>
    <n v="1"/>
    <n v="-10"/>
    <s v="invalid"/>
    <s v="Cash"/>
    <s v="Cash"/>
    <s v="Ada"/>
    <x v="2"/>
    <x v="2"/>
    <n v="1"/>
    <s v="ok"/>
    <n v="75.911000000000016"/>
  </r>
  <r>
    <s v="T101011"/>
    <s v="2025-02-08"/>
    <s v="C1525"/>
    <s v="Peter"/>
    <s v="Peter"/>
    <s v="Female"/>
    <n v="8"/>
    <s v="Invalid"/>
    <s v="Kano"/>
    <x v="4"/>
    <s v="groceris"/>
    <s v="Groceris"/>
    <s v="Rice"/>
    <s v="Rice"/>
    <n v="60.96"/>
    <n v="9"/>
    <n v="9"/>
    <n v="120"/>
    <s v="invalid"/>
    <s v="Mobile Money"/>
    <s v="Mobile Money"/>
    <s v="Ben"/>
    <x v="3"/>
    <x v="2"/>
    <m/>
    <s v="ok"/>
    <n v="-109.72799999999997"/>
  </r>
  <r>
    <s v="T101012"/>
    <s v="2025-05-05"/>
    <s v="C7272"/>
    <s v="Aisha"/>
    <s v="Aisha"/>
    <s v="Female"/>
    <n v="8"/>
    <s v="Invalid"/>
    <s v="Enugu"/>
    <x v="2"/>
    <s v="Beauty"/>
    <s v="Beauty"/>
    <s v="Cream"/>
    <s v="Cream"/>
    <n v="260.16000000000003"/>
    <n v="-2"/>
    <n v="1"/>
    <n v="15"/>
    <s v="Valid"/>
    <s v="Cash"/>
    <s v="Cash"/>
    <s v="Chi"/>
    <x v="1"/>
    <x v="1"/>
    <n v="3"/>
    <s v="ok"/>
    <n v="221.13600000000002"/>
  </r>
  <r>
    <s v="T101013"/>
    <s v="2026-03-16"/>
    <s v="C8372"/>
    <s v="  James "/>
    <s v="James"/>
    <s v="Male"/>
    <n v="8"/>
    <s v="Invalid"/>
    <s v="Kano"/>
    <x v="4"/>
    <s v="Groceries"/>
    <s v="Groceries"/>
    <s v="Rice"/>
    <s v="Rice"/>
    <n v="475.19"/>
    <n v="-2"/>
    <n v="1"/>
    <n v="120"/>
    <s v="invalid"/>
    <s v="Mobile Money"/>
    <s v="Mobile Money"/>
    <s v="Chi"/>
    <x v="1"/>
    <x v="2"/>
    <m/>
    <s v="ok"/>
    <n v="-95.037999999999982"/>
  </r>
  <r>
    <s v="T101014"/>
    <s v="2025-11-28"/>
    <s v="C8780"/>
    <s v="David"/>
    <s v="David"/>
    <s v="Male"/>
    <n v="8"/>
    <s v="Invalid"/>
    <s v="PH"/>
    <x v="1"/>
    <s v="Beauty"/>
    <s v="Beauty"/>
    <s v="Cream"/>
    <s v="Cream"/>
    <n v="497.16"/>
    <n v="1"/>
    <n v="1"/>
    <n v="120"/>
    <s v="invalid"/>
    <s v="Cash"/>
    <s v="Cash"/>
    <s v="Ben"/>
    <x v="3"/>
    <x v="0"/>
    <n v="1"/>
    <s v="ok"/>
    <n v="-99.431999999999988"/>
  </r>
  <r>
    <s v="T101015"/>
    <s v="24/03/2025"/>
    <s v="C7017"/>
    <s v="Aisha"/>
    <s v="Aisha"/>
    <s v="Female"/>
    <n v="8"/>
    <s v="Invalid"/>
    <s v="Enugu"/>
    <x v="2"/>
    <s v="Electronics"/>
    <s v="Electronics"/>
    <s v="Phone"/>
    <s v="Phone"/>
    <n v="277.98"/>
    <n v="5"/>
    <n v="5"/>
    <n v="5"/>
    <s v="Valid"/>
    <s v="Cash"/>
    <s v="Cash"/>
    <s v="Ben"/>
    <x v="3"/>
    <x v="3"/>
    <n v="4"/>
    <s v="ok"/>
    <n v="1320.405"/>
  </r>
  <r>
    <s v="T101016"/>
    <s v="2025-02-20"/>
    <s v="C8311"/>
    <s v="Grace"/>
    <s v="Grace"/>
    <s v="Female"/>
    <n v="130"/>
    <s v="Invalid"/>
    <s v="lagos"/>
    <x v="0"/>
    <s v="Groceries"/>
    <s v="Groceries"/>
    <s v="Rice"/>
    <s v="Rice"/>
    <n v="289.17"/>
    <n v="2"/>
    <n v="2"/>
    <n v="-10"/>
    <s v="invalid"/>
    <s v="Cash"/>
    <s v="Cash"/>
    <s v="Dan"/>
    <x v="0"/>
    <x v="0"/>
    <n v="2"/>
    <s v="ok"/>
    <n v="636.17400000000009"/>
  </r>
  <r>
    <s v="T101017"/>
    <s v="2025-02-06"/>
    <s v="C7841"/>
    <s v="Mary"/>
    <s v="Mary"/>
    <s v="Male"/>
    <n v="130"/>
    <s v="Invalid"/>
    <s v="lagos"/>
    <x v="0"/>
    <s v="Sports"/>
    <s v="Sports"/>
    <s v="Ball"/>
    <s v="Ball"/>
    <n v="272.14999999999998"/>
    <n v="-2"/>
    <n v="1"/>
    <n v="15"/>
    <s v="Valid"/>
    <s v="Mobile Money"/>
    <s v="Mobile Money"/>
    <s v="Ada"/>
    <x v="2"/>
    <x v="0"/>
    <n v="4"/>
    <s v="ok"/>
    <n v="231.32749999999999"/>
  </r>
  <r>
    <s v="T101018"/>
    <s v="2025-03-25"/>
    <s v="C8524"/>
    <s v="Mary"/>
    <s v="Mary"/>
    <s v="Female"/>
    <n v="130"/>
    <s v="Invalid"/>
    <s v="Enugu"/>
    <x v="2"/>
    <s v="Sports"/>
    <s v="Sports"/>
    <s v="Ball"/>
    <s v="Ball"/>
    <n v="15"/>
    <n v="-2"/>
    <n v="1"/>
    <n v="120"/>
    <s v="invalid"/>
    <s v="Transfer"/>
    <s v="Transfer"/>
    <s v="Dan"/>
    <x v="0"/>
    <x v="0"/>
    <n v="1"/>
    <s v="ok"/>
    <n v="-2.9999999999999991"/>
  </r>
  <r>
    <s v="T101019"/>
    <s v="2025-07-10"/>
    <s v="C6216"/>
    <s v="David"/>
    <s v="David"/>
    <s v="Female"/>
    <n v="8"/>
    <s v="Invalid"/>
    <s v="Kano"/>
    <x v="4"/>
    <s v="Sports"/>
    <s v="Sports"/>
    <s v="Ball"/>
    <s v="Ball"/>
    <n v="71.150000000000006"/>
    <n v="-2"/>
    <n v="1"/>
    <n v="0"/>
    <s v="Valid"/>
    <s v="Transfer"/>
    <s v="Transfer"/>
    <s v="Dan"/>
    <x v="0"/>
    <x v="3"/>
    <n v="4"/>
    <s v="ok"/>
    <n v="71.150000000000006"/>
  </r>
  <r>
    <s v="T101020"/>
    <s v="2025-03-12"/>
    <s v="C2214"/>
    <s v="John"/>
    <s v="John"/>
    <s v="Male"/>
    <n v="8"/>
    <s v="Invalid"/>
    <s v="lagos"/>
    <x v="0"/>
    <s v="Fashion"/>
    <s v="Fashion"/>
    <s v="Shirt"/>
    <s v="Shirt"/>
    <n v="131.5"/>
    <n v="4"/>
    <n v="4"/>
    <n v="0"/>
    <s v="Valid"/>
    <s v="Transfer"/>
    <s v="Transfer"/>
    <s v="Chi"/>
    <x v="1"/>
    <x v="0"/>
    <n v="2"/>
    <s v="ok"/>
    <n v="526"/>
  </r>
  <r>
    <s v="T101021"/>
    <s v="2025-03-24"/>
    <s v="C4205"/>
    <s v="Peter"/>
    <s v="Peter"/>
    <s v="Female"/>
    <n v="8"/>
    <s v="Invalid"/>
    <s v="Kano"/>
    <x v="4"/>
    <s v="Beauty"/>
    <s v="Beauty"/>
    <s v="Cream"/>
    <s v="Cream"/>
    <n v="99.62"/>
    <n v="4"/>
    <n v="4"/>
    <n v="-10"/>
    <s v="invalid"/>
    <s v="Cash"/>
    <s v="Cash"/>
    <s v="Chi"/>
    <x v="1"/>
    <x v="2"/>
    <n v="3"/>
    <s v="ok"/>
    <n v="438.32800000000003"/>
  </r>
  <r>
    <s v="T101022"/>
    <s v="24/04/2026"/>
    <s v="C1319"/>
    <s v="  James "/>
    <s v="James"/>
    <s v="Female"/>
    <n v="26"/>
    <s v="Valid"/>
    <s v="lagos"/>
    <x v="0"/>
    <s v="Beauty"/>
    <s v="Beauty"/>
    <s v="Cream"/>
    <s v="Cream"/>
    <n v="476.29"/>
    <n v="-2"/>
    <n v="1"/>
    <n v="0"/>
    <s v="Valid"/>
    <s v="POS"/>
    <s v="Pos"/>
    <s v="Ben"/>
    <x v="3"/>
    <x v="3"/>
    <n v="5"/>
    <s v="ok"/>
    <n v="476.29"/>
  </r>
  <r>
    <s v="T101023"/>
    <s v="2025-08-08"/>
    <s v="C7343"/>
    <s v="John"/>
    <s v="John"/>
    <s v="Female"/>
    <n v="130"/>
    <s v="Invalid"/>
    <s v="lagos"/>
    <x v="0"/>
    <s v="Fashion"/>
    <s v="Fashion"/>
    <s v="Shirt"/>
    <s v="Shirt"/>
    <n v="211.44"/>
    <n v="5"/>
    <n v="5"/>
    <n v="-10"/>
    <s v="invalid"/>
    <s v="POS"/>
    <s v="Pos"/>
    <s v="Ben"/>
    <x v="3"/>
    <x v="2"/>
    <n v="2"/>
    <s v="ok"/>
    <n v="1162.92"/>
  </r>
  <r>
    <s v="T101024"/>
    <s v="2025-11-05"/>
    <s v="C8423"/>
    <s v="Aisha"/>
    <s v="Aisha"/>
    <s v="Female"/>
    <n v="8"/>
    <s v="Invalid"/>
    <s v="lagos"/>
    <x v="0"/>
    <s v="Sports"/>
    <s v="Sports"/>
    <s v="Ball"/>
    <s v="Ball"/>
    <n v="356.44"/>
    <n v="-2"/>
    <n v="1"/>
    <n v="15"/>
    <s v="Valid"/>
    <s v="Cash"/>
    <s v="Cash"/>
    <s v="Ben"/>
    <x v="3"/>
    <x v="0"/>
    <n v="4"/>
    <s v="ok"/>
    <n v="302.97399999999999"/>
  </r>
  <r>
    <s v="T101025"/>
    <s v="2026-01-27"/>
    <s v="C6338"/>
    <s v="Peter"/>
    <s v="Peter"/>
    <s v="Female"/>
    <n v="130"/>
    <s v="Invalid"/>
    <s v="Kano"/>
    <x v="4"/>
    <s v="Home"/>
    <s v="Home"/>
    <s v="Chair"/>
    <s v="Chair"/>
    <n v="295.64"/>
    <n v="2"/>
    <n v="2"/>
    <n v="0"/>
    <s v="Valid"/>
    <m/>
    <s v=""/>
    <s v="Chi"/>
    <x v="1"/>
    <x v="0"/>
    <n v="2"/>
    <s v="ok"/>
    <n v="591.28"/>
  </r>
  <r>
    <s v="T101026"/>
    <s v="2025-08-10"/>
    <s v="C9424"/>
    <s v="Aisha"/>
    <s v="Aisha"/>
    <s v="Female"/>
    <n v="18"/>
    <s v="Invalid"/>
    <s v="Kano"/>
    <x v="4"/>
    <s v="groceris"/>
    <s v="Groceris"/>
    <s v="Rice"/>
    <s v="Rice"/>
    <n v="315.98"/>
    <n v="-2"/>
    <n v="1"/>
    <n v="-10"/>
    <s v="invalid"/>
    <m/>
    <s v=""/>
    <s v="Dan"/>
    <x v="0"/>
    <x v="3"/>
    <n v="3"/>
    <s v="ok"/>
    <n v="347.57800000000003"/>
  </r>
  <r>
    <s v="T101027"/>
    <s v="2026-05-08"/>
    <s v="C4997"/>
    <s v="John"/>
    <s v="John"/>
    <s v="Male"/>
    <n v="8"/>
    <s v="Invalid"/>
    <s v="lagos"/>
    <x v="0"/>
    <s v="Home"/>
    <s v="Home"/>
    <s v="Chair"/>
    <s v="Chair"/>
    <n v="102.03"/>
    <n v="6"/>
    <n v="6"/>
    <n v="-10"/>
    <s v="invalid"/>
    <s v="Mobile Money"/>
    <s v="Mobile Money"/>
    <s v="Dan"/>
    <x v="0"/>
    <x v="0"/>
    <n v="2"/>
    <s v="ok"/>
    <n v="673.39800000000014"/>
  </r>
  <r>
    <s v="T101028"/>
    <s v="2025-01-06"/>
    <s v="C3983"/>
    <s v="Peter"/>
    <s v="Peter"/>
    <s v="Female"/>
    <n v="37"/>
    <s v="Valid"/>
    <s v="PH"/>
    <x v="1"/>
    <s v="Home"/>
    <s v="Home"/>
    <s v="Chair"/>
    <s v="Chair"/>
    <n v="241.44"/>
    <n v="-2"/>
    <n v="1"/>
    <n v="-10"/>
    <s v="invalid"/>
    <s v="POS"/>
    <s v="Pos"/>
    <s v="Chi"/>
    <x v="1"/>
    <x v="2"/>
    <n v="4"/>
    <s v="ok"/>
    <n v="265.584"/>
  </r>
  <r>
    <s v="T101029"/>
    <s v="23/01/2025"/>
    <s v="C1070"/>
    <s v="Aisha"/>
    <s v="Aisha"/>
    <s v="Female"/>
    <n v="18"/>
    <s v="Invalid"/>
    <s v="lagos"/>
    <x v="0"/>
    <s v="Fashion"/>
    <s v="Fashion"/>
    <s v="Shirt"/>
    <s v="Shirt"/>
    <n v="56.24"/>
    <n v="-2"/>
    <n v="1"/>
    <n v="120"/>
    <s v="invalid"/>
    <s v="Mobile Money"/>
    <s v="Mobile Money"/>
    <s v="Ada"/>
    <x v="2"/>
    <x v="0"/>
    <m/>
    <s v="ok"/>
    <n v="-11.247999999999998"/>
  </r>
  <r>
    <s v="T101030"/>
    <s v="2025-04-15"/>
    <s v="C4612"/>
    <s v="Mary"/>
    <s v="Mary"/>
    <s v="Male"/>
    <n v="8"/>
    <s v="Invalid"/>
    <s v="Enugu"/>
    <x v="2"/>
    <s v="Groceries"/>
    <s v="Groceries"/>
    <s v="Rice"/>
    <s v="Rice"/>
    <n v="193.14"/>
    <n v="-2"/>
    <n v="1"/>
    <n v="15"/>
    <s v="Valid"/>
    <s v="Transfer"/>
    <s v="Transfer"/>
    <s v="Dan"/>
    <x v="0"/>
    <x v="3"/>
    <m/>
    <s v="ok"/>
    <n v="164.16899999999998"/>
  </r>
  <r>
    <s v="T101031"/>
    <s v="2025-06-19"/>
    <s v="C3661"/>
    <s v="Aisha"/>
    <s v="Aisha"/>
    <s v="Male"/>
    <n v="19"/>
    <s v="Valid"/>
    <s v="lagos"/>
    <x v="0"/>
    <s v="Sports"/>
    <s v="Sports"/>
    <s v="Ball"/>
    <s v="Ball"/>
    <n v="165.06"/>
    <n v="9"/>
    <n v="9"/>
    <n v="15"/>
    <s v="Valid"/>
    <s v="Mobile Money"/>
    <s v="Mobile Money"/>
    <s v="Ada"/>
    <x v="2"/>
    <x v="0"/>
    <n v="3"/>
    <s v="ok"/>
    <n v="1262.7089999999998"/>
  </r>
  <r>
    <s v="T101032"/>
    <s v="2025-06-06"/>
    <s v="C3847"/>
    <s v="John"/>
    <s v="John"/>
    <s v="Female"/>
    <n v="8"/>
    <s v="Invalid"/>
    <s v="PH"/>
    <x v="1"/>
    <s v="Groceries"/>
    <s v="Groceries"/>
    <s v="Rice"/>
    <s v="Rice"/>
    <n v="196.3"/>
    <n v="1"/>
    <n v="1"/>
    <n v="0"/>
    <s v="Valid"/>
    <m/>
    <s v=""/>
    <s v="Ben"/>
    <x v="3"/>
    <x v="0"/>
    <n v="3"/>
    <s v="ok"/>
    <n v="196.3"/>
  </r>
  <r>
    <s v="T101033"/>
    <s v="2025-10-13"/>
    <s v="C5889"/>
    <s v="John"/>
    <s v="John"/>
    <s v="Male"/>
    <n v="8"/>
    <s v="Invalid"/>
    <s v="Enugu"/>
    <x v="2"/>
    <s v="Electronics"/>
    <s v="Electronics"/>
    <s v="Phone"/>
    <s v="Phone"/>
    <n v="90.94"/>
    <n v="-2"/>
    <n v="1"/>
    <n v="-10"/>
    <s v="invalid"/>
    <s v="Mobile Money"/>
    <s v="Mobile Money"/>
    <s v="Ben"/>
    <x v="3"/>
    <x v="2"/>
    <n v="1"/>
    <s v="ok"/>
    <n v="100.03400000000001"/>
  </r>
  <r>
    <s v="T101034"/>
    <s v="2025-01-21"/>
    <s v="C1446"/>
    <m/>
    <s v=""/>
    <s v="Male"/>
    <n v="130"/>
    <s v="Invalid"/>
    <s v="PH"/>
    <x v="1"/>
    <s v="Sports"/>
    <s v="Sports"/>
    <s v="Ball"/>
    <s v="Ball"/>
    <n v="189.23"/>
    <n v="-2"/>
    <n v="1"/>
    <n v="120"/>
    <s v="invalid"/>
    <m/>
    <s v=""/>
    <s v="Dan"/>
    <x v="0"/>
    <x v="0"/>
    <n v="5"/>
    <s v="Missing"/>
    <n v="-37.845999999999989"/>
  </r>
  <r>
    <s v="T101035"/>
    <s v="2025-07-09"/>
    <s v="C6345"/>
    <s v="David"/>
    <s v="David"/>
    <s v="Female"/>
    <n v="8"/>
    <s v="Invalid"/>
    <s v="lagos"/>
    <x v="0"/>
    <s v="Sports"/>
    <s v="Sports"/>
    <s v="Ball"/>
    <s v="Ball"/>
    <n v="168.68"/>
    <n v="2"/>
    <n v="2"/>
    <n v="120"/>
    <s v="invalid"/>
    <s v="POS"/>
    <s v="Pos"/>
    <s v="Dan"/>
    <x v="0"/>
    <x v="3"/>
    <n v="1"/>
    <s v="ok"/>
    <n v="-67.471999999999994"/>
  </r>
  <r>
    <s v="T101036"/>
    <s v="26/11/2025"/>
    <s v="C2753"/>
    <s v="Grace"/>
    <s v="Grace"/>
    <s v="Female"/>
    <n v="26"/>
    <s v="Valid"/>
    <s v="lagos"/>
    <x v="0"/>
    <s v="Home"/>
    <s v="Home"/>
    <s v="Chair"/>
    <s v="Chair"/>
    <n v="234.85"/>
    <n v="-2"/>
    <n v="1"/>
    <n v="0"/>
    <s v="Valid"/>
    <m/>
    <s v=""/>
    <s v="Ada"/>
    <x v="2"/>
    <x v="0"/>
    <n v="2"/>
    <s v="ok"/>
    <n v="234.85"/>
  </r>
  <r>
    <s v="T101037"/>
    <s v="2025-04-01"/>
    <s v="C6172"/>
    <s v="  James "/>
    <s v="James"/>
    <s v="Female"/>
    <n v="8"/>
    <s v="Invalid"/>
    <s v="lagos"/>
    <x v="0"/>
    <s v="Home"/>
    <s v="Home"/>
    <s v="Chair"/>
    <s v="Chair"/>
    <n v="326.06"/>
    <n v="-2"/>
    <n v="1"/>
    <n v="15"/>
    <s v="Valid"/>
    <s v="POS"/>
    <s v="Pos"/>
    <s v="Ben"/>
    <x v="3"/>
    <x v="0"/>
    <m/>
    <s v="ok"/>
    <n v="277.15100000000001"/>
  </r>
  <r>
    <s v="T101038"/>
    <s v="2025-09-13"/>
    <s v="C7087"/>
    <s v="Peter"/>
    <s v="Peter"/>
    <s v="Female"/>
    <n v="130"/>
    <s v="Invalid"/>
    <s v="Enugu"/>
    <x v="2"/>
    <s v="groceris"/>
    <s v="Groceris"/>
    <s v="Rice"/>
    <s v="Rice"/>
    <n v="278.16000000000003"/>
    <n v="-2"/>
    <n v="1"/>
    <n v="-10"/>
    <s v="invalid"/>
    <s v="Cash"/>
    <s v="Cash"/>
    <s v="Dan"/>
    <x v="0"/>
    <x v="3"/>
    <n v="5"/>
    <s v="ok"/>
    <n v="305.97600000000006"/>
  </r>
  <r>
    <s v="T101039"/>
    <s v="2025-03-03"/>
    <s v="C6823"/>
    <s v="Mary"/>
    <s v="Mary"/>
    <s v="Female"/>
    <n v="8"/>
    <s v="Invalid"/>
    <s v="Kano"/>
    <x v="4"/>
    <s v="Fashion"/>
    <s v="Fashion"/>
    <s v="Shirt"/>
    <s v="Shirt"/>
    <n v="188.67"/>
    <n v="-2"/>
    <n v="1"/>
    <n v="5"/>
    <s v="Valid"/>
    <s v="POS"/>
    <s v="Pos"/>
    <s v="Ben"/>
    <x v="3"/>
    <x v="3"/>
    <n v="5"/>
    <s v="ok"/>
    <n v="179.23649999999998"/>
  </r>
  <r>
    <s v="T101040"/>
    <s v="2026-05-20"/>
    <s v="C9860"/>
    <s v="David"/>
    <s v="David"/>
    <s v="Male"/>
    <n v="18"/>
    <s v="Invalid"/>
    <s v="PH"/>
    <x v="1"/>
    <s v="Electronics"/>
    <s v="Electronics"/>
    <s v="Phone"/>
    <s v="Phone"/>
    <n v="418.44"/>
    <n v="-2"/>
    <n v="1"/>
    <n v="15"/>
    <s v="Valid"/>
    <s v="Mobile Money"/>
    <s v="Mobile Money"/>
    <s v="Dan"/>
    <x v="0"/>
    <x v="0"/>
    <m/>
    <s v="ok"/>
    <n v="355.67399999999998"/>
  </r>
  <r>
    <s v="T101041"/>
    <s v="2026-06-04"/>
    <s v="C8778"/>
    <m/>
    <s v=""/>
    <s v="Female"/>
    <n v="130"/>
    <s v="Invalid"/>
    <s v="lagos"/>
    <x v="0"/>
    <s v="groceris"/>
    <s v="Groceris"/>
    <s v="Rice"/>
    <s v="Rice"/>
    <n v="96.76"/>
    <n v="-2"/>
    <n v="1"/>
    <n v="15"/>
    <s v="Valid"/>
    <s v="Mobile Money"/>
    <s v="Mobile Money"/>
    <s v="Ben"/>
    <x v="3"/>
    <x v="3"/>
    <n v="2"/>
    <s v="Missing"/>
    <n v="82.245999999999995"/>
  </r>
  <r>
    <s v="T101042"/>
    <s v="2025-05-26"/>
    <s v="C2716"/>
    <s v="Mary"/>
    <s v="Mary"/>
    <s v="Female"/>
    <n v="36"/>
    <s v="Valid"/>
    <s v="lagos"/>
    <x v="0"/>
    <s v="Groceries"/>
    <s v="Groceries"/>
    <s v="Rice"/>
    <s v="Rice"/>
    <n v="277.2"/>
    <n v="10"/>
    <n v="10"/>
    <n v="120"/>
    <s v="invalid"/>
    <s v="POS"/>
    <s v="Pos"/>
    <s v="Dan"/>
    <x v="0"/>
    <x v="2"/>
    <n v="5"/>
    <s v="ok"/>
    <n v="-554.39999999999986"/>
  </r>
  <r>
    <s v="T101043"/>
    <s v="11/01/2026"/>
    <s v="C7777"/>
    <m/>
    <s v=""/>
    <s v="Female"/>
    <n v="8"/>
    <s v="Invalid"/>
    <s v="lagos"/>
    <x v="0"/>
    <s v="groceris"/>
    <s v="Groceris"/>
    <s v="Rice"/>
    <s v="Rice"/>
    <n v="438.72"/>
    <n v="-2"/>
    <n v="1"/>
    <n v="5"/>
    <s v="Valid"/>
    <m/>
    <s v=""/>
    <s v="Dan"/>
    <x v="0"/>
    <x v="0"/>
    <m/>
    <s v="Missing"/>
    <n v="416.78399999999999"/>
  </r>
  <r>
    <s v="T101044"/>
    <s v="2026-01-10"/>
    <s v="C6562"/>
    <s v="David"/>
    <s v="David"/>
    <s v="Male"/>
    <n v="130"/>
    <s v="Invalid"/>
    <s v="Abuja"/>
    <x v="3"/>
    <s v="Electronics"/>
    <s v="Electronics"/>
    <s v="Phone"/>
    <s v="Phone"/>
    <n v="298.45999999999998"/>
    <n v="2"/>
    <n v="2"/>
    <n v="15"/>
    <s v="Valid"/>
    <s v="POS"/>
    <s v="Pos"/>
    <s v="Ada"/>
    <x v="2"/>
    <x v="1"/>
    <n v="4"/>
    <s v="ok"/>
    <n v="507.38199999999995"/>
  </r>
  <r>
    <s v="T101045"/>
    <s v="2025-02-10"/>
    <s v="C5396"/>
    <s v="  James "/>
    <s v="James"/>
    <s v="Male"/>
    <n v="8"/>
    <s v="Invalid"/>
    <s v="lagos"/>
    <x v="0"/>
    <s v="Electronics"/>
    <s v="Electronics"/>
    <s v="Phone"/>
    <s v="Phone"/>
    <n v="341.93"/>
    <n v="42"/>
    <n v="42"/>
    <n v="10"/>
    <s v="Valid"/>
    <s v="Cash"/>
    <s v="Cash"/>
    <s v="Ada"/>
    <x v="2"/>
    <x v="3"/>
    <n v="5"/>
    <s v="ok"/>
    <n v="12924.954"/>
  </r>
  <r>
    <s v="T101046"/>
    <s v="2025-01-23"/>
    <s v="C3309"/>
    <s v="  James "/>
    <s v="James"/>
    <s v="Female"/>
    <n v="29"/>
    <s v="Valid"/>
    <s v="lagos"/>
    <x v="0"/>
    <s v="groceris"/>
    <s v="Groceris"/>
    <s v="Rice"/>
    <s v="Rice"/>
    <n v="45.93"/>
    <n v="4"/>
    <n v="4"/>
    <n v="120"/>
    <s v="invalid"/>
    <s v="POS"/>
    <s v="Pos"/>
    <s v="Dan"/>
    <x v="0"/>
    <x v="1"/>
    <m/>
    <s v="ok"/>
    <n v="-36.743999999999993"/>
  </r>
  <r>
    <s v="T101047"/>
    <s v="2025-05-05"/>
    <s v="C8916"/>
    <m/>
    <s v=""/>
    <s v="Male"/>
    <n v="29"/>
    <s v="Valid"/>
    <s v="Enugu"/>
    <x v="2"/>
    <s v="Electronics"/>
    <s v="Electronics"/>
    <s v="Phone"/>
    <s v="Phone"/>
    <n v="137.54"/>
    <n v="3"/>
    <n v="3"/>
    <n v="15"/>
    <s v="Valid"/>
    <s v="Transfer"/>
    <s v="Transfer"/>
    <s v="Chi"/>
    <x v="1"/>
    <x v="0"/>
    <n v="1"/>
    <s v="Missing"/>
    <n v="350.72699999999998"/>
  </r>
  <r>
    <s v="T101048"/>
    <s v="2025-08-27"/>
    <s v="C3674"/>
    <m/>
    <s v=""/>
    <s v="Male"/>
    <n v="8"/>
    <s v="Invalid"/>
    <s v="Abuja"/>
    <x v="3"/>
    <s v="Fashion"/>
    <s v="Fashion"/>
    <s v="Shirt"/>
    <s v="Shirt"/>
    <n v="12.6"/>
    <n v="3"/>
    <n v="3"/>
    <n v="5"/>
    <s v="Valid"/>
    <s v="Mobile Money"/>
    <s v="Mobile Money"/>
    <s v="Ada"/>
    <x v="2"/>
    <x v="0"/>
    <n v="3"/>
    <s v="Missing"/>
    <n v="35.909999999999997"/>
  </r>
  <r>
    <s v="T101049"/>
    <s v="2026-03-03"/>
    <s v="C1239"/>
    <s v="Mary"/>
    <s v="Mary"/>
    <s v="Male"/>
    <n v="8"/>
    <s v="Invalid"/>
    <s v="Enugu"/>
    <x v="2"/>
    <s v="Home"/>
    <s v="Home"/>
    <s v="Chair"/>
    <s v="Chair"/>
    <n v="194.43"/>
    <n v="3"/>
    <n v="3"/>
    <n v="15"/>
    <s v="Valid"/>
    <m/>
    <s v=""/>
    <s v="Chi"/>
    <x v="1"/>
    <x v="2"/>
    <m/>
    <s v="ok"/>
    <n v="495.79649999999998"/>
  </r>
  <r>
    <s v="T101050"/>
    <s v="25/05/2025"/>
    <s v="C1830"/>
    <s v="Aisha"/>
    <s v="Aisha"/>
    <s v="Male"/>
    <n v="8"/>
    <s v="Invalid"/>
    <s v="lagos"/>
    <x v="0"/>
    <s v="Electronics"/>
    <s v="Electronics"/>
    <s v="Phone"/>
    <s v="Phone"/>
    <n v="47.35"/>
    <n v="2"/>
    <n v="2"/>
    <n v="12"/>
    <s v="Valid"/>
    <s v="POS"/>
    <s v="Pos"/>
    <s v="Chi"/>
    <x v="1"/>
    <x v="3"/>
    <m/>
    <s v="ok"/>
    <n v="83.335999999999999"/>
  </r>
  <r>
    <s v="T101051"/>
    <s v="2025-08-10"/>
    <s v="C4520"/>
    <s v="John"/>
    <s v="John"/>
    <s v="Female"/>
    <n v="8"/>
    <s v="Invalid"/>
    <s v="lagos"/>
    <x v="0"/>
    <s v="Home"/>
    <s v="Home"/>
    <s v="Chair"/>
    <s v="Chair"/>
    <n v="178.63"/>
    <n v="6"/>
    <n v="6"/>
    <n v="15"/>
    <s v="Valid"/>
    <s v="Mobile Money"/>
    <s v="Mobile Money"/>
    <s v="Chi"/>
    <x v="1"/>
    <x v="1"/>
    <n v="1"/>
    <s v="ok"/>
    <n v="911.01299999999992"/>
  </r>
  <r>
    <s v="T101052"/>
    <s v="2025-04-30"/>
    <s v="C2226"/>
    <m/>
    <s v=""/>
    <s v="Female"/>
    <n v="8"/>
    <s v="Invalid"/>
    <s v="lagos"/>
    <x v="0"/>
    <s v="Electronics"/>
    <s v="Electronics"/>
    <s v="Phone"/>
    <s v="Phone"/>
    <n v="142.63"/>
    <n v="3"/>
    <n v="3"/>
    <n v="10"/>
    <s v="Valid"/>
    <m/>
    <s v=""/>
    <s v="Ben"/>
    <x v="3"/>
    <x v="2"/>
    <n v="2"/>
    <s v="Missing"/>
    <n v="385.101"/>
  </r>
  <r>
    <s v="T101053"/>
    <s v="2026-06-11"/>
    <s v="C8017"/>
    <s v="Peter"/>
    <s v="Peter"/>
    <s v="Male"/>
    <n v="8"/>
    <s v="Invalid"/>
    <s v="Kano"/>
    <x v="4"/>
    <s v="Electronics"/>
    <s v="Electronics"/>
    <s v="Phone"/>
    <s v="Phone"/>
    <n v="157.87"/>
    <n v="2"/>
    <n v="2"/>
    <n v="12"/>
    <s v="Valid"/>
    <s v="Cash"/>
    <s v="Cash"/>
    <s v="Dan"/>
    <x v="0"/>
    <x v="3"/>
    <n v="5"/>
    <s v="ok"/>
    <n v="277.85120000000001"/>
  </r>
  <r>
    <s v="T101054"/>
    <s v="2025-01-04"/>
    <s v="C4433"/>
    <m/>
    <s v=""/>
    <s v="Male"/>
    <n v="130"/>
    <s v="Invalid"/>
    <s v="PH"/>
    <x v="1"/>
    <s v="Sports"/>
    <s v="Sports"/>
    <s v="Ball"/>
    <s v="Ball"/>
    <n v="328.08"/>
    <n v="7"/>
    <n v="7"/>
    <n v="15"/>
    <s v="Valid"/>
    <s v="Cash"/>
    <s v="Cash"/>
    <s v="Dan"/>
    <x v="0"/>
    <x v="3"/>
    <n v="5"/>
    <s v="Missing"/>
    <n v="1952.0759999999998"/>
  </r>
  <r>
    <s v="T101055"/>
    <s v="2025-06-22"/>
    <s v="C9157"/>
    <s v="Mary"/>
    <s v="Mary"/>
    <s v="Female"/>
    <n v="8"/>
    <s v="Invalid"/>
    <s v="Enugu"/>
    <x v="2"/>
    <s v="groceris"/>
    <s v="Groceris"/>
    <s v="Rice"/>
    <s v="Rice"/>
    <n v="222.21"/>
    <n v="-2"/>
    <n v="1"/>
    <n v="15"/>
    <s v="Valid"/>
    <s v="Mobile Money"/>
    <s v="Mobile Money"/>
    <s v="Ada"/>
    <x v="2"/>
    <x v="0"/>
    <m/>
    <s v="ok"/>
    <n v="188.8785"/>
  </r>
  <r>
    <s v="T101056"/>
    <s v="2025-08-03"/>
    <s v="C5683"/>
    <s v="Peter"/>
    <s v="Peter"/>
    <s v="Female"/>
    <n v="130"/>
    <s v="Invalid"/>
    <s v="lagos"/>
    <x v="0"/>
    <s v="groceris"/>
    <s v="Groceris"/>
    <s v="Rice"/>
    <s v="Rice"/>
    <n v="443.43"/>
    <n v="4"/>
    <n v="4"/>
    <n v="120"/>
    <s v="invalid"/>
    <m/>
    <s v=""/>
    <s v="Ben"/>
    <x v="3"/>
    <x v="1"/>
    <n v="3"/>
    <s v="ok"/>
    <n v="-354.74399999999991"/>
  </r>
  <r>
    <s v="T101057"/>
    <s v="31/05/2026"/>
    <s v="C7085"/>
    <s v="Grace"/>
    <s v="Grace"/>
    <s v="Male"/>
    <n v="50"/>
    <s v="Valid"/>
    <s v="Kano"/>
    <x v="4"/>
    <s v="Home"/>
    <s v="Home"/>
    <s v="Chair"/>
    <s v="Chair"/>
    <n v="312.91000000000003"/>
    <n v="-2"/>
    <n v="1"/>
    <n v="10"/>
    <s v="Valid"/>
    <m/>
    <s v=""/>
    <s v="Dan"/>
    <x v="0"/>
    <x v="1"/>
    <n v="2"/>
    <s v="ok"/>
    <n v="281.61900000000003"/>
  </r>
  <r>
    <s v="T101058"/>
    <s v="2026-06-05"/>
    <s v="C2387"/>
    <s v="Grace"/>
    <s v="Grace"/>
    <s v="Male"/>
    <n v="130"/>
    <s v="Invalid"/>
    <s v="Kano"/>
    <x v="4"/>
    <s v="Beauty"/>
    <s v="Beauty"/>
    <s v="Cream"/>
    <s v="Cream"/>
    <n v="177.48"/>
    <n v="4"/>
    <n v="4"/>
    <n v="-10"/>
    <s v="invalid"/>
    <s v="Transfer"/>
    <s v="Transfer"/>
    <s v="Ben"/>
    <x v="3"/>
    <x v="1"/>
    <m/>
    <s v="ok"/>
    <n v="780.91200000000003"/>
  </r>
  <r>
    <s v="T101059"/>
    <s v="2025-12-20"/>
    <s v="C2442"/>
    <m/>
    <s v=""/>
    <s v="Male"/>
    <n v="130"/>
    <s v="Invalid"/>
    <s v="Abuja"/>
    <x v="3"/>
    <s v="Sports"/>
    <s v="Sports"/>
    <s v="Ball"/>
    <s v="Ball"/>
    <n v="408.51"/>
    <n v="1"/>
    <n v="1"/>
    <n v="-10"/>
    <s v="invalid"/>
    <s v="Transfer"/>
    <s v="Transfer"/>
    <s v="Dan"/>
    <x v="0"/>
    <x v="0"/>
    <n v="5"/>
    <s v="Missing"/>
    <n v="449.36100000000005"/>
  </r>
  <r>
    <s v="T101060"/>
    <s v="2025-02-02"/>
    <s v="C7554"/>
    <s v="Mary"/>
    <s v="Mary"/>
    <s v="Female"/>
    <n v="130"/>
    <s v="Invalid"/>
    <s v="Kano"/>
    <x v="4"/>
    <s v="Fashion"/>
    <s v="Fashion"/>
    <s v="Shirt"/>
    <s v="Shirt"/>
    <n v="208.95"/>
    <n v="-2"/>
    <n v="1"/>
    <n v="120"/>
    <s v="invalid"/>
    <s v="POS"/>
    <s v="Pos"/>
    <s v="Ben"/>
    <x v="3"/>
    <x v="3"/>
    <n v="1"/>
    <s v="ok"/>
    <n v="-41.789999999999985"/>
  </r>
  <r>
    <s v="T101061"/>
    <s v="2025-10-30"/>
    <s v="C4807"/>
    <s v="  James "/>
    <s v="James"/>
    <s v="Male"/>
    <n v="8"/>
    <s v="Invalid"/>
    <s v="Abuja"/>
    <x v="3"/>
    <s v="Sports"/>
    <s v="Sports"/>
    <s v="Ball"/>
    <s v="Ball"/>
    <n v="318.93"/>
    <n v="2"/>
    <n v="2"/>
    <n v="0"/>
    <s v="Valid"/>
    <s v="Transfer"/>
    <s v="Transfer"/>
    <s v="Ada"/>
    <x v="2"/>
    <x v="2"/>
    <n v="5"/>
    <s v="ok"/>
    <n v="637.86"/>
  </r>
  <r>
    <s v="T101062"/>
    <s v="2025-02-09"/>
    <s v="C9394"/>
    <m/>
    <s v=""/>
    <s v="Female"/>
    <n v="8"/>
    <s v="Invalid"/>
    <s v="lagos"/>
    <x v="0"/>
    <s v="Electronics"/>
    <s v="Electronics"/>
    <s v="Phone"/>
    <s v="Phone"/>
    <n v="102.46"/>
    <n v="-2"/>
    <n v="1"/>
    <n v="-10"/>
    <s v="invalid"/>
    <s v="Cash"/>
    <s v="Cash"/>
    <s v="Chi"/>
    <x v="1"/>
    <x v="3"/>
    <n v="4"/>
    <s v="Missing"/>
    <n v="112.706"/>
  </r>
  <r>
    <s v="T101063"/>
    <s v="2025-12-14"/>
    <s v="C3888"/>
    <s v="John"/>
    <s v="John"/>
    <s v="Male"/>
    <n v="130"/>
    <s v="Invalid"/>
    <s v="lagos"/>
    <x v="0"/>
    <s v="Fashion"/>
    <s v="Fashion"/>
    <s v="Shirt"/>
    <s v="Shirt"/>
    <n v="319.35000000000002"/>
    <n v="5"/>
    <n v="5"/>
    <n v="0"/>
    <s v="Valid"/>
    <s v="Cash"/>
    <s v="Cash"/>
    <s v="Chi"/>
    <x v="1"/>
    <x v="1"/>
    <m/>
    <s v="ok"/>
    <n v="1596.75"/>
  </r>
  <r>
    <s v="T101064"/>
    <s v="25/02/2026"/>
    <s v="C4127"/>
    <s v="Aisha"/>
    <s v="Aisha"/>
    <s v="Male"/>
    <n v="8"/>
    <s v="Invalid"/>
    <s v="lagos"/>
    <x v="0"/>
    <s v="Groceries"/>
    <s v="Groceries"/>
    <s v="Rice"/>
    <s v="Rice"/>
    <n v="300.57"/>
    <n v="2"/>
    <n v="2"/>
    <n v="120"/>
    <s v="invalid"/>
    <s v="Cash"/>
    <s v="Cash"/>
    <s v="Dan"/>
    <x v="0"/>
    <x v="2"/>
    <n v="5"/>
    <s v="ok"/>
    <n v="-120.22799999999997"/>
  </r>
  <r>
    <s v="T101065"/>
    <s v="2025-05-28"/>
    <s v="C8834"/>
    <s v="Peter"/>
    <s v="Peter"/>
    <s v="Female"/>
    <n v="130"/>
    <s v="Invalid"/>
    <s v="Enugu"/>
    <x v="2"/>
    <s v="Home"/>
    <s v="Home"/>
    <s v="Chair"/>
    <s v="Chair"/>
    <n v="317.3"/>
    <n v="-2"/>
    <n v="1"/>
    <n v="15"/>
    <s v="Valid"/>
    <m/>
    <s v=""/>
    <s v="Ben"/>
    <x v="3"/>
    <x v="1"/>
    <n v="1"/>
    <s v="ok"/>
    <n v="269.70499999999998"/>
  </r>
  <r>
    <s v="T101066"/>
    <s v="2026-03-24"/>
    <s v="C1357"/>
    <s v="  James "/>
    <s v="James"/>
    <s v="Male"/>
    <n v="8"/>
    <s v="Invalid"/>
    <s v="PH"/>
    <x v="1"/>
    <s v="Fashion"/>
    <s v="Fashion"/>
    <s v="Shirt"/>
    <s v="Shirt"/>
    <n v="62.14"/>
    <n v="7"/>
    <n v="7"/>
    <n v="15"/>
    <s v="Valid"/>
    <s v="POS"/>
    <s v="Pos"/>
    <s v="Ada"/>
    <x v="2"/>
    <x v="3"/>
    <m/>
    <s v="ok"/>
    <n v="369.733"/>
  </r>
  <r>
    <s v="T101067"/>
    <s v="2025-06-24"/>
    <s v="C2558"/>
    <s v="Aisha"/>
    <s v="Aisha"/>
    <s v="Male"/>
    <n v="43"/>
    <s v="Valid"/>
    <s v="lagos"/>
    <x v="0"/>
    <s v="groceris"/>
    <s v="Groceris"/>
    <s v="Rice"/>
    <s v="Rice"/>
    <n v="184.32"/>
    <n v="7"/>
    <n v="7"/>
    <n v="0"/>
    <s v="Valid"/>
    <s v="Mobile Money"/>
    <s v="Mobile Money"/>
    <s v="Ben"/>
    <x v="3"/>
    <x v="1"/>
    <n v="5"/>
    <s v="ok"/>
    <n v="1290.24"/>
  </r>
  <r>
    <s v="T101068"/>
    <s v="2025-07-04"/>
    <s v="C9048"/>
    <s v="  James "/>
    <s v="James"/>
    <s v="Female"/>
    <n v="130"/>
    <s v="Invalid"/>
    <s v="lagos"/>
    <x v="0"/>
    <s v="Sports"/>
    <s v="Sports"/>
    <s v="Ball"/>
    <s v="Ball"/>
    <n v="16.5"/>
    <n v="7"/>
    <n v="7"/>
    <n v="15"/>
    <s v="Valid"/>
    <s v="Mobile Money"/>
    <s v="Mobile Money"/>
    <s v="Ada"/>
    <x v="2"/>
    <x v="2"/>
    <n v="2"/>
    <s v="ok"/>
    <n v="98.174999999999997"/>
  </r>
  <r>
    <s v="T101069"/>
    <s v="2026-05-19"/>
    <s v="C3173"/>
    <s v="Grace"/>
    <s v="Grace"/>
    <s v="Male"/>
    <n v="32"/>
    <s v="Valid"/>
    <s v="lagos"/>
    <x v="0"/>
    <s v="Groceries"/>
    <s v="Groceries"/>
    <s v="Rice"/>
    <s v="Rice"/>
    <n v="339.22"/>
    <n v="6"/>
    <n v="6"/>
    <n v="10"/>
    <s v="Valid"/>
    <m/>
    <s v=""/>
    <s v="Ada"/>
    <x v="2"/>
    <x v="2"/>
    <m/>
    <s v="ok"/>
    <n v="1831.7880000000002"/>
  </r>
  <r>
    <s v="T101070"/>
    <s v="2025-06-01"/>
    <s v="C2790"/>
    <s v="Mary"/>
    <s v="Mary"/>
    <s v="Female"/>
    <n v="8"/>
    <s v="Invalid"/>
    <s v="lagos"/>
    <x v="0"/>
    <s v="Electronics"/>
    <s v="Electronics"/>
    <s v="Phone"/>
    <s v="Phone"/>
    <n v="97.76"/>
    <n v="-2"/>
    <n v="1"/>
    <n v="5"/>
    <s v="Valid"/>
    <s v="POS"/>
    <s v="Pos"/>
    <s v="Dan"/>
    <x v="0"/>
    <x v="2"/>
    <n v="1"/>
    <s v="ok"/>
    <n v="92.872"/>
  </r>
  <r>
    <s v="T101071"/>
    <s v="16/05/2026"/>
    <s v="C3058"/>
    <m/>
    <s v=""/>
    <s v="Female"/>
    <n v="58"/>
    <s v="Valid"/>
    <s v="Enugu"/>
    <x v="2"/>
    <s v="Groceries"/>
    <s v="Groceries"/>
    <s v="Rice"/>
    <s v="Rice"/>
    <n v="454.39"/>
    <n v="2"/>
    <n v="2"/>
    <n v="120"/>
    <s v="invalid"/>
    <s v="Cash"/>
    <s v="Cash"/>
    <s v="Ada"/>
    <x v="2"/>
    <x v="2"/>
    <n v="4"/>
    <s v="Missing"/>
    <n v="-181.75599999999994"/>
  </r>
  <r>
    <s v="T101072"/>
    <s v="2025-05-19"/>
    <s v="C5225"/>
    <s v="Aisha"/>
    <s v="Aisha"/>
    <s v="Female"/>
    <n v="130"/>
    <s v="Invalid"/>
    <s v="lagos"/>
    <x v="0"/>
    <s v="Groceries"/>
    <s v="Groceries"/>
    <s v="Rice"/>
    <s v="Rice"/>
    <n v="317.51"/>
    <n v="-2"/>
    <n v="1"/>
    <n v="5"/>
    <s v="Valid"/>
    <s v="Cash"/>
    <s v="Cash"/>
    <s v="Dan"/>
    <x v="0"/>
    <x v="2"/>
    <n v="5"/>
    <s v="ok"/>
    <n v="301.6345"/>
  </r>
  <r>
    <s v="T101073"/>
    <s v="2026-06-07"/>
    <s v="C3819"/>
    <s v="Peter"/>
    <s v="Peter"/>
    <s v="Male"/>
    <n v="8"/>
    <s v="Invalid"/>
    <s v="Kano"/>
    <x v="4"/>
    <s v="Electronics"/>
    <s v="Electronics"/>
    <s v="Phone"/>
    <s v="Phone"/>
    <n v="83.32"/>
    <n v="-2"/>
    <n v="1"/>
    <n v="5"/>
    <s v="Valid"/>
    <m/>
    <s v=""/>
    <s v="Dan"/>
    <x v="0"/>
    <x v="0"/>
    <m/>
    <s v="ok"/>
    <n v="79.153999999999996"/>
  </r>
  <r>
    <s v="T101074"/>
    <s v="2026-02-13"/>
    <s v="C2866"/>
    <s v="John"/>
    <s v="John"/>
    <s v="Male"/>
    <n v="8"/>
    <s v="Invalid"/>
    <s v="Abuja"/>
    <x v="3"/>
    <s v="Home"/>
    <s v="Home"/>
    <s v="Chair"/>
    <s v="Chair"/>
    <n v="388.91"/>
    <n v="6"/>
    <n v="6"/>
    <n v="120"/>
    <s v="invalid"/>
    <s v="Transfer"/>
    <s v="Transfer"/>
    <s v="Dan"/>
    <x v="0"/>
    <x v="3"/>
    <n v="5"/>
    <s v="ok"/>
    <n v="-466.69199999999989"/>
  </r>
  <r>
    <s v="T101075"/>
    <s v="2025-11-13"/>
    <s v="C5074"/>
    <s v="  James "/>
    <s v="James"/>
    <s v="Female"/>
    <n v="23"/>
    <s v="Valid"/>
    <s v="lagos"/>
    <x v="0"/>
    <s v="Beauty"/>
    <s v="Beauty"/>
    <s v="Cream"/>
    <s v="Cream"/>
    <n v="473.5"/>
    <n v="5"/>
    <n v="5"/>
    <n v="0"/>
    <s v="Valid"/>
    <m/>
    <s v=""/>
    <s v="Ada"/>
    <x v="2"/>
    <x v="0"/>
    <n v="3"/>
    <s v="ok"/>
    <n v="2367.5"/>
  </r>
  <r>
    <s v="T101076"/>
    <s v="2026-06-18"/>
    <s v="C6819"/>
    <m/>
    <s v=""/>
    <s v="Male"/>
    <n v="130"/>
    <s v="Invalid"/>
    <s v="lagos"/>
    <x v="0"/>
    <s v="Sports"/>
    <s v="Sports"/>
    <s v="Ball"/>
    <s v="Ball"/>
    <n v="163"/>
    <n v="-2"/>
    <n v="1"/>
    <n v="10"/>
    <s v="Valid"/>
    <s v="Mobile Money"/>
    <s v="Mobile Money"/>
    <s v="Ada"/>
    <x v="2"/>
    <x v="3"/>
    <n v="4"/>
    <s v="Missing"/>
    <n v="146.70000000000002"/>
  </r>
  <r>
    <s v="T101077"/>
    <s v="2025-12-31"/>
    <s v="C2913"/>
    <m/>
    <s v=""/>
    <s v="Female"/>
    <n v="130"/>
    <s v="Invalid"/>
    <s v="Enugu"/>
    <x v="2"/>
    <s v="Beauty"/>
    <s v="Beauty"/>
    <s v="Cream"/>
    <s v="Cream"/>
    <n v="47.15"/>
    <n v="1"/>
    <n v="1"/>
    <n v="0"/>
    <s v="Valid"/>
    <s v="Transfer"/>
    <s v="Transfer"/>
    <s v="Dan"/>
    <x v="0"/>
    <x v="2"/>
    <n v="5"/>
    <s v="Missing"/>
    <n v="47.15"/>
  </r>
  <r>
    <s v="T101078"/>
    <s v="19/09/2025"/>
    <s v="C8985"/>
    <s v="Aisha"/>
    <s v="Aisha"/>
    <s v="Male"/>
    <n v="8"/>
    <s v="Invalid"/>
    <s v="lagos"/>
    <x v="0"/>
    <s v="groceris"/>
    <s v="Groceris"/>
    <s v="Rice"/>
    <s v="Rice"/>
    <n v="217.62"/>
    <n v="-2"/>
    <n v="1"/>
    <n v="15"/>
    <s v="Valid"/>
    <s v="POS"/>
    <s v="Pos"/>
    <s v="Ben"/>
    <x v="3"/>
    <x v="2"/>
    <m/>
    <s v="ok"/>
    <n v="184.977"/>
  </r>
  <r>
    <s v="T101079"/>
    <s v="2026-04-06"/>
    <s v="C1959"/>
    <s v="  James "/>
    <s v="James"/>
    <s v="Male"/>
    <n v="130"/>
    <s v="Invalid"/>
    <s v="PH"/>
    <x v="1"/>
    <s v="Sports"/>
    <s v="Sports"/>
    <s v="Ball"/>
    <s v="Ball"/>
    <n v="89.74"/>
    <n v="-2"/>
    <n v="1"/>
    <n v="15"/>
    <s v="Valid"/>
    <s v="Mobile Money"/>
    <s v="Mobile Money"/>
    <s v="Ada"/>
    <x v="2"/>
    <x v="3"/>
    <n v="5"/>
    <s v="ok"/>
    <n v="76.278999999999996"/>
  </r>
  <r>
    <s v="T101080"/>
    <s v="2025-03-11"/>
    <s v="C7630"/>
    <s v="  James "/>
    <s v="James"/>
    <s v="Male"/>
    <n v="40"/>
    <s v="Valid"/>
    <s v="Kano"/>
    <x v="4"/>
    <s v="Electronics"/>
    <s v="Electronics"/>
    <s v="Phone"/>
    <s v="Phone"/>
    <n v="86.54"/>
    <n v="10"/>
    <n v="10"/>
    <n v="0"/>
    <s v="Valid"/>
    <s v="Transfer"/>
    <s v="Transfer"/>
    <s v="Chi"/>
    <x v="1"/>
    <x v="1"/>
    <n v="4"/>
    <s v="ok"/>
    <n v="865.40000000000009"/>
  </r>
  <r>
    <s v="T101081"/>
    <s v="2025-11-07"/>
    <s v="C4696"/>
    <s v="Peter"/>
    <s v="Peter"/>
    <s v="Male"/>
    <n v="22"/>
    <s v="Valid"/>
    <s v="PH"/>
    <x v="1"/>
    <s v="Electronics"/>
    <s v="Electronics"/>
    <s v="Phone"/>
    <s v="Phone"/>
    <n v="35.11"/>
    <n v="3"/>
    <n v="3"/>
    <n v="15"/>
    <s v="Valid"/>
    <s v="Cash"/>
    <s v="Cash"/>
    <s v="Ben"/>
    <x v="3"/>
    <x v="2"/>
    <n v="2"/>
    <s v="ok"/>
    <n v="89.530499999999989"/>
  </r>
  <r>
    <s v="T101082"/>
    <s v="2025-08-19"/>
    <s v="C6225"/>
    <s v="Mary"/>
    <s v="Mary"/>
    <s v="Male"/>
    <n v="8"/>
    <s v="Invalid"/>
    <s v="Abuja"/>
    <x v="3"/>
    <s v="groceris"/>
    <s v="Groceris"/>
    <s v="Rice"/>
    <s v="Rice"/>
    <n v="226.02"/>
    <n v="7"/>
    <n v="7"/>
    <n v="-10"/>
    <s v="invalid"/>
    <m/>
    <s v=""/>
    <s v="Chi"/>
    <x v="1"/>
    <x v="0"/>
    <n v="4"/>
    <s v="ok"/>
    <n v="1740.3540000000003"/>
  </r>
  <r>
    <s v="T101083"/>
    <s v="2025-08-11"/>
    <s v="C8519"/>
    <m/>
    <s v=""/>
    <s v="Male"/>
    <n v="34"/>
    <s v="Valid"/>
    <s v="lagos"/>
    <x v="0"/>
    <s v="Fashion"/>
    <s v="Fashion"/>
    <s v="Shirt"/>
    <s v="Shirt"/>
    <n v="294.27"/>
    <n v="-2"/>
    <n v="1"/>
    <n v="120"/>
    <s v="invalid"/>
    <s v="Cash"/>
    <s v="Cash"/>
    <s v="Chi"/>
    <x v="1"/>
    <x v="3"/>
    <n v="4"/>
    <s v="Missing"/>
    <n v="-58.853999999999985"/>
  </r>
  <r>
    <s v="T101084"/>
    <s v="2025-09-03"/>
    <s v="C7771"/>
    <s v="David"/>
    <s v="David"/>
    <s v="Female"/>
    <n v="130"/>
    <s v="Invalid"/>
    <s v="lagos"/>
    <x v="0"/>
    <s v="Groceries"/>
    <s v="Groceries"/>
    <s v="Rice"/>
    <s v="Rice"/>
    <n v="398.79"/>
    <n v="10"/>
    <n v="10"/>
    <n v="0"/>
    <s v="Valid"/>
    <s v="POS"/>
    <s v="Pos"/>
    <s v="Ben"/>
    <x v="3"/>
    <x v="0"/>
    <m/>
    <s v="ok"/>
    <n v="3987.9"/>
  </r>
  <r>
    <s v="T101085"/>
    <s v="06/06/2026"/>
    <s v="C3479"/>
    <s v="Aisha"/>
    <s v="Aisha"/>
    <s v="Male"/>
    <n v="57"/>
    <s v="Valid"/>
    <s v="Kano"/>
    <x v="4"/>
    <s v="Home"/>
    <s v="Home"/>
    <s v="Chair"/>
    <s v="Chair"/>
    <n v="103.26"/>
    <n v="-2"/>
    <n v="1"/>
    <n v="10"/>
    <s v="Valid"/>
    <m/>
    <s v=""/>
    <s v="Dan"/>
    <x v="0"/>
    <x v="3"/>
    <n v="2"/>
    <s v="ok"/>
    <n v="92.934000000000012"/>
  </r>
  <r>
    <s v="T101086"/>
    <s v="2025-11-19"/>
    <s v="C6796"/>
    <m/>
    <s v=""/>
    <s v="Female"/>
    <n v="130"/>
    <s v="Invalid"/>
    <s v="lagos"/>
    <x v="0"/>
    <s v="Fashion"/>
    <s v="Fashion"/>
    <s v="Shirt"/>
    <s v="Shirt"/>
    <n v="491.71"/>
    <n v="-2"/>
    <n v="1"/>
    <n v="10"/>
    <s v="Valid"/>
    <m/>
    <s v=""/>
    <s v="Dan"/>
    <x v="0"/>
    <x v="0"/>
    <n v="2"/>
    <s v="Missing"/>
    <n v="442.53899999999999"/>
  </r>
  <r>
    <s v="T101087"/>
    <s v="2025-07-05"/>
    <s v="C1273"/>
    <s v="Aisha"/>
    <s v="Aisha"/>
    <s v="Male"/>
    <n v="8"/>
    <s v="Invalid"/>
    <s v="Abuja"/>
    <x v="3"/>
    <s v="groceris"/>
    <s v="Groceris"/>
    <s v="Rice"/>
    <s v="Rice"/>
    <n v="370.44"/>
    <n v="-2"/>
    <n v="1"/>
    <n v="-10"/>
    <s v="invalid"/>
    <m/>
    <s v=""/>
    <s v="Chi"/>
    <x v="1"/>
    <x v="2"/>
    <m/>
    <s v="ok"/>
    <n v="407.48400000000004"/>
  </r>
  <r>
    <s v="T101088"/>
    <s v="2025-01-22"/>
    <s v="C2905"/>
    <s v="  James "/>
    <s v="James"/>
    <s v="Male"/>
    <n v="32"/>
    <s v="Valid"/>
    <s v="lagos"/>
    <x v="0"/>
    <s v="Beauty"/>
    <s v="Beauty"/>
    <s v="Cream"/>
    <s v="Cream"/>
    <n v="11.34"/>
    <n v="10"/>
    <n v="10"/>
    <n v="5"/>
    <s v="Valid"/>
    <m/>
    <s v=""/>
    <s v="Chi"/>
    <x v="1"/>
    <x v="3"/>
    <n v="1"/>
    <s v="ok"/>
    <n v="107.73"/>
  </r>
  <r>
    <s v="T101089"/>
    <s v="2025-02-11"/>
    <s v="C3668"/>
    <s v="John"/>
    <s v="John"/>
    <s v="Male"/>
    <n v="43"/>
    <s v="Valid"/>
    <s v="Kano"/>
    <x v="4"/>
    <s v="Electronics"/>
    <s v="Electronics"/>
    <s v="Phone"/>
    <s v="Phone"/>
    <n v="357.92"/>
    <n v="-2"/>
    <n v="1"/>
    <n v="5"/>
    <s v="Valid"/>
    <s v="Transfer"/>
    <s v="Transfer"/>
    <s v="Ben"/>
    <x v="3"/>
    <x v="3"/>
    <n v="5"/>
    <s v="ok"/>
    <n v="340.024"/>
  </r>
  <r>
    <s v="T101090"/>
    <s v="2026-01-09"/>
    <s v="C9668"/>
    <m/>
    <s v=""/>
    <s v="Female"/>
    <n v="8"/>
    <s v="Invalid"/>
    <s v="PH"/>
    <x v="1"/>
    <s v="Sports"/>
    <s v="Sports"/>
    <s v="Ball"/>
    <s v="Ball"/>
    <n v="450.32"/>
    <n v="-2"/>
    <n v="1"/>
    <n v="5"/>
    <s v="Valid"/>
    <s v="POS"/>
    <s v="Pos"/>
    <s v="Dan"/>
    <x v="0"/>
    <x v="3"/>
    <m/>
    <s v="Missing"/>
    <n v="427.80399999999997"/>
  </r>
  <r>
    <s v="T101091"/>
    <s v="2025-04-25"/>
    <s v="C8593"/>
    <s v="Peter"/>
    <s v="Peter"/>
    <s v="Male"/>
    <n v="130"/>
    <s v="Invalid"/>
    <s v="Abuja"/>
    <x v="3"/>
    <s v="Home"/>
    <s v="Home"/>
    <s v="Chair"/>
    <s v="Chair"/>
    <n v="306.32"/>
    <n v="-2"/>
    <n v="1"/>
    <n v="10"/>
    <s v="Valid"/>
    <s v="Cash"/>
    <s v="Cash"/>
    <s v="Dan"/>
    <x v="0"/>
    <x v="0"/>
    <n v="1"/>
    <s v="ok"/>
    <n v="275.68799999999999"/>
  </r>
  <r>
    <s v="T101092"/>
    <s v="31/05/2025"/>
    <s v="C2870"/>
    <m/>
    <s v=""/>
    <s v="Female"/>
    <n v="8"/>
    <s v="Invalid"/>
    <s v="lagos"/>
    <x v="0"/>
    <s v="Home"/>
    <s v="Home"/>
    <s v="Chair"/>
    <s v="Chair"/>
    <n v="176.78"/>
    <n v="-2"/>
    <n v="1"/>
    <n v="-10"/>
    <s v="invalid"/>
    <s v="Mobile Money"/>
    <s v="Mobile Money"/>
    <s v="Dan"/>
    <x v="0"/>
    <x v="2"/>
    <n v="3"/>
    <s v="Missing"/>
    <n v="194.45800000000003"/>
  </r>
  <r>
    <s v="T101093"/>
    <s v="2025-10-24"/>
    <s v="C4402"/>
    <s v="John"/>
    <s v="John"/>
    <s v="Female"/>
    <n v="8"/>
    <s v="Invalid"/>
    <s v="Enugu"/>
    <x v="2"/>
    <s v="Fashion"/>
    <s v="Fashion"/>
    <s v="Shirt"/>
    <s v="Shirt"/>
    <n v="138.12"/>
    <n v="10"/>
    <n v="10"/>
    <n v="5"/>
    <s v="Valid"/>
    <s v="POS"/>
    <s v="Pos"/>
    <s v="Ada"/>
    <x v="2"/>
    <x v="1"/>
    <n v="5"/>
    <s v="ok"/>
    <n v="1312.1399999999999"/>
  </r>
  <r>
    <s v="T101094"/>
    <s v="2025-02-15"/>
    <s v="C7817"/>
    <s v="John"/>
    <s v="John"/>
    <s v="Male"/>
    <n v="130"/>
    <s v="Invalid"/>
    <s v="Kano"/>
    <x v="4"/>
    <s v="Groceries"/>
    <s v="Groceries"/>
    <s v="Rice"/>
    <s v="Rice"/>
    <n v="200.1"/>
    <n v="-2"/>
    <n v="1"/>
    <n v="15"/>
    <s v="Valid"/>
    <s v="Mobile Money"/>
    <s v="Mobile Money"/>
    <s v="Chi"/>
    <x v="1"/>
    <x v="0"/>
    <n v="5"/>
    <s v="ok"/>
    <n v="170.08499999999998"/>
  </r>
  <r>
    <s v="T101095"/>
    <s v="2025-08-18"/>
    <s v="C7091"/>
    <s v="David"/>
    <s v="David"/>
    <s v="Male"/>
    <n v="8"/>
    <s v="Invalid"/>
    <s v="lagos"/>
    <x v="0"/>
    <s v="Groceries"/>
    <s v="Groceries"/>
    <s v="Rice"/>
    <s v="Rice"/>
    <n v="213.53"/>
    <n v="7"/>
    <n v="7"/>
    <n v="10"/>
    <s v="Valid"/>
    <s v="Transfer"/>
    <s v="Transfer"/>
    <s v="Ben"/>
    <x v="3"/>
    <x v="2"/>
    <n v="1"/>
    <s v="ok"/>
    <n v="1345.239"/>
  </r>
  <r>
    <s v="T101096"/>
    <s v="2026-01-02"/>
    <s v="C9333"/>
    <m/>
    <s v=""/>
    <s v="Female"/>
    <n v="130"/>
    <s v="Invalid"/>
    <s v="lagos"/>
    <x v="0"/>
    <s v="Home"/>
    <s v="Home"/>
    <s v="Chair"/>
    <s v="Chair"/>
    <n v="115.81"/>
    <n v="9"/>
    <n v="9"/>
    <n v="-10"/>
    <s v="invalid"/>
    <m/>
    <s v=""/>
    <s v="Ada"/>
    <x v="2"/>
    <x v="3"/>
    <n v="4"/>
    <s v="Missing"/>
    <n v="1146.519"/>
  </r>
  <r>
    <s v="T101097"/>
    <s v="2025-01-16"/>
    <s v="C9645"/>
    <s v="  James "/>
    <s v="James"/>
    <s v="Female"/>
    <n v="130"/>
    <s v="Invalid"/>
    <s v="lagos"/>
    <x v="0"/>
    <s v="Electronics"/>
    <s v="Electronics"/>
    <s v="Phone"/>
    <s v="Phone"/>
    <n v="329.29"/>
    <n v="-2"/>
    <n v="1"/>
    <n v="0"/>
    <s v="Valid"/>
    <s v="Cash"/>
    <s v="Cash"/>
    <s v="Chi"/>
    <x v="1"/>
    <x v="3"/>
    <n v="5"/>
    <s v="ok"/>
    <n v="329.29"/>
  </r>
  <r>
    <s v="T101098"/>
    <s v="2026-01-17"/>
    <s v="C3006"/>
    <s v="  James "/>
    <s v="James"/>
    <s v="Female"/>
    <n v="8"/>
    <s v="Invalid"/>
    <s v="lagos"/>
    <x v="0"/>
    <s v="groceris"/>
    <s v="Groceris"/>
    <s v="Rice"/>
    <s v="Rice"/>
    <n v="207.91"/>
    <n v="-2"/>
    <n v="1"/>
    <n v="0"/>
    <s v="Valid"/>
    <s v="Transfer"/>
    <s v="Transfer"/>
    <s v="Dan"/>
    <x v="0"/>
    <x v="0"/>
    <m/>
    <s v="ok"/>
    <n v="207.91"/>
  </r>
  <r>
    <s v="T101099"/>
    <s v="08/01/2025"/>
    <s v="C1621"/>
    <s v="Grace"/>
    <s v="Grace"/>
    <s v="Male"/>
    <n v="130"/>
    <s v="Invalid"/>
    <s v="lagos"/>
    <x v="0"/>
    <s v="groceris"/>
    <s v="Groceris"/>
    <s v="Rice"/>
    <s v="Rice"/>
    <n v="402.71"/>
    <n v="-2"/>
    <n v="1"/>
    <n v="0"/>
    <s v="Valid"/>
    <m/>
    <s v=""/>
    <s v="Chi"/>
    <x v="1"/>
    <x v="0"/>
    <n v="2"/>
    <s v="ok"/>
    <n v="402.71"/>
  </r>
  <r>
    <s v="T101100"/>
    <s v="2025-12-20"/>
    <s v="C7326"/>
    <s v="  James "/>
    <s v="James"/>
    <s v="Male"/>
    <n v="130"/>
    <s v="Invalid"/>
    <s v="lagos"/>
    <x v="0"/>
    <s v="groceris"/>
    <s v="Groceris"/>
    <s v="Rice"/>
    <s v="Rice"/>
    <n v="181.81"/>
    <n v="-2"/>
    <n v="1"/>
    <n v="0"/>
    <s v="Valid"/>
    <s v="Mobile Money"/>
    <s v="Mobile Money"/>
    <s v="Dan"/>
    <x v="0"/>
    <x v="3"/>
    <n v="3"/>
    <s v="ok"/>
    <n v="181.81"/>
  </r>
  <r>
    <s v="T101101"/>
    <s v="2025-03-29"/>
    <s v="C6209"/>
    <s v="Mary"/>
    <s v="Mary"/>
    <s v="Female"/>
    <n v="8"/>
    <s v="Invalid"/>
    <s v="Enugu"/>
    <x v="2"/>
    <s v="Groceries"/>
    <s v="Groceries"/>
    <s v="Rice"/>
    <s v="Rice"/>
    <n v="106.42"/>
    <n v="4"/>
    <n v="4"/>
    <n v="0"/>
    <s v="Valid"/>
    <s v="Mobile Money"/>
    <s v="Mobile Money"/>
    <s v="Ben"/>
    <x v="3"/>
    <x v="2"/>
    <n v="3"/>
    <s v="ok"/>
    <n v="425.68"/>
  </r>
  <r>
    <s v="T101102"/>
    <s v="2025-12-31"/>
    <s v="C5353"/>
    <s v="Peter"/>
    <s v="Peter"/>
    <s v="Female"/>
    <n v="130"/>
    <s v="Invalid"/>
    <s v="Abuja"/>
    <x v="3"/>
    <s v="Groceries"/>
    <s v="Groceries"/>
    <s v="Rice"/>
    <s v="Rice"/>
    <n v="248.77"/>
    <n v="-2"/>
    <n v="1"/>
    <n v="-10"/>
    <s v="invalid"/>
    <s v="POS"/>
    <s v="Pos"/>
    <s v="Ada"/>
    <x v="2"/>
    <x v="1"/>
    <m/>
    <s v="ok"/>
    <n v="273.64700000000005"/>
  </r>
  <r>
    <s v="T101103"/>
    <s v="2025-07-26"/>
    <s v="C7951"/>
    <s v="Aisha"/>
    <s v="Aisha"/>
    <s v="Female"/>
    <n v="45"/>
    <s v="Valid"/>
    <s v="PH"/>
    <x v="1"/>
    <s v="Electronics"/>
    <s v="Electronics"/>
    <s v="Phone"/>
    <s v="Phone"/>
    <n v="249.02"/>
    <n v="-2"/>
    <n v="1"/>
    <n v="5"/>
    <s v="Valid"/>
    <s v="Cash"/>
    <s v="Cash"/>
    <s v="Ben"/>
    <x v="3"/>
    <x v="3"/>
    <n v="3"/>
    <s v="ok"/>
    <n v="236.56899999999999"/>
  </r>
  <r>
    <s v="T101104"/>
    <s v="2026-04-10"/>
    <s v="C3883"/>
    <m/>
    <s v=""/>
    <s v="Male"/>
    <n v="28"/>
    <s v="Valid"/>
    <s v="PH"/>
    <x v="1"/>
    <s v="Sports"/>
    <s v="Sports"/>
    <s v="Ball"/>
    <s v="Ball"/>
    <n v="128.62"/>
    <n v="5"/>
    <n v="5"/>
    <n v="0"/>
    <s v="Valid"/>
    <s v="Cash"/>
    <s v="Cash"/>
    <s v="Ada"/>
    <x v="2"/>
    <x v="2"/>
    <n v="1"/>
    <s v="Missing"/>
    <n v="643.1"/>
  </r>
  <r>
    <s v="T101105"/>
    <s v="2025-06-09"/>
    <s v="C5257"/>
    <s v="Peter"/>
    <s v="Peter"/>
    <s v="Male"/>
    <n v="8"/>
    <s v="Invalid"/>
    <s v="Kano"/>
    <x v="4"/>
    <s v="Home"/>
    <s v="Home"/>
    <s v="Chair"/>
    <s v="Chair"/>
    <n v="66.87"/>
    <n v="-2"/>
    <n v="1"/>
    <n v="5"/>
    <s v="Valid"/>
    <s v="Cash"/>
    <s v="Cash"/>
    <s v="Ada"/>
    <x v="2"/>
    <x v="3"/>
    <n v="2"/>
    <s v="ok"/>
    <n v="63.526499999999999"/>
  </r>
  <r>
    <s v="T101106"/>
    <s v="24/05/2026"/>
    <s v="C1053"/>
    <s v="John"/>
    <s v="John"/>
    <s v="Male"/>
    <n v="130"/>
    <s v="Invalid"/>
    <s v="Enugu"/>
    <x v="2"/>
    <s v="Electronics"/>
    <s v="Electronics"/>
    <s v="Phone"/>
    <s v="Phone"/>
    <n v="430.4"/>
    <n v="4"/>
    <n v="4"/>
    <n v="10"/>
    <s v="Valid"/>
    <m/>
    <s v=""/>
    <s v="Chi"/>
    <x v="1"/>
    <x v="0"/>
    <n v="2"/>
    <s v="ok"/>
    <n v="1549.44"/>
  </r>
  <r>
    <s v="T101107"/>
    <s v="2026-04-22"/>
    <s v="C5861"/>
    <s v="Grace"/>
    <s v="Grace"/>
    <s v="Male"/>
    <n v="47"/>
    <s v="Valid"/>
    <s v="Enugu"/>
    <x v="2"/>
    <s v="groceris"/>
    <s v="Groceris"/>
    <s v="Rice"/>
    <s v="Rice"/>
    <n v="330.15"/>
    <n v="-2"/>
    <n v="1"/>
    <n v="0"/>
    <s v="Valid"/>
    <s v="Cash"/>
    <s v="Cash"/>
    <s v="Chi"/>
    <x v="1"/>
    <x v="1"/>
    <n v="1"/>
    <s v="ok"/>
    <n v="330.15"/>
  </r>
  <r>
    <s v="T101108"/>
    <s v="2025-03-08"/>
    <s v="C1321"/>
    <m/>
    <s v=""/>
    <s v="Female"/>
    <n v="45"/>
    <s v="Valid"/>
    <s v="PH"/>
    <x v="1"/>
    <s v="Beauty"/>
    <s v="Beauty"/>
    <s v="Cream"/>
    <s v="Cream"/>
    <n v="87.22"/>
    <n v="-2"/>
    <n v="1"/>
    <n v="120"/>
    <s v="invalid"/>
    <s v="Cash"/>
    <s v="Cash"/>
    <s v="Chi"/>
    <x v="1"/>
    <x v="0"/>
    <n v="5"/>
    <s v="Missing"/>
    <n v="-17.443999999999996"/>
  </r>
  <r>
    <s v="T101109"/>
    <s v="2026-05-05"/>
    <s v="C2082"/>
    <s v="  James "/>
    <s v="James"/>
    <s v="Male"/>
    <n v="57"/>
    <s v="Valid"/>
    <s v="Kano"/>
    <x v="4"/>
    <s v="groceris"/>
    <s v="Groceris"/>
    <s v="Rice"/>
    <s v="Rice"/>
    <n v="140.63999999999999"/>
    <n v="1"/>
    <n v="1"/>
    <n v="10"/>
    <s v="Valid"/>
    <s v="Mobile Money"/>
    <s v="Mobile Money"/>
    <s v="Chi"/>
    <x v="1"/>
    <x v="2"/>
    <n v="5"/>
    <s v="ok"/>
    <n v="126.57599999999999"/>
  </r>
  <r>
    <s v="T101110"/>
    <s v="2025-09-16"/>
    <s v="C5487"/>
    <s v="David"/>
    <s v="David"/>
    <s v="Male"/>
    <n v="130"/>
    <s v="Invalid"/>
    <s v="Enugu"/>
    <x v="2"/>
    <s v="Beauty"/>
    <s v="Beauty"/>
    <s v="Cream"/>
    <s v="Cream"/>
    <n v="372.97"/>
    <n v="-2"/>
    <n v="1"/>
    <n v="120"/>
    <s v="invalid"/>
    <s v="Transfer"/>
    <s v="Transfer"/>
    <s v="Ada"/>
    <x v="2"/>
    <x v="0"/>
    <m/>
    <s v="ok"/>
    <n v="-74.593999999999994"/>
  </r>
  <r>
    <s v="T101111"/>
    <s v="2026-06-10"/>
    <s v="C7958"/>
    <s v="Grace"/>
    <s v="Grace"/>
    <s v="Male"/>
    <n v="130"/>
    <s v="Invalid"/>
    <s v="lagos"/>
    <x v="0"/>
    <s v="Beauty"/>
    <s v="Beauty"/>
    <s v="Cream"/>
    <s v="Cream"/>
    <n v="158.04"/>
    <n v="6"/>
    <n v="6"/>
    <n v="10"/>
    <s v="Valid"/>
    <s v="Mobile Money"/>
    <s v="Mobile Money"/>
    <s v="Ben"/>
    <x v="3"/>
    <x v="3"/>
    <n v="5"/>
    <s v="ok"/>
    <n v="853.41600000000005"/>
  </r>
  <r>
    <s v="T101112"/>
    <s v="2026-01-17"/>
    <s v="C6922"/>
    <s v="Mary"/>
    <s v="Mary"/>
    <s v="Female"/>
    <n v="8"/>
    <s v="Invalid"/>
    <s v="Abuja"/>
    <x v="3"/>
    <s v="Groceries"/>
    <s v="Groceries"/>
    <s v="Rice"/>
    <s v="Rice"/>
    <n v="458.92"/>
    <n v="-2"/>
    <n v="1"/>
    <n v="10"/>
    <s v="Valid"/>
    <s v="Mobile Money"/>
    <s v="Mobile Money"/>
    <s v="Dan"/>
    <x v="0"/>
    <x v="0"/>
    <n v="2"/>
    <s v="ok"/>
    <n v="413.02800000000002"/>
  </r>
  <r>
    <s v="T101113"/>
    <s v="03/07/2025"/>
    <s v="C4001"/>
    <s v="Peter"/>
    <s v="Peter"/>
    <s v="Male"/>
    <n v="130"/>
    <s v="Invalid"/>
    <s v="lagos"/>
    <x v="0"/>
    <s v="Groceries"/>
    <s v="Groceries"/>
    <s v="Rice"/>
    <s v="Rice"/>
    <n v="389.79"/>
    <n v="-2"/>
    <n v="1"/>
    <n v="-10"/>
    <s v="invalid"/>
    <s v="Cash"/>
    <s v="Cash"/>
    <s v="Chi"/>
    <x v="1"/>
    <x v="2"/>
    <m/>
    <s v="ok"/>
    <n v="428.76900000000006"/>
  </r>
  <r>
    <s v="T101114"/>
    <s v="2025-12-21"/>
    <s v="C6941"/>
    <s v="Peter"/>
    <s v="Peter"/>
    <s v="Male"/>
    <n v="130"/>
    <s v="Invalid"/>
    <s v="PH"/>
    <x v="1"/>
    <s v="Groceries"/>
    <s v="Groceries"/>
    <s v="Rice"/>
    <s v="Rice"/>
    <n v="35.67"/>
    <n v="8"/>
    <n v="8"/>
    <n v="120"/>
    <s v="invalid"/>
    <s v="Cash"/>
    <s v="Cash"/>
    <s v="Ada"/>
    <x v="2"/>
    <x v="1"/>
    <n v="3"/>
    <s v="ok"/>
    <n v="-57.071999999999989"/>
  </r>
  <r>
    <s v="T101115"/>
    <s v="2026-03-10"/>
    <s v="C6194"/>
    <s v="John"/>
    <s v="John"/>
    <s v="Female"/>
    <n v="44"/>
    <s v="Valid"/>
    <s v="lagos"/>
    <x v="0"/>
    <s v="Home"/>
    <s v="Home"/>
    <s v="Chair"/>
    <s v="Chair"/>
    <n v="181.35"/>
    <n v="2"/>
    <n v="2"/>
    <n v="5"/>
    <s v="Valid"/>
    <s v="Transfer"/>
    <s v="Transfer"/>
    <s v="Ben"/>
    <x v="3"/>
    <x v="2"/>
    <n v="4"/>
    <s v="ok"/>
    <n v="344.565"/>
  </r>
  <r>
    <s v="T101116"/>
    <s v="2025-05-21"/>
    <s v="C2359"/>
    <s v="  James "/>
    <s v="James"/>
    <s v="Male"/>
    <n v="47"/>
    <s v="Valid"/>
    <s v="lagos"/>
    <x v="0"/>
    <s v="Beauty"/>
    <s v="Beauty"/>
    <s v="Cream"/>
    <s v="Cream"/>
    <n v="203.55"/>
    <n v="-2"/>
    <n v="1"/>
    <n v="15"/>
    <s v="Valid"/>
    <s v="POS"/>
    <s v="Pos"/>
    <s v="Dan"/>
    <x v="0"/>
    <x v="2"/>
    <n v="5"/>
    <s v="ok"/>
    <n v="173.01750000000001"/>
  </r>
  <r>
    <s v="T101117"/>
    <s v="2026-04-30"/>
    <s v="C2555"/>
    <s v="David"/>
    <s v="David"/>
    <s v="Female"/>
    <n v="8"/>
    <s v="Invalid"/>
    <s v="lagos"/>
    <x v="0"/>
    <s v="Sports"/>
    <s v="Sports"/>
    <s v="Ball"/>
    <s v="Ball"/>
    <n v="234.41"/>
    <n v="2"/>
    <n v="2"/>
    <n v="-10"/>
    <s v="invalid"/>
    <s v="Transfer"/>
    <s v="Transfer"/>
    <s v="Ben"/>
    <x v="3"/>
    <x v="1"/>
    <n v="2"/>
    <s v="ok"/>
    <n v="515.702"/>
  </r>
  <r>
    <s v="T101118"/>
    <s v="2025-07-13"/>
    <s v="C4175"/>
    <s v="David"/>
    <s v="David"/>
    <s v="Female"/>
    <n v="8"/>
    <s v="Invalid"/>
    <s v="Abuja"/>
    <x v="3"/>
    <s v="Home"/>
    <s v="Home"/>
    <s v="Chair"/>
    <s v="Chair"/>
    <n v="328.22"/>
    <n v="-2"/>
    <n v="1"/>
    <n v="0"/>
    <s v="Valid"/>
    <m/>
    <s v=""/>
    <s v="Dan"/>
    <x v="0"/>
    <x v="3"/>
    <n v="3"/>
    <s v="ok"/>
    <n v="328.22"/>
  </r>
  <r>
    <s v="T101119"/>
    <s v="2025-03-08"/>
    <s v="C6232"/>
    <s v="David"/>
    <s v="David"/>
    <s v="Male"/>
    <n v="130"/>
    <s v="Invalid"/>
    <s v="lagos"/>
    <x v="0"/>
    <s v="Groceries"/>
    <s v="Groceries"/>
    <s v="Rice"/>
    <s v="Rice"/>
    <n v="469.16"/>
    <n v="9"/>
    <n v="9"/>
    <n v="15"/>
    <s v="Valid"/>
    <s v="Mobile Money"/>
    <s v="Mobile Money"/>
    <s v="Ben"/>
    <x v="3"/>
    <x v="1"/>
    <n v="2"/>
    <s v="ok"/>
    <n v="3589.0740000000005"/>
  </r>
  <r>
    <s v="T101120"/>
    <s v="09/03/2026"/>
    <s v="C7391"/>
    <s v="Mary"/>
    <s v="Mary"/>
    <s v="Male"/>
    <n v="130"/>
    <s v="Invalid"/>
    <s v="PH"/>
    <x v="1"/>
    <s v="Beauty"/>
    <s v="Beauty"/>
    <s v="Cream"/>
    <s v="Cream"/>
    <n v="269.55"/>
    <n v="4"/>
    <n v="4"/>
    <n v="120"/>
    <s v="invalid"/>
    <s v="POS"/>
    <s v="Pos"/>
    <s v="Ada"/>
    <x v="2"/>
    <x v="1"/>
    <m/>
    <s v="ok"/>
    <n v="-215.63999999999996"/>
  </r>
  <r>
    <s v="T101121"/>
    <s v="2026-03-10"/>
    <s v="C3701"/>
    <s v="John"/>
    <s v="John"/>
    <s v="Male"/>
    <n v="130"/>
    <s v="Invalid"/>
    <s v="lagos"/>
    <x v="0"/>
    <s v="Groceries"/>
    <s v="Groceries"/>
    <s v="Rice"/>
    <s v="Rice"/>
    <n v="255.06"/>
    <n v="-2"/>
    <n v="1"/>
    <n v="-10"/>
    <s v="invalid"/>
    <s v="POS"/>
    <s v="Pos"/>
    <s v="Dan"/>
    <x v="0"/>
    <x v="1"/>
    <n v="2"/>
    <s v="ok"/>
    <n v="280.56600000000003"/>
  </r>
  <r>
    <s v="T101122"/>
    <s v="2025-06-29"/>
    <s v="C2196"/>
    <s v="John"/>
    <s v="John"/>
    <s v="Female"/>
    <n v="130"/>
    <s v="Invalid"/>
    <s v="lagos"/>
    <x v="0"/>
    <s v="Fashion"/>
    <s v="Fashion"/>
    <s v="Shirt"/>
    <s v="Shirt"/>
    <n v="333.08"/>
    <n v="8"/>
    <n v="8"/>
    <n v="10"/>
    <s v="Valid"/>
    <m/>
    <s v=""/>
    <s v="Ada"/>
    <x v="2"/>
    <x v="2"/>
    <n v="3"/>
    <s v="ok"/>
    <n v="2398.1759999999999"/>
  </r>
  <r>
    <s v="T101123"/>
    <s v="2025-04-16"/>
    <s v="C7956"/>
    <s v="  James "/>
    <s v="James"/>
    <s v="Male"/>
    <n v="8"/>
    <s v="Invalid"/>
    <s v="Abuja"/>
    <x v="3"/>
    <s v="Home"/>
    <s v="Home"/>
    <s v="Chair"/>
    <s v="Chair"/>
    <n v="100.1"/>
    <n v="5"/>
    <n v="5"/>
    <n v="-10"/>
    <s v="invalid"/>
    <s v="POS"/>
    <s v="Pos"/>
    <s v="Chi"/>
    <x v="1"/>
    <x v="1"/>
    <n v="3"/>
    <s v="ok"/>
    <n v="550.55000000000007"/>
  </r>
  <r>
    <s v="T101124"/>
    <s v="2025-09-12"/>
    <s v="C8788"/>
    <m/>
    <s v=""/>
    <s v="Female"/>
    <n v="130"/>
    <s v="Invalid"/>
    <s v="Enugu"/>
    <x v="2"/>
    <s v="Beauty"/>
    <s v="Beauty"/>
    <s v="Cream"/>
    <s v="Cream"/>
    <n v="424.71"/>
    <n v="9"/>
    <n v="9"/>
    <n v="10"/>
    <s v="Valid"/>
    <s v="Transfer"/>
    <s v="Transfer"/>
    <s v="Ben"/>
    <x v="3"/>
    <x v="1"/>
    <n v="1"/>
    <s v="Missing"/>
    <n v="3440.1509999999998"/>
  </r>
  <r>
    <s v="T101125"/>
    <s v="2025-04-06"/>
    <s v="C2553"/>
    <s v="Aisha"/>
    <s v="Aisha"/>
    <s v="Female"/>
    <n v="130"/>
    <s v="Invalid"/>
    <s v="Kano"/>
    <x v="4"/>
    <s v="groceris"/>
    <s v="Groceris"/>
    <s v="Rice"/>
    <s v="Rice"/>
    <n v="35.54"/>
    <n v="-2"/>
    <n v="1"/>
    <n v="15"/>
    <s v="Valid"/>
    <s v="Cash"/>
    <s v="Cash"/>
    <s v="Ben"/>
    <x v="3"/>
    <x v="2"/>
    <n v="1"/>
    <s v="ok"/>
    <n v="30.209"/>
  </r>
  <r>
    <s v="T101126"/>
    <s v="2026-05-31"/>
    <s v="C8091"/>
    <s v="  James "/>
    <s v="James"/>
    <s v="Female"/>
    <n v="62"/>
    <s v="Valid"/>
    <s v="lagos"/>
    <x v="0"/>
    <s v="Electronics"/>
    <s v="Electronics"/>
    <s v="Phone"/>
    <s v="Phone"/>
    <n v="398.03"/>
    <n v="-2"/>
    <n v="1"/>
    <n v="5"/>
    <s v="Valid"/>
    <s v="Cash"/>
    <s v="Cash"/>
    <s v="Chi"/>
    <x v="1"/>
    <x v="0"/>
    <n v="1"/>
    <s v="ok"/>
    <n v="378.12849999999997"/>
  </r>
  <r>
    <s v="T101127"/>
    <s v="20/07/2025"/>
    <s v="C2726"/>
    <s v="John"/>
    <s v="John"/>
    <s v="Female"/>
    <n v="130"/>
    <s v="Invalid"/>
    <s v="lagos"/>
    <x v="0"/>
    <s v="Sports"/>
    <s v="Sports"/>
    <s v="Ball"/>
    <s v="Ball"/>
    <n v="442.39"/>
    <n v="2"/>
    <n v="2"/>
    <n v="-10"/>
    <s v="invalid"/>
    <s v="Transfer"/>
    <s v="Transfer"/>
    <s v="Dan"/>
    <x v="0"/>
    <x v="0"/>
    <n v="2"/>
    <s v="ok"/>
    <n v="973.25800000000004"/>
  </r>
  <r>
    <s v="T101128"/>
    <s v="2025-02-03"/>
    <s v="C7484"/>
    <s v="David"/>
    <s v="David"/>
    <s v="Female"/>
    <n v="130"/>
    <s v="Invalid"/>
    <s v="lagos"/>
    <x v="0"/>
    <s v="Sports"/>
    <s v="Sports"/>
    <s v="Ball"/>
    <s v="Ball"/>
    <n v="265.60000000000002"/>
    <n v="-2"/>
    <n v="1"/>
    <n v="5"/>
    <s v="Valid"/>
    <s v="POS"/>
    <s v="Pos"/>
    <s v="Ada"/>
    <x v="2"/>
    <x v="0"/>
    <n v="3"/>
    <s v="ok"/>
    <n v="252.32000000000002"/>
  </r>
  <r>
    <s v="T101129"/>
    <s v="2025-05-03"/>
    <s v="C1776"/>
    <s v="Aisha"/>
    <s v="Aisha"/>
    <s v="Female"/>
    <n v="34"/>
    <s v="Valid"/>
    <s v="lagos"/>
    <x v="0"/>
    <s v="Home"/>
    <s v="Home"/>
    <s v="Chair"/>
    <s v="Chair"/>
    <n v="224.45"/>
    <n v="-2"/>
    <n v="1"/>
    <n v="0"/>
    <s v="Valid"/>
    <s v="Cash"/>
    <s v="Cash"/>
    <s v="Ben"/>
    <x v="3"/>
    <x v="3"/>
    <n v="5"/>
    <s v="ok"/>
    <n v="224.45"/>
  </r>
  <r>
    <s v="T101130"/>
    <s v="2026-02-13"/>
    <s v="C3948"/>
    <s v="Grace"/>
    <s v="Grace"/>
    <s v="Male"/>
    <n v="130"/>
    <s v="Invalid"/>
    <s v="lagos"/>
    <x v="0"/>
    <s v="groceris"/>
    <s v="Groceris"/>
    <s v="Rice"/>
    <s v="Rice"/>
    <n v="273.83999999999997"/>
    <n v="6"/>
    <n v="6"/>
    <n v="15"/>
    <s v="Valid"/>
    <s v="Transfer"/>
    <s v="Transfer"/>
    <s v="Dan"/>
    <x v="0"/>
    <x v="1"/>
    <m/>
    <s v="ok"/>
    <n v="1396.5839999999998"/>
  </r>
  <r>
    <s v="T101131"/>
    <s v="2025-02-12"/>
    <s v="C3894"/>
    <s v="Peter"/>
    <s v="Peter"/>
    <s v="Male"/>
    <n v="47"/>
    <s v="Valid"/>
    <s v="lagos"/>
    <x v="0"/>
    <s v="Home"/>
    <s v="Home"/>
    <s v="Chair"/>
    <s v="Chair"/>
    <n v="415.18"/>
    <n v="-2"/>
    <n v="1"/>
    <n v="15"/>
    <s v="Valid"/>
    <s v="Transfer"/>
    <s v="Transfer"/>
    <s v="Chi"/>
    <x v="1"/>
    <x v="3"/>
    <n v="2"/>
    <s v="ok"/>
    <n v="352.90300000000002"/>
  </r>
  <r>
    <s v="T101132"/>
    <s v="2025-02-15"/>
    <s v="C3788"/>
    <s v="David"/>
    <s v="David"/>
    <s v="Male"/>
    <n v="21"/>
    <s v="Valid"/>
    <s v="Abuja"/>
    <x v="3"/>
    <s v="Beauty"/>
    <s v="Beauty"/>
    <s v="Cream"/>
    <s v="Cream"/>
    <n v="468.25"/>
    <n v="10"/>
    <n v="10"/>
    <n v="15"/>
    <s v="Valid"/>
    <s v="Mobile Money"/>
    <s v="Mobile Money"/>
    <s v="Chi"/>
    <x v="1"/>
    <x v="3"/>
    <n v="1"/>
    <s v="ok"/>
    <n v="3980.125"/>
  </r>
  <r>
    <s v="T101133"/>
    <s v="2025-02-14"/>
    <s v="C2386"/>
    <s v="John"/>
    <s v="John"/>
    <s v="Female"/>
    <n v="45"/>
    <s v="Valid"/>
    <s v="lagos"/>
    <x v="0"/>
    <s v="Home"/>
    <s v="Home"/>
    <s v="Chair"/>
    <s v="Chair"/>
    <n v="75.11"/>
    <n v="-2"/>
    <n v="1"/>
    <n v="5"/>
    <s v="Valid"/>
    <s v="Transfer"/>
    <s v="Transfer"/>
    <s v="Ada"/>
    <x v="2"/>
    <x v="0"/>
    <n v="2"/>
    <s v="ok"/>
    <n v="71.354500000000002"/>
  </r>
  <r>
    <s v="T101134"/>
    <s v="31/07/2025"/>
    <s v="C9277"/>
    <m/>
    <s v=""/>
    <s v="Female"/>
    <n v="8"/>
    <s v="Invalid"/>
    <s v="PH"/>
    <x v="1"/>
    <s v="Groceries"/>
    <s v="Groceries"/>
    <s v="Rice"/>
    <s v="Rice"/>
    <n v="442.39"/>
    <n v="1"/>
    <n v="1"/>
    <n v="5"/>
    <s v="Valid"/>
    <s v="Transfer"/>
    <s v="Transfer"/>
    <s v="Ben"/>
    <x v="3"/>
    <x v="2"/>
    <n v="5"/>
    <s v="Missing"/>
    <n v="420.27049999999997"/>
  </r>
  <r>
    <s v="T101135"/>
    <s v="2025-12-22"/>
    <s v="C8028"/>
    <s v="Mary"/>
    <s v="Mary"/>
    <s v="Female"/>
    <n v="130"/>
    <s v="Invalid"/>
    <s v="Enugu"/>
    <x v="2"/>
    <s v="Beauty"/>
    <s v="Beauty"/>
    <s v="Cream"/>
    <s v="Cream"/>
    <n v="108.35"/>
    <n v="-2"/>
    <n v="1"/>
    <n v="15"/>
    <s v="Valid"/>
    <s v="Transfer"/>
    <s v="Transfer"/>
    <s v="Dan"/>
    <x v="0"/>
    <x v="0"/>
    <n v="2"/>
    <s v="ok"/>
    <n v="92.097499999999997"/>
  </r>
  <r>
    <s v="T101136"/>
    <s v="2025-08-26"/>
    <s v="C2628"/>
    <s v="David"/>
    <s v="David"/>
    <s v="Female"/>
    <n v="26"/>
    <s v="Valid"/>
    <s v="lagos"/>
    <x v="0"/>
    <s v="Sports"/>
    <s v="Sports"/>
    <s v="Ball"/>
    <s v="Ball"/>
    <n v="496.67"/>
    <n v="3"/>
    <n v="3"/>
    <n v="0"/>
    <s v="Valid"/>
    <s v="Cash"/>
    <s v="Cash"/>
    <s v="Chi"/>
    <x v="1"/>
    <x v="2"/>
    <n v="4"/>
    <s v="ok"/>
    <n v="1490.01"/>
  </r>
  <r>
    <s v="T101137"/>
    <s v="2025-12-05"/>
    <s v="C3880"/>
    <s v="  James "/>
    <s v="James"/>
    <s v="Female"/>
    <n v="130"/>
    <s v="Invalid"/>
    <s v="lagos"/>
    <x v="0"/>
    <s v="Home"/>
    <s v="Home"/>
    <s v="Chair"/>
    <s v="Chair"/>
    <n v="328.34"/>
    <n v="-2"/>
    <n v="1"/>
    <n v="15"/>
    <s v="Valid"/>
    <s v="Transfer"/>
    <s v="Transfer"/>
    <s v="Ben"/>
    <x v="3"/>
    <x v="1"/>
    <n v="3"/>
    <s v="ok"/>
    <n v="279.089"/>
  </r>
  <r>
    <s v="T101138"/>
    <s v="2026-01-07"/>
    <s v="C1400"/>
    <s v="Aisha"/>
    <s v="Aisha"/>
    <s v="Female"/>
    <n v="24"/>
    <s v="Valid"/>
    <s v="PH"/>
    <x v="1"/>
    <s v="groceris"/>
    <s v="Groceris"/>
    <s v="Rice"/>
    <s v="Rice"/>
    <n v="7.37"/>
    <n v="5"/>
    <n v="5"/>
    <n v="120"/>
    <s v="invalid"/>
    <s v="POS"/>
    <s v="Pos"/>
    <s v="Ada"/>
    <x v="2"/>
    <x v="0"/>
    <n v="1"/>
    <s v="ok"/>
    <n v="-7.3699999999999983"/>
  </r>
  <r>
    <s v="T101139"/>
    <s v="2025-09-23"/>
    <s v="C4950"/>
    <s v="Mary"/>
    <s v="Mary"/>
    <s v="Female"/>
    <n v="130"/>
    <s v="Invalid"/>
    <s v="lagos"/>
    <x v="0"/>
    <s v="Beauty"/>
    <s v="Beauty"/>
    <s v="Cream"/>
    <s v="Cream"/>
    <n v="20.39"/>
    <n v="-2"/>
    <n v="1"/>
    <n v="10"/>
    <s v="Valid"/>
    <s v="Cash"/>
    <s v="Cash"/>
    <s v="Ada"/>
    <x v="2"/>
    <x v="2"/>
    <m/>
    <s v="ok"/>
    <n v="18.351000000000003"/>
  </r>
  <r>
    <s v="T101140"/>
    <s v="2025-08-23"/>
    <s v="C2221"/>
    <s v="David"/>
    <s v="David"/>
    <s v="Male"/>
    <n v="8"/>
    <s v="Invalid"/>
    <s v="PH"/>
    <x v="1"/>
    <s v="Electronics"/>
    <s v="Electronics"/>
    <s v="Phone"/>
    <s v="Phone"/>
    <n v="397.67"/>
    <n v="-2"/>
    <n v="1"/>
    <n v="120"/>
    <s v="invalid"/>
    <s v="Transfer"/>
    <s v="Transfer"/>
    <s v="Dan"/>
    <x v="0"/>
    <x v="2"/>
    <n v="3"/>
    <s v="ok"/>
    <n v="-79.533999999999992"/>
  </r>
  <r>
    <s v="T101141"/>
    <s v="14/05/2026"/>
    <s v="C3437"/>
    <s v="Grace"/>
    <s v="Grace"/>
    <s v="Male"/>
    <n v="51"/>
    <s v="Valid"/>
    <s v="PH"/>
    <x v="1"/>
    <s v="Electronics"/>
    <s v="Electronics"/>
    <s v="Phone"/>
    <s v="Phone"/>
    <n v="74.7"/>
    <n v="2"/>
    <n v="2"/>
    <n v="-10"/>
    <s v="invalid"/>
    <s v="Transfer"/>
    <s v="Transfer"/>
    <s v="Chi"/>
    <x v="1"/>
    <x v="0"/>
    <n v="5"/>
    <s v="ok"/>
    <n v="164.34000000000003"/>
  </r>
  <r>
    <s v="T101142"/>
    <s v="2025-06-11"/>
    <s v="C1617"/>
    <s v="David"/>
    <s v="David"/>
    <s v="Female"/>
    <n v="54"/>
    <s v="Valid"/>
    <s v="lagos"/>
    <x v="0"/>
    <s v="Groceries"/>
    <s v="Groceries"/>
    <s v="Rice"/>
    <s v="Rice"/>
    <n v="7.09"/>
    <n v="-2"/>
    <n v="1"/>
    <n v="5"/>
    <s v="Valid"/>
    <s v="Transfer"/>
    <s v="Transfer"/>
    <s v="Dan"/>
    <x v="0"/>
    <x v="0"/>
    <n v="3"/>
    <s v="ok"/>
    <n v="6.7354999999999992"/>
  </r>
  <r>
    <s v="T101143"/>
    <s v="2026-04-29"/>
    <s v="C3896"/>
    <s v="Aisha"/>
    <s v="Aisha"/>
    <s v="Male"/>
    <n v="8"/>
    <s v="Invalid"/>
    <s v="Kano"/>
    <x v="4"/>
    <s v="Home"/>
    <s v="Home"/>
    <s v="Chair"/>
    <s v="Chair"/>
    <n v="233.07"/>
    <n v="2"/>
    <n v="2"/>
    <n v="-10"/>
    <s v="invalid"/>
    <s v="Cash"/>
    <s v="Cash"/>
    <s v="Dan"/>
    <x v="0"/>
    <x v="3"/>
    <n v="3"/>
    <s v="ok"/>
    <n v="512.75400000000002"/>
  </r>
  <r>
    <s v="T101144"/>
    <s v="2025-12-18"/>
    <s v="C1862"/>
    <s v="Grace"/>
    <s v="Grace"/>
    <s v="Female"/>
    <n v="46"/>
    <s v="Valid"/>
    <s v="Kano"/>
    <x v="4"/>
    <s v="Sports"/>
    <s v="Sports"/>
    <s v="Ball"/>
    <s v="Ball"/>
    <n v="361.79"/>
    <n v="8"/>
    <n v="8"/>
    <n v="120"/>
    <s v="invalid"/>
    <s v="POS"/>
    <s v="Pos"/>
    <s v="Chi"/>
    <x v="1"/>
    <x v="1"/>
    <m/>
    <s v="ok"/>
    <n v="-578.86399999999992"/>
  </r>
  <r>
    <s v="T101145"/>
    <s v="2026-04-14"/>
    <s v="C6889"/>
    <m/>
    <s v=""/>
    <s v="Male"/>
    <n v="48"/>
    <s v="Valid"/>
    <s v="lagos"/>
    <x v="0"/>
    <s v="groceris"/>
    <s v="Groceris"/>
    <s v="Rice"/>
    <s v="Rice"/>
    <n v="396.79"/>
    <n v="4"/>
    <n v="4"/>
    <n v="0"/>
    <s v="Valid"/>
    <s v="Cash"/>
    <s v="Cash"/>
    <s v="Ada"/>
    <x v="2"/>
    <x v="0"/>
    <n v="2"/>
    <s v="Missing"/>
    <n v="1587.16"/>
  </r>
  <r>
    <s v="T101146"/>
    <s v="2025-07-24"/>
    <s v="C2540"/>
    <s v="Aisha"/>
    <s v="Aisha"/>
    <s v="Female"/>
    <n v="8"/>
    <s v="Invalid"/>
    <s v="lagos"/>
    <x v="0"/>
    <s v="Home"/>
    <s v="Home"/>
    <s v="Chair"/>
    <s v="Chair"/>
    <n v="53.8"/>
    <n v="1"/>
    <n v="1"/>
    <n v="5"/>
    <s v="Valid"/>
    <s v="Mobile Money"/>
    <s v="Mobile Money"/>
    <s v="Ada"/>
    <x v="2"/>
    <x v="2"/>
    <n v="3"/>
    <s v="ok"/>
    <n v="51.109999999999992"/>
  </r>
  <r>
    <s v="T101147"/>
    <s v="2025-10-31"/>
    <s v="C1746"/>
    <s v="  James "/>
    <s v="James"/>
    <s v="Male"/>
    <n v="56"/>
    <s v="Valid"/>
    <s v="lagos"/>
    <x v="0"/>
    <s v="Groceries"/>
    <s v="Groceries"/>
    <s v="Rice"/>
    <s v="Rice"/>
    <n v="89.28"/>
    <n v="-2"/>
    <n v="1"/>
    <n v="120"/>
    <s v="invalid"/>
    <s v="Mobile Money"/>
    <s v="Mobile Money"/>
    <s v="Dan"/>
    <x v="0"/>
    <x v="0"/>
    <n v="2"/>
    <s v="ok"/>
    <n v="-17.855999999999995"/>
  </r>
  <r>
    <s v="T101148"/>
    <s v="30/03/2025"/>
    <s v="C5924"/>
    <s v="Peter"/>
    <s v="Peter"/>
    <s v="Male"/>
    <n v="130"/>
    <s v="Invalid"/>
    <s v="Enugu"/>
    <x v="2"/>
    <s v="Fashion"/>
    <s v="Fashion"/>
    <s v="Shirt"/>
    <s v="Shirt"/>
    <n v="313.10000000000002"/>
    <n v="-2"/>
    <n v="1"/>
    <n v="-10"/>
    <s v="invalid"/>
    <s v="POS"/>
    <s v="Pos"/>
    <s v="Dan"/>
    <x v="0"/>
    <x v="3"/>
    <n v="2"/>
    <s v="ok"/>
    <n v="344.41"/>
  </r>
  <r>
    <s v="T101149"/>
    <s v="2025-10-04"/>
    <s v="C3409"/>
    <s v="Peter"/>
    <s v="Peter"/>
    <s v="Female"/>
    <n v="130"/>
    <s v="Invalid"/>
    <s v="lagos"/>
    <x v="0"/>
    <s v="Sports"/>
    <s v="Sports"/>
    <s v="Ball"/>
    <s v="Ball"/>
    <n v="36.369999999999997"/>
    <n v="1"/>
    <n v="1"/>
    <n v="10"/>
    <s v="Valid"/>
    <s v="Cash"/>
    <s v="Cash"/>
    <s v="Dan"/>
    <x v="0"/>
    <x v="2"/>
    <n v="3"/>
    <s v="ok"/>
    <n v="32.732999999999997"/>
  </r>
  <r>
    <s v="T101150"/>
    <s v="2025-12-17"/>
    <s v="C2048"/>
    <m/>
    <s v=""/>
    <s v="Female"/>
    <n v="61"/>
    <s v="Valid"/>
    <s v="Abuja"/>
    <x v="3"/>
    <s v="Electronics"/>
    <s v="Electronics"/>
    <s v="Phone"/>
    <s v="Phone"/>
    <n v="438.62"/>
    <n v="6"/>
    <n v="6"/>
    <n v="15"/>
    <s v="Valid"/>
    <s v="Transfer"/>
    <s v="Transfer"/>
    <s v="Ben"/>
    <x v="3"/>
    <x v="2"/>
    <n v="2"/>
    <s v="Missing"/>
    <n v="2236.962"/>
  </r>
  <r>
    <s v="T101151"/>
    <s v="2026-03-22"/>
    <s v="C5750"/>
    <s v="David"/>
    <s v="David"/>
    <s v="Male"/>
    <n v="8"/>
    <s v="Invalid"/>
    <s v="PH"/>
    <x v="1"/>
    <s v="Fashion"/>
    <s v="Fashion"/>
    <s v="Shirt"/>
    <s v="Shirt"/>
    <n v="112.93"/>
    <n v="4"/>
    <n v="4"/>
    <n v="15"/>
    <s v="Valid"/>
    <s v="Mobile Money"/>
    <s v="Mobile Money"/>
    <s v="Dan"/>
    <x v="0"/>
    <x v="3"/>
    <n v="1"/>
    <s v="ok"/>
    <n v="383.96199999999999"/>
  </r>
  <r>
    <s v="T101152"/>
    <s v="2025-12-18"/>
    <s v="C9244"/>
    <s v="David"/>
    <s v="David"/>
    <s v="Female"/>
    <n v="130"/>
    <s v="Invalid"/>
    <s v="Enugu"/>
    <x v="2"/>
    <s v="Electronics"/>
    <s v="Electronics"/>
    <s v="Phone"/>
    <s v="Phone"/>
    <n v="202.73"/>
    <n v="-2"/>
    <n v="1"/>
    <n v="10"/>
    <s v="Valid"/>
    <s v="Mobile Money"/>
    <s v="Mobile Money"/>
    <s v="Dan"/>
    <x v="0"/>
    <x v="2"/>
    <m/>
    <s v="ok"/>
    <n v="182.45699999999999"/>
  </r>
  <r>
    <s v="T101153"/>
    <s v="2026-04-29"/>
    <s v="C3294"/>
    <s v="Aisha"/>
    <s v="Aisha"/>
    <s v="Male"/>
    <n v="130"/>
    <s v="Invalid"/>
    <s v="Enugu"/>
    <x v="2"/>
    <s v="Fashion"/>
    <s v="Fashion"/>
    <s v="Shirt"/>
    <s v="Shirt"/>
    <n v="394.12"/>
    <n v="1"/>
    <n v="1"/>
    <n v="-10"/>
    <s v="invalid"/>
    <s v="Transfer"/>
    <s v="Transfer"/>
    <s v="Chi"/>
    <x v="1"/>
    <x v="2"/>
    <n v="5"/>
    <s v="ok"/>
    <n v="433.53200000000004"/>
  </r>
  <r>
    <s v="T101154"/>
    <s v="2025-06-12"/>
    <s v="C5699"/>
    <s v="John"/>
    <s v="John"/>
    <s v="Male"/>
    <n v="130"/>
    <s v="Invalid"/>
    <s v="Abuja"/>
    <x v="3"/>
    <s v="Home"/>
    <s v="Home"/>
    <s v="Chair"/>
    <s v="Chair"/>
    <n v="470.61"/>
    <n v="5"/>
    <n v="5"/>
    <n v="-10"/>
    <s v="invalid"/>
    <s v="Transfer"/>
    <s v="Transfer"/>
    <s v="Dan"/>
    <x v="0"/>
    <x v="1"/>
    <n v="2"/>
    <s v="ok"/>
    <n v="2588.3550000000005"/>
  </r>
  <r>
    <s v="T101155"/>
    <s v="18/01/2025"/>
    <s v="C3108"/>
    <s v="Mary"/>
    <s v="Mary"/>
    <s v="Male"/>
    <n v="34"/>
    <s v="Valid"/>
    <s v="Abuja"/>
    <x v="3"/>
    <s v="Home"/>
    <s v="Home"/>
    <s v="Chair"/>
    <s v="Chair"/>
    <n v="89.4"/>
    <n v="-2"/>
    <n v="1"/>
    <n v="10"/>
    <s v="Valid"/>
    <m/>
    <s v=""/>
    <s v="Ada"/>
    <x v="2"/>
    <x v="1"/>
    <n v="5"/>
    <s v="ok"/>
    <n v="80.460000000000008"/>
  </r>
  <r>
    <s v="T101156"/>
    <s v="2025-06-20"/>
    <s v="C9674"/>
    <s v="Grace"/>
    <s v="Grace"/>
    <s v="Male"/>
    <n v="130"/>
    <s v="Invalid"/>
    <s v="PH"/>
    <x v="1"/>
    <s v="groceris"/>
    <s v="Groceris"/>
    <s v="Rice"/>
    <s v="Rice"/>
    <n v="61.35"/>
    <n v="-2"/>
    <n v="1"/>
    <n v="-10"/>
    <s v="invalid"/>
    <s v="POS"/>
    <s v="Pos"/>
    <s v="Chi"/>
    <x v="1"/>
    <x v="0"/>
    <n v="2"/>
    <s v="ok"/>
    <n v="67.485000000000014"/>
  </r>
  <r>
    <s v="T101157"/>
    <s v="2025-10-29"/>
    <s v="C2490"/>
    <s v="Mary"/>
    <s v="Mary"/>
    <s v="Female"/>
    <n v="130"/>
    <s v="Invalid"/>
    <s v="lagos"/>
    <x v="0"/>
    <s v="Fashion"/>
    <s v="Fashion"/>
    <s v="Shirt"/>
    <s v="Shirt"/>
    <n v="19.100000000000001"/>
    <n v="-2"/>
    <n v="1"/>
    <n v="10"/>
    <s v="Valid"/>
    <s v="Transfer"/>
    <s v="Transfer"/>
    <s v="Ada"/>
    <x v="2"/>
    <x v="1"/>
    <n v="3"/>
    <s v="ok"/>
    <n v="17.190000000000001"/>
  </r>
  <r>
    <s v="T101158"/>
    <s v="2025-09-15"/>
    <s v="C4548"/>
    <s v="Peter"/>
    <s v="Peter"/>
    <s v="Male"/>
    <n v="130"/>
    <s v="Invalid"/>
    <s v="Enugu"/>
    <x v="2"/>
    <s v="Fashion"/>
    <s v="Fashion"/>
    <s v="Shirt"/>
    <s v="Shirt"/>
    <n v="403.65"/>
    <n v="-2"/>
    <n v="1"/>
    <n v="10"/>
    <s v="Valid"/>
    <s v="Mobile Money"/>
    <s v="Mobile Money"/>
    <s v="Ben"/>
    <x v="3"/>
    <x v="2"/>
    <n v="4"/>
    <s v="ok"/>
    <n v="363.28499999999997"/>
  </r>
  <r>
    <s v="T101159"/>
    <s v="2025-11-13"/>
    <s v="C1171"/>
    <s v="Mary"/>
    <s v="Mary"/>
    <s v="Female"/>
    <n v="49"/>
    <s v="Valid"/>
    <s v="Kano"/>
    <x v="4"/>
    <s v="Electronics"/>
    <s v="Electronics"/>
    <s v="Phone"/>
    <s v="Phone"/>
    <n v="376.39"/>
    <n v="-2"/>
    <n v="1"/>
    <n v="0"/>
    <s v="Valid"/>
    <m/>
    <s v=""/>
    <s v="Chi"/>
    <x v="1"/>
    <x v="3"/>
    <n v="2"/>
    <s v="ok"/>
    <n v="376.39"/>
  </r>
  <r>
    <s v="T101160"/>
    <s v="2025-02-20"/>
    <s v="C6756"/>
    <s v="John"/>
    <s v="John"/>
    <s v="Male"/>
    <n v="8"/>
    <s v="Invalid"/>
    <s v="lagos"/>
    <x v="0"/>
    <s v="Sports"/>
    <s v="Sports"/>
    <s v="Ball"/>
    <s v="Ball"/>
    <n v="258.52999999999997"/>
    <n v="1"/>
    <n v="1"/>
    <n v="-10"/>
    <s v="invalid"/>
    <s v="Transfer"/>
    <s v="Transfer"/>
    <s v="Dan"/>
    <x v="0"/>
    <x v="3"/>
    <n v="1"/>
    <s v="ok"/>
    <n v="284.38299999999998"/>
  </r>
  <r>
    <s v="T101161"/>
    <s v="2026-03-10"/>
    <s v="C8424"/>
    <m/>
    <s v=""/>
    <s v="Male"/>
    <n v="8"/>
    <s v="Invalid"/>
    <s v="PH"/>
    <x v="1"/>
    <s v="Home"/>
    <s v="Home"/>
    <s v="Chair"/>
    <s v="Chair"/>
    <n v="179.69"/>
    <n v="1"/>
    <n v="1"/>
    <n v="-10"/>
    <s v="invalid"/>
    <m/>
    <s v=""/>
    <s v="Ada"/>
    <x v="2"/>
    <x v="2"/>
    <n v="2"/>
    <s v="Missing"/>
    <n v="197.65900000000002"/>
  </r>
  <r>
    <s v="T101162"/>
    <s v="06/08/2025"/>
    <s v="C6971"/>
    <s v="Grace"/>
    <s v="Grace"/>
    <s v="Female"/>
    <n v="130"/>
    <s v="Invalid"/>
    <s v="lagos"/>
    <x v="0"/>
    <s v="groceris"/>
    <s v="Groceris"/>
    <s v="Rice"/>
    <s v="Rice"/>
    <n v="263.58"/>
    <n v="2"/>
    <n v="2"/>
    <n v="-10"/>
    <s v="invalid"/>
    <s v="Cash"/>
    <s v="Cash"/>
    <s v="Chi"/>
    <x v="1"/>
    <x v="3"/>
    <n v="1"/>
    <s v="ok"/>
    <n v="579.87599999999998"/>
  </r>
  <r>
    <s v="T101163"/>
    <s v="2026-04-29"/>
    <s v="C5815"/>
    <s v="John"/>
    <s v="John"/>
    <s v="Male"/>
    <n v="8"/>
    <s v="Invalid"/>
    <s v="lagos"/>
    <x v="0"/>
    <s v="Beauty"/>
    <s v="Beauty"/>
    <s v="Cream"/>
    <s v="Cream"/>
    <n v="177.72"/>
    <n v="3"/>
    <n v="3"/>
    <n v="120"/>
    <s v="invalid"/>
    <s v="Transfer"/>
    <s v="Transfer"/>
    <s v="Chi"/>
    <x v="1"/>
    <x v="0"/>
    <n v="3"/>
    <s v="ok"/>
    <n v="-106.63199999999998"/>
  </r>
  <r>
    <s v="T101164"/>
    <s v="2026-03-11"/>
    <s v="C2723"/>
    <s v="John"/>
    <s v="John"/>
    <s v="Male"/>
    <n v="8"/>
    <s v="Invalid"/>
    <s v="Kano"/>
    <x v="4"/>
    <s v="Sports"/>
    <s v="Sports"/>
    <s v="Ball"/>
    <s v="Ball"/>
    <n v="446.89"/>
    <n v="-2"/>
    <n v="1"/>
    <n v="-10"/>
    <s v="invalid"/>
    <s v="POS"/>
    <s v="Pos"/>
    <s v="Ada"/>
    <x v="2"/>
    <x v="2"/>
    <n v="3"/>
    <s v="ok"/>
    <n v="491.57900000000001"/>
  </r>
  <r>
    <s v="T101165"/>
    <s v="2025-09-29"/>
    <s v="C4948"/>
    <s v="John"/>
    <s v="John"/>
    <s v="Female"/>
    <n v="130"/>
    <s v="Invalid"/>
    <s v="Enugu"/>
    <x v="2"/>
    <s v="groceris"/>
    <s v="Groceris"/>
    <s v="Rice"/>
    <s v="Rice"/>
    <n v="376.48"/>
    <n v="7"/>
    <n v="7"/>
    <n v="0"/>
    <s v="Valid"/>
    <m/>
    <s v=""/>
    <s v="Chi"/>
    <x v="1"/>
    <x v="0"/>
    <n v="5"/>
    <s v="ok"/>
    <n v="2635.36"/>
  </r>
  <r>
    <s v="T101166"/>
    <s v="2025-09-18"/>
    <s v="C3004"/>
    <s v="Aisha"/>
    <s v="Aisha"/>
    <s v="Male"/>
    <n v="8"/>
    <s v="Invalid"/>
    <s v="PH"/>
    <x v="1"/>
    <s v="Electronics"/>
    <s v="Electronics"/>
    <s v="Phone"/>
    <s v="Phone"/>
    <n v="338.82"/>
    <n v="8"/>
    <n v="8"/>
    <n v="10"/>
    <s v="Valid"/>
    <s v="Transfer"/>
    <s v="Transfer"/>
    <s v="Ben"/>
    <x v="3"/>
    <x v="0"/>
    <n v="2"/>
    <s v="ok"/>
    <n v="2439.5039999999999"/>
  </r>
  <r>
    <s v="T101167"/>
    <s v="2025-03-22"/>
    <s v="C6711"/>
    <s v="  James "/>
    <s v="James"/>
    <s v="Male"/>
    <n v="130"/>
    <s v="Invalid"/>
    <s v="lagos"/>
    <x v="0"/>
    <s v="Fashion"/>
    <s v="Fashion"/>
    <s v="Shirt"/>
    <s v="Shirt"/>
    <n v="467.78"/>
    <n v="10"/>
    <n v="10"/>
    <n v="120"/>
    <s v="invalid"/>
    <s v="Transfer"/>
    <s v="Transfer"/>
    <s v="Ben"/>
    <x v="3"/>
    <x v="1"/>
    <n v="4"/>
    <s v="ok"/>
    <n v="-935.5599999999996"/>
  </r>
  <r>
    <s v="T101168"/>
    <s v="2025-11-13"/>
    <s v="C5331"/>
    <s v="David"/>
    <s v="David"/>
    <s v="Female"/>
    <n v="8"/>
    <s v="Invalid"/>
    <s v="lagos"/>
    <x v="0"/>
    <s v="groceris"/>
    <s v="Groceris"/>
    <s v="Rice"/>
    <s v="Rice"/>
    <n v="338"/>
    <n v="9"/>
    <n v="9"/>
    <n v="120"/>
    <s v="invalid"/>
    <m/>
    <s v=""/>
    <s v="Ben"/>
    <x v="3"/>
    <x v="0"/>
    <m/>
    <s v="ok"/>
    <n v="-608.39999999999986"/>
  </r>
  <r>
    <s v="T101169"/>
    <s v="29/01/2026"/>
    <s v="C7180"/>
    <s v="David"/>
    <s v="David"/>
    <s v="Male"/>
    <n v="130"/>
    <s v="Invalid"/>
    <s v="lagos"/>
    <x v="0"/>
    <s v="Electronics"/>
    <s v="Electronics"/>
    <s v="Phone"/>
    <s v="Phone"/>
    <n v="401.76"/>
    <n v="-2"/>
    <n v="1"/>
    <n v="10"/>
    <s v="Valid"/>
    <s v="Transfer"/>
    <s v="Transfer"/>
    <s v="Ada"/>
    <x v="2"/>
    <x v="3"/>
    <n v="1"/>
    <s v="ok"/>
    <n v="361.584"/>
  </r>
  <r>
    <s v="T101170"/>
    <s v="2026-06-23"/>
    <s v="C3004"/>
    <s v="  James "/>
    <s v="James"/>
    <s v="Male"/>
    <n v="8"/>
    <s v="Invalid"/>
    <s v="Abuja"/>
    <x v="3"/>
    <s v="Groceries"/>
    <s v="Groceries"/>
    <s v="Rice"/>
    <s v="Rice"/>
    <n v="401.83"/>
    <n v="-2"/>
    <n v="1"/>
    <n v="0"/>
    <s v="Valid"/>
    <s v="POS"/>
    <s v="Pos"/>
    <s v="Ada"/>
    <x v="2"/>
    <x v="0"/>
    <n v="3"/>
    <s v="ok"/>
    <n v="401.83"/>
  </r>
  <r>
    <s v="T101171"/>
    <s v="2025-03-23"/>
    <s v="C7360"/>
    <m/>
    <s v=""/>
    <s v="Male"/>
    <n v="8"/>
    <s v="Invalid"/>
    <s v="lagos"/>
    <x v="0"/>
    <s v="groceris"/>
    <s v="Groceris"/>
    <s v="Rice"/>
    <s v="Rice"/>
    <n v="390.44"/>
    <n v="-2"/>
    <n v="1"/>
    <n v="0"/>
    <s v="Valid"/>
    <s v="POS"/>
    <s v="Pos"/>
    <s v="Chi"/>
    <x v="1"/>
    <x v="0"/>
    <n v="5"/>
    <s v="Missing"/>
    <n v="390.44"/>
  </r>
  <r>
    <s v="T101172"/>
    <s v="2025-04-16"/>
    <s v="C8722"/>
    <s v="Mary"/>
    <s v="Mary"/>
    <s v="Male"/>
    <n v="8"/>
    <s v="Invalid"/>
    <s v="lagos"/>
    <x v="0"/>
    <s v="Sports"/>
    <s v="Sports"/>
    <s v="Ball"/>
    <s v="Ball"/>
    <n v="368.54"/>
    <n v="-2"/>
    <n v="1"/>
    <n v="15"/>
    <s v="Valid"/>
    <m/>
    <s v=""/>
    <s v="Ben"/>
    <x v="3"/>
    <x v="2"/>
    <m/>
    <s v="ok"/>
    <n v="313.25900000000001"/>
  </r>
  <r>
    <s v="T101173"/>
    <s v="2025-04-09"/>
    <s v="C9034"/>
    <m/>
    <s v=""/>
    <s v="Female"/>
    <n v="8"/>
    <s v="Invalid"/>
    <s v="Abuja"/>
    <x v="3"/>
    <s v="groceris"/>
    <s v="Groceris"/>
    <s v="Rice"/>
    <s v="Rice"/>
    <n v="83.27"/>
    <n v="9"/>
    <n v="9"/>
    <n v="-10"/>
    <s v="invalid"/>
    <s v="Cash"/>
    <s v="Cash"/>
    <s v="Chi"/>
    <x v="1"/>
    <x v="1"/>
    <n v="2"/>
    <s v="Missing"/>
    <n v="824.37300000000005"/>
  </r>
  <r>
    <s v="T101174"/>
    <s v="2025-01-10"/>
    <s v="C9468"/>
    <m/>
    <s v=""/>
    <s v="Male"/>
    <n v="130"/>
    <s v="Invalid"/>
    <s v="PH"/>
    <x v="1"/>
    <s v="Beauty"/>
    <s v="Beauty"/>
    <s v="Cream"/>
    <s v="Cream"/>
    <n v="378.34"/>
    <n v="-2"/>
    <n v="1"/>
    <n v="0"/>
    <s v="Valid"/>
    <m/>
    <s v=""/>
    <s v="Ben"/>
    <x v="3"/>
    <x v="0"/>
    <m/>
    <s v="Missing"/>
    <n v="378.34"/>
  </r>
  <r>
    <s v="T101175"/>
    <s v="2026-06-22"/>
    <s v="C9611"/>
    <s v="Mary"/>
    <s v="Mary"/>
    <s v="Female"/>
    <n v="130"/>
    <s v="Invalid"/>
    <s v="lagos"/>
    <x v="0"/>
    <s v="Electronics"/>
    <s v="Electronics"/>
    <s v="Phone"/>
    <s v="Phone"/>
    <n v="341.49"/>
    <n v="-2"/>
    <n v="1"/>
    <n v="12"/>
    <s v="Valid"/>
    <s v="Cash"/>
    <s v="Cash"/>
    <s v="Ada"/>
    <x v="2"/>
    <x v="0"/>
    <n v="3"/>
    <s v="ok"/>
    <n v="300.51120000000003"/>
  </r>
  <r>
    <s v="T101176"/>
    <s v="25/08/2025"/>
    <s v="C3198"/>
    <s v="Grace"/>
    <s v="Grace"/>
    <s v="Male"/>
    <n v="8"/>
    <s v="Invalid"/>
    <s v="lagos"/>
    <x v="0"/>
    <s v="Fashion"/>
    <s v="Fashion"/>
    <s v="Shirt"/>
    <s v="Shirt"/>
    <n v="415.78"/>
    <n v="-2"/>
    <n v="1"/>
    <n v="15"/>
    <s v="Valid"/>
    <s v="Cash"/>
    <s v="Cash"/>
    <s v="Ben"/>
    <x v="3"/>
    <x v="1"/>
    <n v="2"/>
    <s v="ok"/>
    <n v="353.41299999999995"/>
  </r>
  <r>
    <s v="T101177"/>
    <s v="2026-06-03"/>
    <s v="C4302"/>
    <s v="David"/>
    <s v="David"/>
    <s v="Female"/>
    <n v="130"/>
    <s v="Invalid"/>
    <s v="lagos"/>
    <x v="0"/>
    <s v="Sports"/>
    <s v="Sports"/>
    <s v="Ball"/>
    <s v="Ball"/>
    <n v="91.68"/>
    <n v="-2"/>
    <n v="1"/>
    <n v="10"/>
    <s v="Valid"/>
    <m/>
    <s v=""/>
    <s v="Dan"/>
    <x v="0"/>
    <x v="3"/>
    <n v="1"/>
    <s v="ok"/>
    <n v="82.512000000000015"/>
  </r>
  <r>
    <s v="T101178"/>
    <s v="2025-04-23"/>
    <s v="C8377"/>
    <s v="Grace"/>
    <s v="Grace"/>
    <s v="Female"/>
    <n v="8"/>
    <s v="Invalid"/>
    <s v="PH"/>
    <x v="1"/>
    <s v="groceris"/>
    <s v="Groceris"/>
    <s v="Rice"/>
    <s v="Rice"/>
    <n v="12.58"/>
    <n v="-2"/>
    <n v="1"/>
    <n v="10"/>
    <s v="Valid"/>
    <s v="Transfer"/>
    <s v="Transfer"/>
    <s v="Dan"/>
    <x v="0"/>
    <x v="2"/>
    <n v="5"/>
    <s v="ok"/>
    <n v="11.322000000000001"/>
  </r>
  <r>
    <s v="T101179"/>
    <s v="2025-10-15"/>
    <s v="C6137"/>
    <s v="Aisha"/>
    <s v="Aisha"/>
    <s v="Male"/>
    <n v="36"/>
    <s v="Valid"/>
    <s v="Kano"/>
    <x v="4"/>
    <s v="Electronics"/>
    <s v="Electronics"/>
    <s v="Phone"/>
    <s v="Phone"/>
    <n v="185.28"/>
    <n v="2"/>
    <n v="2"/>
    <n v="0"/>
    <s v="Valid"/>
    <s v="Transfer"/>
    <s v="Transfer"/>
    <s v="Ben"/>
    <x v="3"/>
    <x v="2"/>
    <m/>
    <s v="ok"/>
    <n v="370.56"/>
  </r>
  <r>
    <s v="T101180"/>
    <s v="2026-01-12"/>
    <s v="C5312"/>
    <s v="Aisha"/>
    <s v="Aisha"/>
    <s v="Female"/>
    <n v="40"/>
    <s v="Valid"/>
    <s v="lagos"/>
    <x v="0"/>
    <s v="Electronics"/>
    <s v="Electronics"/>
    <s v="Phone"/>
    <s v="Phone"/>
    <n v="103.19"/>
    <n v="5"/>
    <n v="5"/>
    <n v="12"/>
    <s v="Valid"/>
    <s v="POS"/>
    <s v="Pos"/>
    <s v="Ben"/>
    <x v="3"/>
    <x v="0"/>
    <n v="5"/>
    <s v="ok"/>
    <n v="454.03600000000006"/>
  </r>
  <r>
    <s v="T101181"/>
    <s v="2025-03-06"/>
    <s v="C8107"/>
    <s v="David"/>
    <s v="David"/>
    <s v="Male"/>
    <n v="130"/>
    <s v="Invalid"/>
    <s v="PH"/>
    <x v="1"/>
    <s v="Fashion"/>
    <s v="Fashion"/>
    <s v="Shirt"/>
    <s v="Shirt"/>
    <n v="364.86"/>
    <n v="-2"/>
    <n v="1"/>
    <n v="10"/>
    <s v="Valid"/>
    <s v="Cash"/>
    <s v="Cash"/>
    <s v="Ben"/>
    <x v="3"/>
    <x v="0"/>
    <m/>
    <s v="ok"/>
    <n v="328.37400000000002"/>
  </r>
  <r>
    <s v="T101182"/>
    <s v="2025-07-11"/>
    <s v="C6561"/>
    <s v="John"/>
    <s v="John"/>
    <s v="Male"/>
    <n v="130"/>
    <s v="Invalid"/>
    <s v="Abuja"/>
    <x v="3"/>
    <s v="Fashion"/>
    <s v="Fashion"/>
    <s v="Shirt"/>
    <s v="Shirt"/>
    <n v="388.1"/>
    <n v="5"/>
    <n v="5"/>
    <n v="15"/>
    <s v="Valid"/>
    <s v="POS"/>
    <s v="Pos"/>
    <s v="Ben"/>
    <x v="3"/>
    <x v="0"/>
    <n v="4"/>
    <s v="ok"/>
    <n v="1649.425"/>
  </r>
  <r>
    <s v="T101183"/>
    <s v="14/06/2025"/>
    <s v="C8687"/>
    <s v="Peter"/>
    <s v="Peter"/>
    <s v="Female"/>
    <n v="61"/>
    <s v="Valid"/>
    <s v="Enugu"/>
    <x v="2"/>
    <s v="Beauty"/>
    <s v="Beauty"/>
    <s v="Cream"/>
    <s v="Cream"/>
    <n v="465.4"/>
    <n v="-2"/>
    <n v="1"/>
    <n v="5"/>
    <s v="Valid"/>
    <s v="Transfer"/>
    <s v="Transfer"/>
    <s v="Ben"/>
    <x v="3"/>
    <x v="0"/>
    <n v="2"/>
    <s v="ok"/>
    <n v="442.12999999999994"/>
  </r>
  <r>
    <s v="T101184"/>
    <s v="2025-07-23"/>
    <s v="C9624"/>
    <s v="Peter"/>
    <s v="Peter"/>
    <s v="Male"/>
    <n v="31"/>
    <s v="Valid"/>
    <s v="lagos"/>
    <x v="0"/>
    <s v="Groceries"/>
    <s v="Groceries"/>
    <s v="Rice"/>
    <s v="Rice"/>
    <n v="67.3"/>
    <n v="10"/>
    <n v="10"/>
    <n v="0"/>
    <s v="Valid"/>
    <s v="POS"/>
    <s v="Pos"/>
    <s v="Ben"/>
    <x v="3"/>
    <x v="0"/>
    <m/>
    <s v="ok"/>
    <n v="673"/>
  </r>
  <r>
    <s v="T101185"/>
    <s v="2025-05-25"/>
    <s v="C6331"/>
    <s v="Peter"/>
    <s v="Peter"/>
    <s v="Male"/>
    <n v="130"/>
    <s v="Invalid"/>
    <s v="lagos"/>
    <x v="0"/>
    <s v="Fashion"/>
    <s v="Fashion"/>
    <s v="Shirt"/>
    <s v="Shirt"/>
    <n v="334.81"/>
    <n v="-2"/>
    <n v="1"/>
    <n v="5"/>
    <s v="Valid"/>
    <s v="Cash"/>
    <s v="Cash"/>
    <s v="Dan"/>
    <x v="0"/>
    <x v="0"/>
    <n v="1"/>
    <s v="ok"/>
    <n v="318.06950000000001"/>
  </r>
  <r>
    <s v="T101186"/>
    <s v="2025-07-29"/>
    <s v="C5094"/>
    <s v="  James "/>
    <s v="James"/>
    <s v="Male"/>
    <n v="65"/>
    <s v="Invalid"/>
    <s v="lagos"/>
    <x v="0"/>
    <s v="groceris"/>
    <s v="Groceris"/>
    <s v="Rice"/>
    <s v="Rice"/>
    <n v="354.53"/>
    <n v="-2"/>
    <n v="1"/>
    <n v="0"/>
    <s v="Valid"/>
    <s v="Mobile Money"/>
    <s v="Mobile Money"/>
    <s v="Ben"/>
    <x v="3"/>
    <x v="2"/>
    <n v="1"/>
    <s v="ok"/>
    <n v="354.53"/>
  </r>
  <r>
    <s v="T101187"/>
    <s v="2025-03-03"/>
    <s v="C6472"/>
    <s v="David"/>
    <s v="David"/>
    <s v="Male"/>
    <n v="8"/>
    <s v="Invalid"/>
    <s v="Abuja"/>
    <x v="3"/>
    <s v="Sports"/>
    <s v="Sports"/>
    <s v="Ball"/>
    <s v="Ball"/>
    <n v="480.18"/>
    <n v="7"/>
    <n v="7"/>
    <n v="10"/>
    <s v="Valid"/>
    <s v="POS"/>
    <s v="Pos"/>
    <s v="Ben"/>
    <x v="3"/>
    <x v="2"/>
    <n v="5"/>
    <s v="ok"/>
    <n v="3025.1340000000005"/>
  </r>
  <r>
    <s v="T101188"/>
    <s v="2025-01-24"/>
    <s v="C3215"/>
    <s v="Mary"/>
    <s v="Mary"/>
    <s v="Male"/>
    <n v="8"/>
    <s v="Invalid"/>
    <s v="Kano"/>
    <x v="4"/>
    <s v="Sports"/>
    <s v="Sports"/>
    <s v="Ball"/>
    <s v="Ball"/>
    <n v="423.89"/>
    <n v="6"/>
    <n v="6"/>
    <n v="0"/>
    <s v="Valid"/>
    <s v="Mobile Money"/>
    <s v="Mobile Money"/>
    <s v="Ada"/>
    <x v="2"/>
    <x v="0"/>
    <n v="2"/>
    <s v="ok"/>
    <n v="2543.34"/>
  </r>
  <r>
    <s v="T101189"/>
    <s v="2026-06-07"/>
    <s v="C2307"/>
    <s v="Aisha"/>
    <s v="Aisha"/>
    <s v="Female"/>
    <n v="8"/>
    <s v="Invalid"/>
    <s v="lagos"/>
    <x v="0"/>
    <s v="Home"/>
    <s v="Home"/>
    <s v="Chair"/>
    <s v="Chair"/>
    <n v="459.94"/>
    <n v="-2"/>
    <n v="1"/>
    <n v="0"/>
    <s v="Valid"/>
    <s v="Mobile Money"/>
    <s v="Mobile Money"/>
    <s v="Chi"/>
    <x v="1"/>
    <x v="0"/>
    <n v="5"/>
    <s v="ok"/>
    <n v="459.94"/>
  </r>
  <r>
    <s v="T101190"/>
    <s v="26/10/2025"/>
    <s v="C4643"/>
    <s v="Aisha"/>
    <s v="Aisha"/>
    <s v="Male"/>
    <n v="61"/>
    <s v="Valid"/>
    <s v="lagos"/>
    <x v="0"/>
    <s v="Sports"/>
    <s v="Sports"/>
    <s v="Ball"/>
    <s v="Ball"/>
    <n v="286.56"/>
    <n v="6"/>
    <n v="6"/>
    <n v="0"/>
    <s v="Valid"/>
    <s v="POS"/>
    <s v="Pos"/>
    <s v="Dan"/>
    <x v="0"/>
    <x v="2"/>
    <n v="1"/>
    <s v="ok"/>
    <n v="1719.3600000000001"/>
  </r>
  <r>
    <s v="T101191"/>
    <s v="2025-04-10"/>
    <s v="C1178"/>
    <s v="Aisha"/>
    <s v="Aisha"/>
    <s v="Male"/>
    <n v="130"/>
    <s v="Invalid"/>
    <s v="lagos"/>
    <x v="0"/>
    <s v="Groceries"/>
    <s v="Groceries"/>
    <s v="Rice"/>
    <s v="Rice"/>
    <n v="102.45"/>
    <n v="-2"/>
    <n v="1"/>
    <n v="10"/>
    <s v="Valid"/>
    <m/>
    <s v=""/>
    <s v="Ben"/>
    <x v="3"/>
    <x v="2"/>
    <n v="2"/>
    <s v="ok"/>
    <n v="92.204999999999998"/>
  </r>
  <r>
    <s v="T101192"/>
    <s v="2025-03-31"/>
    <s v="C1083"/>
    <s v="Aisha"/>
    <s v="Aisha"/>
    <s v="Female"/>
    <n v="130"/>
    <s v="Invalid"/>
    <s v="lagos"/>
    <x v="0"/>
    <s v="Beauty"/>
    <s v="Beauty"/>
    <s v="Cream"/>
    <s v="Cream"/>
    <n v="300.64"/>
    <n v="-2"/>
    <n v="1"/>
    <n v="5"/>
    <s v="Valid"/>
    <m/>
    <s v=""/>
    <s v="Chi"/>
    <x v="1"/>
    <x v="2"/>
    <n v="4"/>
    <s v="ok"/>
    <n v="285.60799999999995"/>
  </r>
  <r>
    <s v="T101193"/>
    <s v="2026-05-07"/>
    <s v="C7159"/>
    <s v="Aisha"/>
    <s v="Aisha"/>
    <s v="Male"/>
    <n v="55"/>
    <s v="Valid"/>
    <s v="lagos"/>
    <x v="0"/>
    <s v="groceris"/>
    <s v="Groceris"/>
    <s v="Rice"/>
    <s v="Rice"/>
    <n v="322.10000000000002"/>
    <n v="-2"/>
    <n v="1"/>
    <n v="10"/>
    <s v="Valid"/>
    <s v="POS"/>
    <s v="Pos"/>
    <s v="Dan"/>
    <x v="0"/>
    <x v="3"/>
    <n v="3"/>
    <s v="ok"/>
    <n v="289.89000000000004"/>
  </r>
  <r>
    <s v="T101194"/>
    <s v="2026-03-21"/>
    <s v="C2805"/>
    <s v="Mary"/>
    <s v="Mary"/>
    <s v="Male"/>
    <n v="42"/>
    <s v="Valid"/>
    <s v="Kano"/>
    <x v="4"/>
    <s v="Fashion"/>
    <s v="Fashion"/>
    <s v="Shirt"/>
    <s v="Shirt"/>
    <n v="193.25"/>
    <n v="7"/>
    <n v="7"/>
    <n v="0"/>
    <s v="Valid"/>
    <s v="Mobile Money"/>
    <s v="Mobile Money"/>
    <s v="Dan"/>
    <x v="0"/>
    <x v="3"/>
    <n v="1"/>
    <s v="ok"/>
    <n v="1352.75"/>
  </r>
  <r>
    <s v="T101195"/>
    <s v="2026-03-29"/>
    <s v="C4710"/>
    <m/>
    <s v=""/>
    <s v="Male"/>
    <n v="8"/>
    <s v="Invalid"/>
    <s v="Kano"/>
    <x v="4"/>
    <s v="Beauty"/>
    <s v="Beauty"/>
    <s v="Cream"/>
    <s v="Cream"/>
    <n v="59.38"/>
    <n v="8"/>
    <n v="8"/>
    <n v="0"/>
    <s v="Valid"/>
    <s v="POS"/>
    <s v="Pos"/>
    <s v="Ben"/>
    <x v="3"/>
    <x v="2"/>
    <m/>
    <s v="Missing"/>
    <n v="475.04"/>
  </r>
  <r>
    <s v="T101196"/>
    <s v="2025-10-04"/>
    <s v="C6475"/>
    <s v="Mary"/>
    <s v="Mary"/>
    <s v="Male"/>
    <n v="8"/>
    <s v="Invalid"/>
    <s v="lagos"/>
    <x v="0"/>
    <s v="Electronics"/>
    <s v="Electronics"/>
    <s v="Phone"/>
    <s v="Phone"/>
    <n v="481.58"/>
    <n v="-2"/>
    <n v="1"/>
    <n v="12"/>
    <s v="Valid"/>
    <s v="Transfer"/>
    <s v="Transfer"/>
    <s v="Ada"/>
    <x v="2"/>
    <x v="3"/>
    <n v="4"/>
    <s v="ok"/>
    <n v="423.79039999999998"/>
  </r>
  <r>
    <s v="T101197"/>
    <s v="21/05/2025"/>
    <s v="C2603"/>
    <m/>
    <s v=""/>
    <s v="Female"/>
    <n v="35"/>
    <s v="Valid"/>
    <s v="lagos"/>
    <x v="0"/>
    <s v="groceris"/>
    <s v="Groceris"/>
    <s v="Rice"/>
    <s v="Rice"/>
    <n v="442.53"/>
    <n v="-2"/>
    <n v="1"/>
    <n v="10"/>
    <s v="Valid"/>
    <s v="Transfer"/>
    <s v="Transfer"/>
    <s v="Ben"/>
    <x v="3"/>
    <x v="2"/>
    <n v="5"/>
    <s v="Missing"/>
    <n v="398.27699999999999"/>
  </r>
  <r>
    <s v="T101198"/>
    <s v="2025-02-26"/>
    <s v="C2919"/>
    <m/>
    <s v=""/>
    <s v="Female"/>
    <n v="18"/>
    <s v="Invalid"/>
    <s v="lagos"/>
    <x v="0"/>
    <s v="Beauty"/>
    <s v="Beauty"/>
    <s v="Cream"/>
    <s v="Cream"/>
    <n v="187.78"/>
    <n v="-2"/>
    <n v="1"/>
    <n v="0"/>
    <s v="Valid"/>
    <s v="Cash"/>
    <s v="Cash"/>
    <s v="Dan"/>
    <x v="0"/>
    <x v="2"/>
    <n v="3"/>
    <s v="Missing"/>
    <n v="187.78"/>
  </r>
  <r>
    <s v="T101199"/>
    <s v="2025-02-20"/>
    <s v="C7755"/>
    <m/>
    <s v=""/>
    <s v="Female"/>
    <n v="8"/>
    <s v="Invalid"/>
    <s v="Abuja"/>
    <x v="3"/>
    <s v="Groceries"/>
    <s v="Groceries"/>
    <s v="Rice"/>
    <s v="Rice"/>
    <n v="225.18"/>
    <n v="9"/>
    <n v="9"/>
    <n v="5"/>
    <s v="Valid"/>
    <s v="POS"/>
    <s v="Pos"/>
    <s v="Chi"/>
    <x v="1"/>
    <x v="3"/>
    <m/>
    <s v="Missing"/>
    <n v="1925.289"/>
  </r>
  <r>
    <s v="T101200"/>
    <s v="2026-02-26"/>
    <s v="C1983"/>
    <s v="Grace"/>
    <s v="Grace"/>
    <s v="Male"/>
    <n v="48"/>
    <s v="Valid"/>
    <s v="Abuja"/>
    <x v="3"/>
    <s v="groceris"/>
    <s v="Groceris"/>
    <s v="Rice"/>
    <s v="Rice"/>
    <n v="131.36000000000001"/>
    <n v="5"/>
    <n v="5"/>
    <n v="10"/>
    <s v="Valid"/>
    <s v="Cash"/>
    <s v="Cash"/>
    <s v="Chi"/>
    <x v="1"/>
    <x v="1"/>
    <m/>
    <s v="ok"/>
    <n v="591.12000000000012"/>
  </r>
  <r>
    <s v="T101201"/>
    <s v="2026-01-02"/>
    <s v="C8001"/>
    <s v="Aisha"/>
    <s v="Aisha"/>
    <s v="Female"/>
    <n v="130"/>
    <s v="Invalid"/>
    <s v="lagos"/>
    <x v="0"/>
    <s v="groceris"/>
    <s v="Groceris"/>
    <s v="Rice"/>
    <s v="Rice"/>
    <n v="405.22"/>
    <n v="9"/>
    <n v="9"/>
    <n v="5"/>
    <s v="Valid"/>
    <s v="Mobile Money"/>
    <s v="Mobile Money"/>
    <s v="Ada"/>
    <x v="2"/>
    <x v="3"/>
    <n v="2"/>
    <s v="ok"/>
    <n v="3464.6310000000003"/>
  </r>
  <r>
    <m/>
    <m/>
    <m/>
    <m/>
    <m/>
    <m/>
    <m/>
    <m/>
    <m/>
    <x v="5"/>
    <m/>
    <m/>
    <m/>
    <m/>
    <m/>
    <m/>
    <m/>
    <s v="Missing"/>
    <m/>
    <m/>
    <m/>
    <m/>
    <x v="4"/>
    <x v="4"/>
    <m/>
    <m/>
    <m/>
  </r>
  <r>
    <m/>
    <m/>
    <m/>
    <m/>
    <m/>
    <m/>
    <m/>
    <m/>
    <m/>
    <x v="5"/>
    <m/>
    <m/>
    <m/>
    <m/>
    <m/>
    <m/>
    <m/>
    <s v="Missing"/>
    <m/>
    <m/>
    <m/>
    <m/>
    <x v="4"/>
    <x v="4"/>
    <m/>
    <m/>
    <m/>
  </r>
  <r>
    <m/>
    <m/>
    <m/>
    <m/>
    <m/>
    <m/>
    <m/>
    <m/>
    <m/>
    <x v="5"/>
    <m/>
    <m/>
    <m/>
    <m/>
    <m/>
    <m/>
    <m/>
    <s v="Missing"/>
    <m/>
    <m/>
    <m/>
    <m/>
    <x v="4"/>
    <x v="4"/>
    <m/>
    <m/>
    <m/>
  </r>
  <r>
    <m/>
    <m/>
    <m/>
    <m/>
    <m/>
    <m/>
    <m/>
    <m/>
    <m/>
    <x v="5"/>
    <m/>
    <m/>
    <m/>
    <m/>
    <m/>
    <m/>
    <m/>
    <s v="Missing"/>
    <m/>
    <m/>
    <m/>
    <m/>
    <x v="4"/>
    <x v="4"/>
    <m/>
    <m/>
    <m/>
  </r>
  <r>
    <m/>
    <m/>
    <m/>
    <m/>
    <m/>
    <m/>
    <m/>
    <m/>
    <m/>
    <x v="5"/>
    <m/>
    <m/>
    <m/>
    <m/>
    <m/>
    <m/>
    <m/>
    <m/>
    <m/>
    <m/>
    <m/>
    <m/>
    <x v="4"/>
    <x v="4"/>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F23FD5-59D8-4D99-BD0C-211E3E7DF417}" name="PivotTable1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8:C54"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Total_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DATA!$A:$AA">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CE9942-E910-44CE-9E0F-8E8A5C08BF2A}" name="PivotTable1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6:C43" firstHeaderRow="1" firstDataRow="1" firstDataCol="1"/>
  <pivotFields count="27">
    <pivotField showAll="0"/>
    <pivotField showAll="0"/>
    <pivotField showAll="0"/>
    <pivotField showAll="0"/>
    <pivotField showAll="0"/>
    <pivotField showAll="0"/>
    <pivotField showAll="0"/>
    <pivotField showAll="0"/>
    <pivotField showAll="0"/>
    <pivotField axis="axisRow" showAll="0">
      <items count="7">
        <item x="3"/>
        <item x="2"/>
        <item x="4"/>
        <item x="0"/>
        <item x="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7">
    <i>
      <x/>
    </i>
    <i>
      <x v="1"/>
    </i>
    <i>
      <x v="2"/>
    </i>
    <i>
      <x v="3"/>
    </i>
    <i>
      <x v="4"/>
    </i>
    <i>
      <x v="5"/>
    </i>
    <i t="grand">
      <x/>
    </i>
  </rowItems>
  <colItems count="1">
    <i/>
  </colItems>
  <dataFields count="1">
    <dataField name="Sum of Total_sales" fld="2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90B613-0DA9-4164-9E4F-B2F6339B9A74}" name="PivotTable1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5:C31"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x="4"/>
        <item t="default"/>
      </items>
    </pivotField>
    <pivotField showAll="0"/>
    <pivotField showAll="0"/>
    <pivotField dataField="1" showAll="0"/>
  </pivotFields>
  <rowFields count="1">
    <field x="23"/>
  </rowFields>
  <rowItems count="6">
    <i>
      <x/>
    </i>
    <i>
      <x v="1"/>
    </i>
    <i>
      <x v="2"/>
    </i>
    <i>
      <x v="3"/>
    </i>
    <i>
      <x v="4"/>
    </i>
    <i t="grand">
      <x/>
    </i>
  </rowItems>
  <colItems count="1">
    <i/>
  </colItems>
  <dataFields count="1">
    <dataField name="Sum of Total_sales" fld="2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35C143-1740-4001-8B68-10E8C8007C52}" name="PivotTable10"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5:C21" firstHeaderRow="1" firstDataRow="1" firstDataCol="1"/>
  <pivotFields count="2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1"/>
        <item x="0"/>
        <item x="4"/>
        <item t="default"/>
      </items>
    </pivotField>
    <pivotField showAll="0"/>
    <pivotField showAll="0"/>
    <pivotField showAll="0"/>
    <pivotField dataField="1" showAll="0"/>
  </pivotFields>
  <rowFields count="1">
    <field x="22"/>
  </rowFields>
  <rowItems count="6">
    <i>
      <x/>
    </i>
    <i>
      <x v="1"/>
    </i>
    <i>
      <x v="2"/>
    </i>
    <i>
      <x v="3"/>
    </i>
    <i>
      <x v="4"/>
    </i>
    <i t="grand">
      <x/>
    </i>
  </rowItems>
  <colItems count="1">
    <i/>
  </colItems>
  <dataFields count="1">
    <dataField name="Sum of Total_sales" fld="26"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B152EA-CF4D-49B1-83A5-8F7DB3E3B3AF}" name="PivotTable5"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B3:C6" firstHeaderRow="1" firstDataRow="1" firstDataCol="1"/>
  <pivotFields count="3">
    <pivotField axis="axisRow" allDrilled="1" subtotalTop="0" showAll="0" dataSourceSort="1" defaultSubtotal="0" defaultAttributeDrillState="1">
      <items count="2">
        <item s="1" x="0"/>
        <item s="1"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Total_sal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ange].[Clean_payment_Method].&amp;[Cash]"/>
        <member name="[Range].[Clean_payment_Method].&amp;[Mobile Money]"/>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DATA!$A:$AA">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B64BCAA6-F008-40EA-BDFA-7F3709654AEC}" sourceName="[Range].[Branch]">
  <pivotTables>
    <pivotTable tabId="18" name="PivotTable5"/>
  </pivotTables>
  <data>
    <olap pivotCacheId="669206244">
      <levels count="2">
        <level uniqueName="[Range].[Branch].[(All)]" sourceCaption="(All)" count="0"/>
        <level uniqueName="[Range].[Branch].[Branch]" sourceCaption="Branch" count="5">
          <ranges>
            <range startItem="0">
              <i n="[Range].[Branch].&amp;[East]" c="East"/>
              <i n="[Range].[Branch].&amp;[North]" c="North"/>
              <i n="[Range].[Branch].&amp;[South]" c="South"/>
              <i n="[Range].[Branch].&amp;[West]" c="West"/>
              <i n="[Range].[Branch].&amp;" c="(blank)" nd="1"/>
            </range>
          </ranges>
        </level>
      </levels>
      <selections count="1">
        <selection n="[Range].[Branc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City" xr10:uid="{EBF64589-AB4B-4C96-A705-46DFB2ECEF64}" sourceName="[Range].[Clean_City]">
  <pivotTables>
    <pivotTable tabId="18" name="PivotTable5"/>
  </pivotTables>
  <data>
    <olap pivotCacheId="669206244">
      <levels count="2">
        <level uniqueName="[Range].[Clean_City].[(All)]" sourceCaption="(All)" count="0"/>
        <level uniqueName="[Range].[Clean_City].[Clean_City]" sourceCaption="Clean_City" count="6">
          <ranges>
            <range startItem="0">
              <i n="[Range].[Clean_City].&amp;[Abuja]" c="Abuja"/>
              <i n="[Range].[Clean_City].&amp;[Enugu]" c="Enugu"/>
              <i n="[Range].[Clean_City].&amp;[Kano]" c="Kano"/>
              <i n="[Range].[Clean_City].&amp;[Lagos]" c="Lagos"/>
              <i n="[Range].[Clean_City].&amp;[Ph]" c="Ph"/>
              <i n="[Range].[Clean_City].&amp;" c="(blank)" nd="1"/>
            </range>
          </ranges>
        </level>
      </levels>
      <selections count="1">
        <selection n="[Range].[Clean_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Product_Name" xr10:uid="{FF063748-3F69-4569-A7A4-AEC3429DEBCB}" sourceName="[Range].[Clean_Product_Name]">
  <pivotTables>
    <pivotTable tabId="18" name="PivotTable5"/>
  </pivotTables>
  <data>
    <olap pivotCacheId="669206244">
      <levels count="2">
        <level uniqueName="[Range].[Clean_Product_Name].[(All)]" sourceCaption="(All)" count="0"/>
        <level uniqueName="[Range].[Clean_Product_Name].[Clean_Product_Name]" sourceCaption="Clean_Product_Name" count="8">
          <ranges>
            <range startItem="0">
              <i n="[Range].[Clean_Product_Name].&amp;[Beauty]" c="Beauty"/>
              <i n="[Range].[Clean_Product_Name].&amp;[Electronics]" c="Electronics"/>
              <i n="[Range].[Clean_Product_Name].&amp;[Fashion]" c="Fashion"/>
              <i n="[Range].[Clean_Product_Name].&amp;[Groceries]" c="Groceries"/>
              <i n="[Range].[Clean_Product_Name].&amp;[Groceris]" c="Groceris"/>
              <i n="[Range].[Clean_Product_Name].&amp;[Home]" c="Home"/>
              <i n="[Range].[Clean_Product_Name].&amp;[Sports]" c="Sports"/>
              <i n="[Range].[Clean_Product_Name].&amp;" c="(blank)" nd="1"/>
            </range>
          </ranges>
        </level>
      </levels>
      <selections count="2">
        <selection n="[Range].[Clean_Product_Name].&amp;[Electronics]"/>
        <selection n="[Range].[Clean_Product_Name].&amp;[Fashion]"/>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payment_Method" xr10:uid="{346CA158-1790-4B4C-8201-105B33E0F7AE}" sourceName="[Range].[Clean_payment_Method]">
  <pivotTables>
    <pivotTable tabId="18" name="PivotTable5"/>
  </pivotTables>
  <data>
    <olap pivotCacheId="669206244">
      <levels count="2">
        <level uniqueName="[Range].[Clean_payment_Method].[(All)]" sourceCaption="(All)" count="0"/>
        <level uniqueName="[Range].[Clean_payment_Method].[Clean_payment_Method]" sourceCaption="Clean_payment_Method" count="6">
          <ranges>
            <range startItem="0">
              <i n="[Range].[Clean_payment_Method].&amp;[]" c=""/>
              <i n="[Range].[Clean_payment_Method].&amp;[Cash]" c="Cash"/>
              <i n="[Range].[Clean_payment_Method].&amp;[Mobile Money]" c="Mobile Money"/>
              <i n="[Range].[Clean_payment_Method].&amp;[Pos]" c="Pos"/>
              <i n="[Range].[Clean_payment_Method].&amp;[Transfer]" c="Transfer"/>
              <i n="[Range].[Clean_payment_Method].&amp;" c="(blank)" nd="1"/>
            </range>
          </ranges>
        </level>
      </levels>
      <selections count="2">
        <selection n="[Range].[Clean_payment_Method].&amp;[Cash]"/>
        <selection n="[Range].[Clean_payment_Method].&amp;[Mobile Mone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5F754716-5C46-47CD-8603-2D212025FCB0}" cache="Slicer_Branch" caption="Branch" level="1" rowHeight="241300"/>
  <slicer name="Clean_City" xr10:uid="{E73935CF-695B-4B2B-AA24-BC3EA00F57D4}" cache="Slicer_Clean_City" caption="Clean_City" level="1" rowHeight="241300"/>
  <slicer name="Clean_Product_Name" xr10:uid="{FDDBF1CC-3DD3-4751-B131-6359C5BAACE0}" cache="Slicer_Clean_Product_Name" caption="Clean_Product_Name" startItem="1" level="1" rowHeight="241300"/>
  <slicer name="Clean_payment_Method" xr10:uid="{B37F38F8-04CF-4FA0-9912-6926DFD39A75}" cache="Slicer_Clean_payment_Method" caption="Clean_payment_Method"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64B92F-6D39-45E1-82DC-BD348F0C6D12}" name="Table3" displayName="Table3" ref="A1:Y1197" totalsRowShown="0">
  <autoFilter ref="A1:Y1197" xr:uid="{C264B92F-6D39-45E1-82DC-BD348F0C6D12}"/>
  <tableColumns count="25">
    <tableColumn id="1" xr3:uid="{8EACE3DC-ECE8-451A-A42E-551C2FEF4F66}" name="Transaction_ID"/>
    <tableColumn id="2" xr3:uid="{A329FA92-A6B8-494B-859A-A26F457C888D}" name="Date" dataDxfId="3"/>
    <tableColumn id="3" xr3:uid="{0D11F776-8A63-47F5-93CA-C77BC0AF2C97}" name="Customer_ID"/>
    <tableColumn id="4" xr3:uid="{8DCB8F61-6A13-4E80-8B28-0819D6CF5772}" name="Customer_Name"/>
    <tableColumn id="18" xr3:uid="{336E3247-0552-42A2-9892-25A26B9BCC8C}" name="Clean_Customers_Name" dataDxfId="2">
      <calculatedColumnFormula>PROPER(TRIM(D2))</calculatedColumnFormula>
    </tableColumn>
    <tableColumn id="5" xr3:uid="{D46A7B2D-C278-4207-8AB5-DF944514B4AE}" name="Gender"/>
    <tableColumn id="6" xr3:uid="{9CFE5DF8-A101-4944-A142-44DFABE0F3FE}" name="Age"/>
    <tableColumn id="23" xr3:uid="{2C83F639-D9D0-49FD-9B57-A708C7C3CE7A}" name="Clean_Age" dataDxfId="1">
      <calculatedColumnFormula>IF(AND(G2&gt;18, G2&lt;65), "Valid", "Invalid")</calculatedColumnFormula>
    </tableColumn>
    <tableColumn id="7" xr3:uid="{602CB7B4-EAB2-4839-88E7-76FF427AD1F9}" name="City"/>
    <tableColumn id="17" xr3:uid="{DCFDB924-DDC5-4B06-91BC-AA1B422AC396}" name="Clean_City" dataDxfId="9">
      <calculatedColumnFormula>PROPER(TRIM(I2))</calculatedColumnFormula>
    </tableColumn>
    <tableColumn id="8" xr3:uid="{AA25F237-816B-4AEA-9602-DF9E1E0B2B79}" name="Product_Category"/>
    <tableColumn id="19" xr3:uid="{7FAE6647-A8C0-452C-B4EF-19D9475A0A28}" name="Clean_Product_Name" dataDxfId="8">
      <calculatedColumnFormula>PROPER(TRIM(K2))</calculatedColumnFormula>
    </tableColumn>
    <tableColumn id="9" xr3:uid="{7D64DB7D-D6F3-4DF3-A3FA-D4819DFD7C1E}" name="Product_Name"/>
    <tableColumn id="20" xr3:uid="{E089F190-C881-4A55-B9D3-B09E7CB36094}" name="Clean_Unit_Price" dataDxfId="7">
      <calculatedColumnFormula>PROPER(TRIM(M2))</calculatedColumnFormula>
    </tableColumn>
    <tableColumn id="10" xr3:uid="{BC644606-C891-4F5E-A8B7-D0B566271C11}" name="Unit_Price"/>
    <tableColumn id="11" xr3:uid="{E8E74749-9819-4BD2-A84B-C8AB8632EFDC}" name="Quantity"/>
    <tableColumn id="24" xr3:uid="{FDBD509C-5C20-4AC7-9104-BAAE9615E540}" name="Clean_Quantity" dataDxfId="0">
      <calculatedColumnFormula>IF(P2&lt;1, 1, P2)</calculatedColumnFormula>
    </tableColumn>
    <tableColumn id="12" xr3:uid="{40B26B19-1FE9-4585-AB2F-06B1F93165EB}" name="Discount (%)"/>
    <tableColumn id="25" xr3:uid="{F1434D93-E093-4D9D-BC5B-4850BC5F5D8F}" name="Clean_Discount" dataDxfId="4">
      <calculatedColumnFormula>IF(OR(R2&lt;0,R2&gt;100),"invalid","Valid")</calculatedColumnFormula>
    </tableColumn>
    <tableColumn id="13" xr3:uid="{E863A3F7-297E-4AF1-BCA3-8999DC170F5D}" name="Payment_Method"/>
    <tableColumn id="22" xr3:uid="{F05AFA6D-7A3D-4AEB-B9BE-69D545221447}" name="Clean_payment_Method" dataDxfId="5">
      <calculatedColumnFormula>PROPER(TRIM(T2))</calculatedColumnFormula>
    </tableColumn>
    <tableColumn id="14" xr3:uid="{A5C9C1F8-83C3-4C1A-BFA8-D3565953EE6A}" name="Salesperson"/>
    <tableColumn id="21" xr3:uid="{2C30906C-9C8D-436F-B085-ACC7068BE75D}" name="Clean_salesperson" dataDxfId="6">
      <calculatedColumnFormula>PROPER(TRIM(V2))</calculatedColumnFormula>
    </tableColumn>
    <tableColumn id="15" xr3:uid="{3AC95A30-C1F5-48DA-895F-CD4898463549}" name="Branch"/>
    <tableColumn id="16" xr3:uid="{55D06248-4FEC-4DD7-87F8-318B9304D1A5}" name="Customer_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B602D-5BD0-4EA1-B631-321FDF6698A7}">
  <dimension ref="A1:P1201"/>
  <sheetViews>
    <sheetView workbookViewId="0"/>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t="s">
        <v>19</v>
      </c>
      <c r="E2" t="s">
        <v>20</v>
      </c>
      <c r="F2">
        <v>130</v>
      </c>
      <c r="G2" t="s">
        <v>21</v>
      </c>
      <c r="H2" t="s">
        <v>22</v>
      </c>
      <c r="I2" t="s">
        <v>23</v>
      </c>
      <c r="J2">
        <v>237.91</v>
      </c>
      <c r="K2">
        <v>-2</v>
      </c>
      <c r="L2">
        <v>-10</v>
      </c>
      <c r="M2" t="s">
        <v>24</v>
      </c>
      <c r="N2" t="s">
        <v>25</v>
      </c>
      <c r="O2" t="s">
        <v>26</v>
      </c>
      <c r="P2">
        <v>4</v>
      </c>
    </row>
    <row r="3" spans="1:16" x14ac:dyDescent="0.25">
      <c r="A3" t="s">
        <v>27</v>
      </c>
      <c r="B3" t="s">
        <v>28</v>
      </c>
      <c r="C3" t="s">
        <v>29</v>
      </c>
      <c r="D3" t="s">
        <v>19</v>
      </c>
      <c r="E3" t="s">
        <v>20</v>
      </c>
      <c r="F3">
        <v>22</v>
      </c>
      <c r="G3" t="s">
        <v>30</v>
      </c>
      <c r="H3" t="s">
        <v>31</v>
      </c>
      <c r="I3" t="s">
        <v>32</v>
      </c>
      <c r="J3">
        <v>103.48</v>
      </c>
      <c r="K3">
        <v>-2</v>
      </c>
      <c r="L3">
        <v>0</v>
      </c>
      <c r="N3" t="s">
        <v>25</v>
      </c>
      <c r="O3" t="s">
        <v>33</v>
      </c>
      <c r="P3">
        <v>4</v>
      </c>
    </row>
    <row r="4" spans="1:16" x14ac:dyDescent="0.25">
      <c r="A4" t="s">
        <v>34</v>
      </c>
      <c r="B4" t="s">
        <v>35</v>
      </c>
      <c r="C4" t="s">
        <v>36</v>
      </c>
      <c r="D4" t="s">
        <v>37</v>
      </c>
      <c r="E4" t="s">
        <v>20</v>
      </c>
      <c r="F4">
        <v>55</v>
      </c>
      <c r="G4" t="s">
        <v>38</v>
      </c>
      <c r="H4" t="s">
        <v>39</v>
      </c>
      <c r="I4" t="s">
        <v>40</v>
      </c>
      <c r="J4">
        <v>436.14</v>
      </c>
      <c r="K4">
        <v>-2</v>
      </c>
      <c r="L4">
        <v>10</v>
      </c>
      <c r="M4" t="s">
        <v>24</v>
      </c>
      <c r="N4" t="s">
        <v>41</v>
      </c>
      <c r="O4" t="s">
        <v>33</v>
      </c>
    </row>
    <row r="5" spans="1:16" x14ac:dyDescent="0.25">
      <c r="A5" t="s">
        <v>42</v>
      </c>
      <c r="B5" t="s">
        <v>43</v>
      </c>
      <c r="C5" t="s">
        <v>44</v>
      </c>
      <c r="D5" t="s">
        <v>45</v>
      </c>
      <c r="E5" t="s">
        <v>46</v>
      </c>
      <c r="F5">
        <v>130</v>
      </c>
      <c r="G5" t="s">
        <v>47</v>
      </c>
      <c r="H5" t="s">
        <v>48</v>
      </c>
      <c r="I5" t="s">
        <v>49</v>
      </c>
      <c r="J5">
        <v>430.25</v>
      </c>
      <c r="K5">
        <v>-2</v>
      </c>
      <c r="L5">
        <v>10</v>
      </c>
      <c r="N5" t="s">
        <v>41</v>
      </c>
      <c r="O5" t="s">
        <v>33</v>
      </c>
      <c r="P5">
        <v>2</v>
      </c>
    </row>
    <row r="6" spans="1:16" x14ac:dyDescent="0.25">
      <c r="A6" t="s">
        <v>50</v>
      </c>
      <c r="B6" t="s">
        <v>51</v>
      </c>
      <c r="C6" t="s">
        <v>52</v>
      </c>
      <c r="E6" t="s">
        <v>46</v>
      </c>
      <c r="F6">
        <v>37</v>
      </c>
      <c r="G6" t="s">
        <v>53</v>
      </c>
      <c r="H6" t="s">
        <v>54</v>
      </c>
      <c r="I6" t="s">
        <v>55</v>
      </c>
      <c r="J6">
        <v>44.01</v>
      </c>
      <c r="K6">
        <v>-2</v>
      </c>
      <c r="L6">
        <v>120</v>
      </c>
      <c r="M6" t="s">
        <v>24</v>
      </c>
      <c r="N6" t="s">
        <v>25</v>
      </c>
      <c r="O6" t="s">
        <v>33</v>
      </c>
      <c r="P6">
        <v>4</v>
      </c>
    </row>
    <row r="7" spans="1:16" x14ac:dyDescent="0.25">
      <c r="A7" t="s">
        <v>56</v>
      </c>
      <c r="B7" t="s">
        <v>57</v>
      </c>
      <c r="C7" t="s">
        <v>58</v>
      </c>
      <c r="D7" t="s">
        <v>37</v>
      </c>
      <c r="E7" t="s">
        <v>46</v>
      </c>
      <c r="F7">
        <v>130</v>
      </c>
      <c r="G7" t="s">
        <v>53</v>
      </c>
      <c r="H7" t="s">
        <v>31</v>
      </c>
      <c r="I7" t="s">
        <v>32</v>
      </c>
      <c r="J7">
        <v>356.22</v>
      </c>
      <c r="K7">
        <v>-2</v>
      </c>
      <c r="L7">
        <v>5</v>
      </c>
      <c r="M7" t="s">
        <v>59</v>
      </c>
      <c r="N7" t="s">
        <v>41</v>
      </c>
      <c r="O7" t="s">
        <v>33</v>
      </c>
      <c r="P7">
        <v>1</v>
      </c>
    </row>
    <row r="8" spans="1:16" x14ac:dyDescent="0.25">
      <c r="A8" t="s">
        <v>60</v>
      </c>
      <c r="B8" t="s">
        <v>61</v>
      </c>
      <c r="C8" t="s">
        <v>62</v>
      </c>
      <c r="D8" t="s">
        <v>63</v>
      </c>
      <c r="E8" t="s">
        <v>46</v>
      </c>
      <c r="F8">
        <v>8</v>
      </c>
      <c r="G8" t="s">
        <v>47</v>
      </c>
      <c r="H8" t="s">
        <v>39</v>
      </c>
      <c r="I8" t="s">
        <v>40</v>
      </c>
      <c r="J8">
        <v>323.16000000000003</v>
      </c>
      <c r="K8">
        <v>4</v>
      </c>
      <c r="L8">
        <v>120</v>
      </c>
      <c r="M8" t="s">
        <v>64</v>
      </c>
      <c r="N8" t="s">
        <v>41</v>
      </c>
      <c r="O8" t="s">
        <v>65</v>
      </c>
    </row>
    <row r="9" spans="1:16" x14ac:dyDescent="0.25">
      <c r="A9" t="s">
        <v>66</v>
      </c>
      <c r="B9" t="s">
        <v>67</v>
      </c>
      <c r="C9" t="s">
        <v>68</v>
      </c>
      <c r="D9" t="s">
        <v>69</v>
      </c>
      <c r="E9" t="s">
        <v>46</v>
      </c>
      <c r="F9">
        <v>30</v>
      </c>
      <c r="G9" t="s">
        <v>70</v>
      </c>
      <c r="H9" t="s">
        <v>31</v>
      </c>
      <c r="I9" t="s">
        <v>32</v>
      </c>
      <c r="J9">
        <v>126.25</v>
      </c>
      <c r="K9">
        <v>7</v>
      </c>
      <c r="L9">
        <v>0</v>
      </c>
      <c r="N9" t="s">
        <v>25</v>
      </c>
      <c r="O9" t="s">
        <v>33</v>
      </c>
      <c r="P9">
        <v>4</v>
      </c>
    </row>
    <row r="10" spans="1:16" x14ac:dyDescent="0.25">
      <c r="A10" t="s">
        <v>71</v>
      </c>
      <c r="B10" t="s">
        <v>72</v>
      </c>
      <c r="C10" t="s">
        <v>73</v>
      </c>
      <c r="D10" t="s">
        <v>37</v>
      </c>
      <c r="E10" t="s">
        <v>20</v>
      </c>
      <c r="F10">
        <v>8</v>
      </c>
      <c r="G10" t="s">
        <v>70</v>
      </c>
      <c r="H10" t="s">
        <v>31</v>
      </c>
      <c r="I10" t="s">
        <v>32</v>
      </c>
      <c r="J10">
        <v>233.45</v>
      </c>
      <c r="K10">
        <v>8</v>
      </c>
      <c r="L10">
        <v>10</v>
      </c>
      <c r="N10" t="s">
        <v>41</v>
      </c>
      <c r="O10" t="s">
        <v>26</v>
      </c>
      <c r="P10">
        <v>1</v>
      </c>
    </row>
    <row r="11" spans="1:16" x14ac:dyDescent="0.25">
      <c r="A11" t="s">
        <v>74</v>
      </c>
      <c r="B11" t="s">
        <v>75</v>
      </c>
      <c r="C11" t="s">
        <v>76</v>
      </c>
      <c r="D11" t="s">
        <v>19</v>
      </c>
      <c r="E11" t="s">
        <v>46</v>
      </c>
      <c r="F11">
        <v>8</v>
      </c>
      <c r="G11" t="s">
        <v>38</v>
      </c>
      <c r="H11" t="s">
        <v>39</v>
      </c>
      <c r="I11" t="s">
        <v>40</v>
      </c>
      <c r="J11">
        <v>150.57</v>
      </c>
      <c r="K11">
        <v>-2</v>
      </c>
      <c r="L11">
        <v>10</v>
      </c>
      <c r="M11" t="s">
        <v>77</v>
      </c>
      <c r="N11" t="s">
        <v>41</v>
      </c>
      <c r="O11" t="s">
        <v>33</v>
      </c>
      <c r="P11">
        <v>4</v>
      </c>
    </row>
    <row r="12" spans="1:16" x14ac:dyDescent="0.25">
      <c r="A12" t="s">
        <v>78</v>
      </c>
      <c r="B12" t="s">
        <v>79</v>
      </c>
      <c r="C12" t="s">
        <v>80</v>
      </c>
      <c r="D12" t="s">
        <v>45</v>
      </c>
      <c r="E12" t="s">
        <v>46</v>
      </c>
      <c r="F12">
        <v>8</v>
      </c>
      <c r="G12" t="s">
        <v>53</v>
      </c>
      <c r="H12" t="s">
        <v>22</v>
      </c>
      <c r="I12" t="s">
        <v>23</v>
      </c>
      <c r="J12">
        <v>49.62</v>
      </c>
      <c r="K12">
        <v>7</v>
      </c>
      <c r="L12">
        <v>120</v>
      </c>
      <c r="M12" t="s">
        <v>59</v>
      </c>
      <c r="N12" t="s">
        <v>81</v>
      </c>
      <c r="O12" t="s">
        <v>82</v>
      </c>
      <c r="P12">
        <v>4</v>
      </c>
    </row>
    <row r="13" spans="1:16" x14ac:dyDescent="0.25">
      <c r="A13" t="s">
        <v>83</v>
      </c>
      <c r="B13" t="s">
        <v>84</v>
      </c>
      <c r="C13" t="s">
        <v>85</v>
      </c>
      <c r="D13" t="s">
        <v>19</v>
      </c>
      <c r="E13" t="s">
        <v>20</v>
      </c>
      <c r="F13">
        <v>130</v>
      </c>
      <c r="G13" t="s">
        <v>86</v>
      </c>
      <c r="H13" t="s">
        <v>87</v>
      </c>
      <c r="I13" t="s">
        <v>49</v>
      </c>
      <c r="J13">
        <v>409.19</v>
      </c>
      <c r="K13">
        <v>-2</v>
      </c>
      <c r="L13">
        <v>120</v>
      </c>
      <c r="M13" t="s">
        <v>24</v>
      </c>
      <c r="N13" t="s">
        <v>81</v>
      </c>
      <c r="O13" t="s">
        <v>33</v>
      </c>
      <c r="P13">
        <v>5</v>
      </c>
    </row>
    <row r="14" spans="1:16" x14ac:dyDescent="0.25">
      <c r="A14" t="s">
        <v>88</v>
      </c>
      <c r="B14" t="s">
        <v>89</v>
      </c>
      <c r="C14" t="s">
        <v>90</v>
      </c>
      <c r="D14" t="s">
        <v>63</v>
      </c>
      <c r="E14" t="s">
        <v>20</v>
      </c>
      <c r="F14">
        <v>130</v>
      </c>
      <c r="G14" t="s">
        <v>86</v>
      </c>
      <c r="H14" t="s">
        <v>54</v>
      </c>
      <c r="I14" t="s">
        <v>55</v>
      </c>
      <c r="J14">
        <v>126.04</v>
      </c>
      <c r="K14">
        <v>-2</v>
      </c>
      <c r="L14">
        <v>15</v>
      </c>
      <c r="M14" t="s">
        <v>64</v>
      </c>
      <c r="N14" t="s">
        <v>91</v>
      </c>
      <c r="O14" t="s">
        <v>65</v>
      </c>
      <c r="P14">
        <v>4</v>
      </c>
    </row>
    <row r="15" spans="1:16" x14ac:dyDescent="0.25">
      <c r="A15" t="s">
        <v>92</v>
      </c>
      <c r="B15" t="s">
        <v>93</v>
      </c>
      <c r="C15" t="s">
        <v>94</v>
      </c>
      <c r="D15" t="s">
        <v>37</v>
      </c>
      <c r="E15" t="s">
        <v>46</v>
      </c>
      <c r="F15">
        <v>130</v>
      </c>
      <c r="G15" t="s">
        <v>53</v>
      </c>
      <c r="H15" t="s">
        <v>48</v>
      </c>
      <c r="I15" t="s">
        <v>49</v>
      </c>
      <c r="J15">
        <v>477.09</v>
      </c>
      <c r="K15">
        <v>-2</v>
      </c>
      <c r="L15">
        <v>0</v>
      </c>
      <c r="M15" t="s">
        <v>59</v>
      </c>
      <c r="N15" t="s">
        <v>25</v>
      </c>
      <c r="O15" t="s">
        <v>82</v>
      </c>
      <c r="P15">
        <v>4</v>
      </c>
    </row>
    <row r="16" spans="1:16" x14ac:dyDescent="0.25">
      <c r="A16" t="s">
        <v>95</v>
      </c>
      <c r="B16" t="s">
        <v>96</v>
      </c>
      <c r="C16" t="s">
        <v>97</v>
      </c>
      <c r="D16" t="s">
        <v>69</v>
      </c>
      <c r="E16" t="s">
        <v>20</v>
      </c>
      <c r="F16">
        <v>130</v>
      </c>
      <c r="G16" t="s">
        <v>53</v>
      </c>
      <c r="H16" t="s">
        <v>87</v>
      </c>
      <c r="I16" t="s">
        <v>49</v>
      </c>
      <c r="J16">
        <v>332</v>
      </c>
      <c r="K16">
        <v>-2</v>
      </c>
      <c r="L16">
        <v>5</v>
      </c>
      <c r="M16" t="s">
        <v>64</v>
      </c>
      <c r="N16" t="s">
        <v>25</v>
      </c>
      <c r="O16" t="s">
        <v>82</v>
      </c>
      <c r="P16">
        <v>4</v>
      </c>
    </row>
    <row r="17" spans="1:16" x14ac:dyDescent="0.25">
      <c r="A17" t="s">
        <v>98</v>
      </c>
      <c r="B17" t="s">
        <v>99</v>
      </c>
      <c r="C17" t="s">
        <v>100</v>
      </c>
      <c r="D17" t="s">
        <v>101</v>
      </c>
      <c r="E17" t="s">
        <v>20</v>
      </c>
      <c r="F17">
        <v>28</v>
      </c>
      <c r="G17" t="s">
        <v>53</v>
      </c>
      <c r="H17" t="s">
        <v>87</v>
      </c>
      <c r="I17" t="s">
        <v>49</v>
      </c>
      <c r="J17">
        <v>484.12</v>
      </c>
      <c r="K17">
        <v>1</v>
      </c>
      <c r="L17">
        <v>-10</v>
      </c>
      <c r="M17" t="s">
        <v>24</v>
      </c>
      <c r="N17" t="s">
        <v>25</v>
      </c>
      <c r="O17" t="s">
        <v>26</v>
      </c>
      <c r="P17">
        <v>2</v>
      </c>
    </row>
    <row r="18" spans="1:16" x14ac:dyDescent="0.25">
      <c r="A18" t="s">
        <v>102</v>
      </c>
      <c r="B18" t="s">
        <v>103</v>
      </c>
      <c r="C18" t="s">
        <v>104</v>
      </c>
      <c r="E18" t="s">
        <v>46</v>
      </c>
      <c r="F18">
        <v>8</v>
      </c>
      <c r="G18" t="s">
        <v>86</v>
      </c>
      <c r="H18" t="s">
        <v>87</v>
      </c>
      <c r="I18" t="s">
        <v>49</v>
      </c>
      <c r="J18">
        <v>487.9</v>
      </c>
      <c r="K18">
        <v>6</v>
      </c>
      <c r="L18">
        <v>-10</v>
      </c>
      <c r="M18" t="s">
        <v>64</v>
      </c>
      <c r="N18" t="s">
        <v>81</v>
      </c>
      <c r="O18" t="s">
        <v>65</v>
      </c>
      <c r="P18">
        <v>2</v>
      </c>
    </row>
    <row r="19" spans="1:16" x14ac:dyDescent="0.25">
      <c r="A19" t="s">
        <v>105</v>
      </c>
      <c r="B19" t="s">
        <v>106</v>
      </c>
      <c r="C19" t="s">
        <v>107</v>
      </c>
      <c r="D19" t="s">
        <v>19</v>
      </c>
      <c r="E19" t="s">
        <v>46</v>
      </c>
      <c r="F19">
        <v>43</v>
      </c>
      <c r="G19" t="s">
        <v>70</v>
      </c>
      <c r="H19" t="s">
        <v>31</v>
      </c>
      <c r="I19" t="s">
        <v>32</v>
      </c>
      <c r="J19">
        <v>398.62</v>
      </c>
      <c r="K19">
        <v>-2</v>
      </c>
      <c r="L19">
        <v>10</v>
      </c>
      <c r="N19" t="s">
        <v>91</v>
      </c>
      <c r="O19" t="s">
        <v>33</v>
      </c>
      <c r="P19">
        <v>1</v>
      </c>
    </row>
    <row r="20" spans="1:16" x14ac:dyDescent="0.25">
      <c r="A20" t="s">
        <v>108</v>
      </c>
      <c r="B20" t="s">
        <v>109</v>
      </c>
      <c r="C20" t="s">
        <v>110</v>
      </c>
      <c r="D20" t="s">
        <v>69</v>
      </c>
      <c r="E20" t="s">
        <v>20</v>
      </c>
      <c r="F20">
        <v>130</v>
      </c>
      <c r="G20" t="s">
        <v>86</v>
      </c>
      <c r="H20" t="s">
        <v>87</v>
      </c>
      <c r="I20" t="s">
        <v>49</v>
      </c>
      <c r="J20">
        <v>68.67</v>
      </c>
      <c r="K20">
        <v>4</v>
      </c>
      <c r="L20">
        <v>10</v>
      </c>
      <c r="N20" t="s">
        <v>91</v>
      </c>
      <c r="O20" t="s">
        <v>33</v>
      </c>
    </row>
    <row r="21" spans="1:16" x14ac:dyDescent="0.25">
      <c r="A21" t="s">
        <v>111</v>
      </c>
      <c r="B21" t="s">
        <v>112</v>
      </c>
      <c r="C21" t="s">
        <v>113</v>
      </c>
      <c r="D21" t="s">
        <v>63</v>
      </c>
      <c r="E21" t="s">
        <v>20</v>
      </c>
      <c r="F21">
        <v>8</v>
      </c>
      <c r="G21" t="s">
        <v>70</v>
      </c>
      <c r="H21" t="s">
        <v>22</v>
      </c>
      <c r="I21" t="s">
        <v>23</v>
      </c>
      <c r="J21">
        <v>477.46</v>
      </c>
      <c r="K21">
        <v>-2</v>
      </c>
      <c r="L21">
        <v>-10</v>
      </c>
      <c r="M21" t="s">
        <v>77</v>
      </c>
      <c r="N21" t="s">
        <v>81</v>
      </c>
      <c r="O21" t="s">
        <v>33</v>
      </c>
      <c r="P21">
        <v>2</v>
      </c>
    </row>
    <row r="22" spans="1:16" x14ac:dyDescent="0.25">
      <c r="A22" t="s">
        <v>114</v>
      </c>
      <c r="B22" t="s">
        <v>115</v>
      </c>
      <c r="C22" t="s">
        <v>116</v>
      </c>
      <c r="D22" t="s">
        <v>117</v>
      </c>
      <c r="E22" t="s">
        <v>20</v>
      </c>
      <c r="F22">
        <v>130</v>
      </c>
      <c r="G22" t="s">
        <v>47</v>
      </c>
      <c r="H22" t="s">
        <v>31</v>
      </c>
      <c r="I22" t="s">
        <v>32</v>
      </c>
      <c r="J22">
        <v>29.5</v>
      </c>
      <c r="K22">
        <v>-2</v>
      </c>
      <c r="L22">
        <v>120</v>
      </c>
      <c r="M22" t="s">
        <v>77</v>
      </c>
      <c r="N22" t="s">
        <v>25</v>
      </c>
      <c r="O22" t="s">
        <v>65</v>
      </c>
      <c r="P22">
        <v>3</v>
      </c>
    </row>
    <row r="23" spans="1:16" x14ac:dyDescent="0.25">
      <c r="A23" t="s">
        <v>118</v>
      </c>
      <c r="B23" t="s">
        <v>119</v>
      </c>
      <c r="C23" t="s">
        <v>120</v>
      </c>
      <c r="D23" t="s">
        <v>45</v>
      </c>
      <c r="E23" t="s">
        <v>20</v>
      </c>
      <c r="F23">
        <v>8</v>
      </c>
      <c r="G23" t="s">
        <v>21</v>
      </c>
      <c r="H23" t="s">
        <v>121</v>
      </c>
      <c r="I23" t="s">
        <v>122</v>
      </c>
      <c r="J23">
        <v>134.08000000000001</v>
      </c>
      <c r="K23">
        <v>5</v>
      </c>
      <c r="L23">
        <v>0</v>
      </c>
      <c r="N23" t="s">
        <v>91</v>
      </c>
      <c r="O23" t="s">
        <v>65</v>
      </c>
      <c r="P23">
        <v>2</v>
      </c>
    </row>
    <row r="24" spans="1:16" x14ac:dyDescent="0.25">
      <c r="A24" t="s">
        <v>123</v>
      </c>
      <c r="B24" t="s">
        <v>124</v>
      </c>
      <c r="C24" t="s">
        <v>125</v>
      </c>
      <c r="D24" t="s">
        <v>101</v>
      </c>
      <c r="E24" t="s">
        <v>46</v>
      </c>
      <c r="F24">
        <v>130</v>
      </c>
      <c r="G24" t="s">
        <v>70</v>
      </c>
      <c r="H24" t="s">
        <v>22</v>
      </c>
      <c r="I24" t="s">
        <v>23</v>
      </c>
      <c r="J24">
        <v>388.4</v>
      </c>
      <c r="K24">
        <v>-2</v>
      </c>
      <c r="L24">
        <v>15</v>
      </c>
      <c r="M24" t="s">
        <v>59</v>
      </c>
      <c r="N24" t="s">
        <v>81</v>
      </c>
      <c r="O24" t="s">
        <v>26</v>
      </c>
      <c r="P24">
        <v>1</v>
      </c>
    </row>
    <row r="25" spans="1:16" x14ac:dyDescent="0.25">
      <c r="A25" t="s">
        <v>126</v>
      </c>
      <c r="B25" t="s">
        <v>127</v>
      </c>
      <c r="C25" t="s">
        <v>128</v>
      </c>
      <c r="D25" t="s">
        <v>45</v>
      </c>
      <c r="E25" t="s">
        <v>46</v>
      </c>
      <c r="F25">
        <v>130</v>
      </c>
      <c r="G25" t="s">
        <v>86</v>
      </c>
      <c r="H25" t="s">
        <v>22</v>
      </c>
      <c r="I25" t="s">
        <v>23</v>
      </c>
      <c r="J25">
        <v>279.11</v>
      </c>
      <c r="K25">
        <v>-2</v>
      </c>
      <c r="L25">
        <v>10</v>
      </c>
      <c r="M25" t="s">
        <v>64</v>
      </c>
      <c r="N25" t="s">
        <v>91</v>
      </c>
      <c r="O25" t="s">
        <v>33</v>
      </c>
    </row>
    <row r="26" spans="1:16" x14ac:dyDescent="0.25">
      <c r="A26" t="s">
        <v>129</v>
      </c>
      <c r="B26" t="s">
        <v>130</v>
      </c>
      <c r="C26" t="s">
        <v>131</v>
      </c>
      <c r="D26" t="s">
        <v>117</v>
      </c>
      <c r="E26" t="s">
        <v>20</v>
      </c>
      <c r="F26">
        <v>130</v>
      </c>
      <c r="G26" t="s">
        <v>70</v>
      </c>
      <c r="H26" t="s">
        <v>121</v>
      </c>
      <c r="I26" t="s">
        <v>122</v>
      </c>
      <c r="J26">
        <v>205.37</v>
      </c>
      <c r="K26">
        <v>-2</v>
      </c>
      <c r="L26">
        <v>-10</v>
      </c>
      <c r="M26" t="s">
        <v>77</v>
      </c>
      <c r="N26" t="s">
        <v>81</v>
      </c>
      <c r="O26" t="s">
        <v>26</v>
      </c>
    </row>
    <row r="27" spans="1:16" x14ac:dyDescent="0.25">
      <c r="A27" t="s">
        <v>132</v>
      </c>
      <c r="B27" t="s">
        <v>133</v>
      </c>
      <c r="C27" t="s">
        <v>134</v>
      </c>
      <c r="D27" t="s">
        <v>37</v>
      </c>
      <c r="E27" t="s">
        <v>46</v>
      </c>
      <c r="F27">
        <v>58</v>
      </c>
      <c r="G27" t="s">
        <v>38</v>
      </c>
      <c r="H27" t="s">
        <v>87</v>
      </c>
      <c r="I27" t="s">
        <v>49</v>
      </c>
      <c r="J27">
        <v>72.55</v>
      </c>
      <c r="K27">
        <v>6</v>
      </c>
      <c r="L27">
        <v>15</v>
      </c>
      <c r="M27" t="s">
        <v>59</v>
      </c>
      <c r="N27" t="s">
        <v>91</v>
      </c>
      <c r="O27" t="s">
        <v>82</v>
      </c>
      <c r="P27">
        <v>1</v>
      </c>
    </row>
    <row r="28" spans="1:16" x14ac:dyDescent="0.25">
      <c r="A28" t="s">
        <v>135</v>
      </c>
      <c r="B28" t="s">
        <v>136</v>
      </c>
      <c r="C28" t="s">
        <v>137</v>
      </c>
      <c r="D28" t="s">
        <v>69</v>
      </c>
      <c r="E28" t="s">
        <v>46</v>
      </c>
      <c r="F28">
        <v>130</v>
      </c>
      <c r="G28" t="s">
        <v>21</v>
      </c>
      <c r="H28" t="s">
        <v>87</v>
      </c>
      <c r="I28" t="s">
        <v>49</v>
      </c>
      <c r="J28">
        <v>275.95</v>
      </c>
      <c r="K28">
        <v>-2</v>
      </c>
      <c r="L28">
        <v>10</v>
      </c>
      <c r="N28" t="s">
        <v>25</v>
      </c>
      <c r="O28" t="s">
        <v>33</v>
      </c>
      <c r="P28">
        <v>3</v>
      </c>
    </row>
    <row r="29" spans="1:16" x14ac:dyDescent="0.25">
      <c r="A29" t="s">
        <v>138</v>
      </c>
      <c r="B29" t="s">
        <v>115</v>
      </c>
      <c r="C29" t="s">
        <v>139</v>
      </c>
      <c r="D29" t="s">
        <v>37</v>
      </c>
      <c r="E29" t="s">
        <v>46</v>
      </c>
      <c r="F29">
        <v>8</v>
      </c>
      <c r="G29" t="s">
        <v>47</v>
      </c>
      <c r="H29" t="s">
        <v>121</v>
      </c>
      <c r="I29" t="s">
        <v>122</v>
      </c>
      <c r="J29">
        <v>161.33000000000001</v>
      </c>
      <c r="K29">
        <v>4</v>
      </c>
      <c r="L29">
        <v>10</v>
      </c>
      <c r="M29" t="s">
        <v>77</v>
      </c>
      <c r="N29" t="s">
        <v>91</v>
      </c>
      <c r="O29" t="s">
        <v>82</v>
      </c>
      <c r="P29">
        <v>3</v>
      </c>
    </row>
    <row r="30" spans="1:16" x14ac:dyDescent="0.25">
      <c r="A30" t="s">
        <v>140</v>
      </c>
      <c r="B30" t="s">
        <v>141</v>
      </c>
      <c r="C30" t="s">
        <v>142</v>
      </c>
      <c r="E30" t="s">
        <v>46</v>
      </c>
      <c r="F30">
        <v>58</v>
      </c>
      <c r="G30" t="s">
        <v>53</v>
      </c>
      <c r="H30" t="s">
        <v>121</v>
      </c>
      <c r="I30" t="s">
        <v>122</v>
      </c>
      <c r="J30">
        <v>416.14</v>
      </c>
      <c r="K30">
        <v>10</v>
      </c>
      <c r="L30">
        <v>120</v>
      </c>
      <c r="M30" t="s">
        <v>59</v>
      </c>
      <c r="N30" t="s">
        <v>81</v>
      </c>
      <c r="O30" t="s">
        <v>26</v>
      </c>
      <c r="P30">
        <v>1</v>
      </c>
    </row>
    <row r="31" spans="1:16" x14ac:dyDescent="0.25">
      <c r="A31" t="s">
        <v>143</v>
      </c>
      <c r="B31" t="s">
        <v>144</v>
      </c>
      <c r="C31" t="s">
        <v>145</v>
      </c>
      <c r="D31" t="s">
        <v>63</v>
      </c>
      <c r="E31" t="s">
        <v>20</v>
      </c>
      <c r="F31">
        <v>8</v>
      </c>
      <c r="G31" t="s">
        <v>38</v>
      </c>
      <c r="H31" t="s">
        <v>87</v>
      </c>
      <c r="I31" t="s">
        <v>49</v>
      </c>
      <c r="J31">
        <v>258.57</v>
      </c>
      <c r="K31">
        <v>2</v>
      </c>
      <c r="L31">
        <v>-10</v>
      </c>
      <c r="M31" t="s">
        <v>24</v>
      </c>
      <c r="N31" t="s">
        <v>91</v>
      </c>
      <c r="O31" t="s">
        <v>33</v>
      </c>
      <c r="P31">
        <v>3</v>
      </c>
    </row>
    <row r="32" spans="1:16" x14ac:dyDescent="0.25">
      <c r="A32" t="s">
        <v>146</v>
      </c>
      <c r="B32" t="s">
        <v>147</v>
      </c>
      <c r="C32" t="s">
        <v>148</v>
      </c>
      <c r="D32" t="s">
        <v>63</v>
      </c>
      <c r="E32" t="s">
        <v>20</v>
      </c>
      <c r="F32">
        <v>130</v>
      </c>
      <c r="G32" t="s">
        <v>30</v>
      </c>
      <c r="H32" t="s">
        <v>31</v>
      </c>
      <c r="I32" t="s">
        <v>32</v>
      </c>
      <c r="J32">
        <v>395.37</v>
      </c>
      <c r="K32">
        <v>-2</v>
      </c>
      <c r="L32">
        <v>5</v>
      </c>
      <c r="M32" t="s">
        <v>59</v>
      </c>
      <c r="N32" t="s">
        <v>81</v>
      </c>
      <c r="O32" t="s">
        <v>65</v>
      </c>
      <c r="P32">
        <v>4</v>
      </c>
    </row>
    <row r="33" spans="1:16" x14ac:dyDescent="0.25">
      <c r="A33" t="s">
        <v>149</v>
      </c>
      <c r="B33" t="s">
        <v>150</v>
      </c>
      <c r="C33" t="s">
        <v>151</v>
      </c>
      <c r="D33" t="s">
        <v>37</v>
      </c>
      <c r="E33" t="s">
        <v>20</v>
      </c>
      <c r="F33">
        <v>37</v>
      </c>
      <c r="G33" t="s">
        <v>86</v>
      </c>
      <c r="H33" t="s">
        <v>31</v>
      </c>
      <c r="I33" t="s">
        <v>32</v>
      </c>
      <c r="J33">
        <v>429.08</v>
      </c>
      <c r="K33">
        <v>9</v>
      </c>
      <c r="L33">
        <v>0</v>
      </c>
      <c r="M33" t="s">
        <v>59</v>
      </c>
      <c r="N33" t="s">
        <v>41</v>
      </c>
      <c r="O33" t="s">
        <v>82</v>
      </c>
      <c r="P33">
        <v>4</v>
      </c>
    </row>
    <row r="34" spans="1:16" x14ac:dyDescent="0.25">
      <c r="A34" t="s">
        <v>152</v>
      </c>
      <c r="B34" t="s">
        <v>106</v>
      </c>
      <c r="C34" t="s">
        <v>153</v>
      </c>
      <c r="D34" t="s">
        <v>117</v>
      </c>
      <c r="E34" t="s">
        <v>46</v>
      </c>
      <c r="F34">
        <v>35</v>
      </c>
      <c r="G34" t="s">
        <v>47</v>
      </c>
      <c r="H34" t="s">
        <v>87</v>
      </c>
      <c r="I34" t="s">
        <v>49</v>
      </c>
      <c r="J34">
        <v>467.61</v>
      </c>
      <c r="K34">
        <v>-2</v>
      </c>
      <c r="L34">
        <v>120</v>
      </c>
      <c r="M34" t="s">
        <v>64</v>
      </c>
      <c r="N34" t="s">
        <v>41</v>
      </c>
      <c r="O34" t="s">
        <v>82</v>
      </c>
      <c r="P34">
        <v>4</v>
      </c>
    </row>
    <row r="35" spans="1:16" x14ac:dyDescent="0.25">
      <c r="A35" t="s">
        <v>154</v>
      </c>
      <c r="B35" t="s">
        <v>155</v>
      </c>
      <c r="C35" t="s">
        <v>156</v>
      </c>
      <c r="D35" t="s">
        <v>69</v>
      </c>
      <c r="E35" t="s">
        <v>46</v>
      </c>
      <c r="F35">
        <v>130</v>
      </c>
      <c r="G35" t="s">
        <v>38</v>
      </c>
      <c r="H35" t="s">
        <v>121</v>
      </c>
      <c r="I35" t="s">
        <v>122</v>
      </c>
      <c r="J35">
        <v>402.37</v>
      </c>
      <c r="K35">
        <v>10</v>
      </c>
      <c r="L35">
        <v>0</v>
      </c>
      <c r="M35" t="s">
        <v>64</v>
      </c>
      <c r="N35" t="s">
        <v>25</v>
      </c>
      <c r="O35" t="s">
        <v>65</v>
      </c>
      <c r="P35">
        <v>4</v>
      </c>
    </row>
    <row r="36" spans="1:16" x14ac:dyDescent="0.25">
      <c r="A36" t="s">
        <v>157</v>
      </c>
      <c r="B36" t="s">
        <v>158</v>
      </c>
      <c r="C36" t="s">
        <v>159</v>
      </c>
      <c r="D36" t="s">
        <v>101</v>
      </c>
      <c r="E36" t="s">
        <v>20</v>
      </c>
      <c r="F36">
        <v>19</v>
      </c>
      <c r="G36" t="s">
        <v>30</v>
      </c>
      <c r="H36" t="s">
        <v>54</v>
      </c>
      <c r="I36" t="s">
        <v>55</v>
      </c>
      <c r="J36">
        <v>489.41</v>
      </c>
      <c r="K36">
        <v>1</v>
      </c>
      <c r="L36">
        <v>0</v>
      </c>
      <c r="M36" t="s">
        <v>64</v>
      </c>
      <c r="N36" t="s">
        <v>41</v>
      </c>
      <c r="O36" t="s">
        <v>65</v>
      </c>
      <c r="P36">
        <v>3</v>
      </c>
    </row>
    <row r="37" spans="1:16" x14ac:dyDescent="0.25">
      <c r="A37" t="s">
        <v>160</v>
      </c>
      <c r="B37" t="s">
        <v>161</v>
      </c>
      <c r="C37" t="s">
        <v>162</v>
      </c>
      <c r="D37" t="s">
        <v>63</v>
      </c>
      <c r="E37" t="s">
        <v>46</v>
      </c>
      <c r="F37">
        <v>64</v>
      </c>
      <c r="G37" t="s">
        <v>30</v>
      </c>
      <c r="H37" t="s">
        <v>22</v>
      </c>
      <c r="I37" t="s">
        <v>23</v>
      </c>
      <c r="J37">
        <v>203.77</v>
      </c>
      <c r="K37">
        <v>9</v>
      </c>
      <c r="L37">
        <v>120</v>
      </c>
      <c r="M37" t="s">
        <v>64</v>
      </c>
      <c r="N37" t="s">
        <v>41</v>
      </c>
      <c r="O37" t="s">
        <v>65</v>
      </c>
      <c r="P37">
        <v>3</v>
      </c>
    </row>
    <row r="38" spans="1:16" x14ac:dyDescent="0.25">
      <c r="A38" t="s">
        <v>163</v>
      </c>
      <c r="B38" t="s">
        <v>164</v>
      </c>
      <c r="C38" t="s">
        <v>165</v>
      </c>
      <c r="D38" t="s">
        <v>45</v>
      </c>
      <c r="E38" t="s">
        <v>46</v>
      </c>
      <c r="F38">
        <v>8</v>
      </c>
      <c r="G38" t="s">
        <v>38</v>
      </c>
      <c r="H38" t="s">
        <v>31</v>
      </c>
      <c r="I38" t="s">
        <v>32</v>
      </c>
      <c r="J38">
        <v>333.17</v>
      </c>
      <c r="K38">
        <v>8</v>
      </c>
      <c r="L38">
        <v>-10</v>
      </c>
      <c r="M38" t="s">
        <v>77</v>
      </c>
      <c r="N38" t="s">
        <v>81</v>
      </c>
      <c r="O38" t="s">
        <v>65</v>
      </c>
      <c r="P38">
        <v>4</v>
      </c>
    </row>
    <row r="39" spans="1:16" x14ac:dyDescent="0.25">
      <c r="A39" t="s">
        <v>166</v>
      </c>
      <c r="B39" t="s">
        <v>167</v>
      </c>
      <c r="C39" t="s">
        <v>168</v>
      </c>
      <c r="D39" t="s">
        <v>63</v>
      </c>
      <c r="E39" t="s">
        <v>46</v>
      </c>
      <c r="F39">
        <v>130</v>
      </c>
      <c r="G39" t="s">
        <v>86</v>
      </c>
      <c r="H39" t="s">
        <v>54</v>
      </c>
      <c r="I39" t="s">
        <v>55</v>
      </c>
      <c r="J39">
        <v>166.86</v>
      </c>
      <c r="K39">
        <v>-2</v>
      </c>
      <c r="L39">
        <v>5</v>
      </c>
      <c r="M39" t="s">
        <v>59</v>
      </c>
      <c r="N39" t="s">
        <v>41</v>
      </c>
      <c r="O39" t="s">
        <v>65</v>
      </c>
      <c r="P39">
        <v>3</v>
      </c>
    </row>
    <row r="40" spans="1:16" x14ac:dyDescent="0.25">
      <c r="A40" t="s">
        <v>169</v>
      </c>
      <c r="B40" t="s">
        <v>170</v>
      </c>
      <c r="C40" t="s">
        <v>171</v>
      </c>
      <c r="D40" t="s">
        <v>63</v>
      </c>
      <c r="E40" t="s">
        <v>46</v>
      </c>
      <c r="F40">
        <v>19</v>
      </c>
      <c r="G40" t="s">
        <v>86</v>
      </c>
      <c r="H40" t="s">
        <v>121</v>
      </c>
      <c r="I40" t="s">
        <v>122</v>
      </c>
      <c r="J40">
        <v>442.23</v>
      </c>
      <c r="K40">
        <v>-2</v>
      </c>
      <c r="L40">
        <v>120</v>
      </c>
      <c r="M40" t="s">
        <v>24</v>
      </c>
      <c r="N40" t="s">
        <v>41</v>
      </c>
      <c r="O40" t="s">
        <v>65</v>
      </c>
      <c r="P40">
        <v>1</v>
      </c>
    </row>
    <row r="41" spans="1:16" x14ac:dyDescent="0.25">
      <c r="A41" t="s">
        <v>172</v>
      </c>
      <c r="B41" t="s">
        <v>51</v>
      </c>
      <c r="C41" t="s">
        <v>173</v>
      </c>
      <c r="D41" t="s">
        <v>45</v>
      </c>
      <c r="E41" t="s">
        <v>20</v>
      </c>
      <c r="F41">
        <v>8</v>
      </c>
      <c r="G41" t="s">
        <v>86</v>
      </c>
      <c r="H41" t="s">
        <v>87</v>
      </c>
      <c r="I41" t="s">
        <v>49</v>
      </c>
      <c r="J41">
        <v>189.02</v>
      </c>
      <c r="K41">
        <v>7</v>
      </c>
      <c r="L41">
        <v>5</v>
      </c>
      <c r="M41" t="s">
        <v>59</v>
      </c>
      <c r="N41" t="s">
        <v>91</v>
      </c>
      <c r="O41" t="s">
        <v>33</v>
      </c>
      <c r="P41">
        <v>2</v>
      </c>
    </row>
    <row r="42" spans="1:16" x14ac:dyDescent="0.25">
      <c r="A42" t="s">
        <v>174</v>
      </c>
      <c r="B42" t="s">
        <v>175</v>
      </c>
      <c r="C42" t="s">
        <v>176</v>
      </c>
      <c r="D42" t="s">
        <v>117</v>
      </c>
      <c r="E42" t="s">
        <v>20</v>
      </c>
      <c r="F42">
        <v>55</v>
      </c>
      <c r="G42" t="s">
        <v>70</v>
      </c>
      <c r="H42" t="s">
        <v>87</v>
      </c>
      <c r="I42" t="s">
        <v>49</v>
      </c>
      <c r="J42">
        <v>393.19</v>
      </c>
      <c r="K42">
        <v>3</v>
      </c>
      <c r="L42">
        <v>-10</v>
      </c>
      <c r="M42" t="s">
        <v>77</v>
      </c>
      <c r="N42" t="s">
        <v>91</v>
      </c>
      <c r="O42" t="s">
        <v>33</v>
      </c>
      <c r="P42">
        <v>5</v>
      </c>
    </row>
    <row r="43" spans="1:16" x14ac:dyDescent="0.25">
      <c r="A43" t="s">
        <v>177</v>
      </c>
      <c r="B43" t="s">
        <v>178</v>
      </c>
      <c r="C43" t="s">
        <v>179</v>
      </c>
      <c r="D43" t="s">
        <v>63</v>
      </c>
      <c r="E43" t="s">
        <v>20</v>
      </c>
      <c r="F43">
        <v>8</v>
      </c>
      <c r="G43" t="s">
        <v>86</v>
      </c>
      <c r="H43" t="s">
        <v>22</v>
      </c>
      <c r="I43" t="s">
        <v>23</v>
      </c>
      <c r="J43">
        <v>191.36</v>
      </c>
      <c r="K43">
        <v>8</v>
      </c>
      <c r="L43">
        <v>-10</v>
      </c>
      <c r="M43" t="s">
        <v>64</v>
      </c>
      <c r="N43" t="s">
        <v>41</v>
      </c>
      <c r="O43" t="s">
        <v>65</v>
      </c>
      <c r="P43">
        <v>4</v>
      </c>
    </row>
    <row r="44" spans="1:16" x14ac:dyDescent="0.25">
      <c r="A44" t="s">
        <v>180</v>
      </c>
      <c r="B44" t="s">
        <v>181</v>
      </c>
      <c r="C44" t="s">
        <v>182</v>
      </c>
      <c r="D44" t="s">
        <v>45</v>
      </c>
      <c r="E44" t="s">
        <v>46</v>
      </c>
      <c r="F44">
        <v>51</v>
      </c>
      <c r="G44" t="s">
        <v>30</v>
      </c>
      <c r="H44" t="s">
        <v>54</v>
      </c>
      <c r="I44" t="s">
        <v>55</v>
      </c>
      <c r="J44">
        <v>14.38</v>
      </c>
      <c r="K44">
        <v>-2</v>
      </c>
      <c r="L44">
        <v>0</v>
      </c>
      <c r="M44" t="s">
        <v>64</v>
      </c>
      <c r="N44" t="s">
        <v>91</v>
      </c>
      <c r="O44" t="s">
        <v>65</v>
      </c>
      <c r="P44">
        <v>1</v>
      </c>
    </row>
    <row r="45" spans="1:16" x14ac:dyDescent="0.25">
      <c r="A45" t="s">
        <v>183</v>
      </c>
      <c r="B45" t="s">
        <v>184</v>
      </c>
      <c r="C45" t="s">
        <v>185</v>
      </c>
      <c r="D45" t="s">
        <v>19</v>
      </c>
      <c r="E45" t="s">
        <v>46</v>
      </c>
      <c r="F45">
        <v>8</v>
      </c>
      <c r="G45" t="s">
        <v>38</v>
      </c>
      <c r="H45" t="s">
        <v>54</v>
      </c>
      <c r="I45" t="s">
        <v>55</v>
      </c>
      <c r="J45">
        <v>346.25</v>
      </c>
      <c r="K45">
        <v>4</v>
      </c>
      <c r="L45">
        <v>120</v>
      </c>
      <c r="M45" t="s">
        <v>59</v>
      </c>
      <c r="N45" t="s">
        <v>91</v>
      </c>
      <c r="O45" t="s">
        <v>33</v>
      </c>
      <c r="P45">
        <v>4</v>
      </c>
    </row>
    <row r="46" spans="1:16" x14ac:dyDescent="0.25">
      <c r="A46" t="s">
        <v>186</v>
      </c>
      <c r="B46" t="s">
        <v>187</v>
      </c>
      <c r="C46" t="s">
        <v>188</v>
      </c>
      <c r="D46" t="s">
        <v>45</v>
      </c>
      <c r="E46" t="s">
        <v>20</v>
      </c>
      <c r="F46">
        <v>8</v>
      </c>
      <c r="G46" t="s">
        <v>86</v>
      </c>
      <c r="H46" t="s">
        <v>22</v>
      </c>
      <c r="I46" t="s">
        <v>23</v>
      </c>
      <c r="J46">
        <v>208.01</v>
      </c>
      <c r="K46">
        <v>-2</v>
      </c>
      <c r="L46">
        <v>120</v>
      </c>
      <c r="M46" t="s">
        <v>59</v>
      </c>
      <c r="N46" t="s">
        <v>41</v>
      </c>
      <c r="O46" t="s">
        <v>26</v>
      </c>
      <c r="P46">
        <v>3</v>
      </c>
    </row>
    <row r="47" spans="1:16" x14ac:dyDescent="0.25">
      <c r="A47" t="s">
        <v>189</v>
      </c>
      <c r="B47" t="s">
        <v>190</v>
      </c>
      <c r="C47" t="s">
        <v>191</v>
      </c>
      <c r="D47" t="s">
        <v>37</v>
      </c>
      <c r="E47" t="s">
        <v>46</v>
      </c>
      <c r="F47">
        <v>35</v>
      </c>
      <c r="G47" t="s">
        <v>30</v>
      </c>
      <c r="H47" t="s">
        <v>22</v>
      </c>
      <c r="I47" t="s">
        <v>23</v>
      </c>
      <c r="J47">
        <v>81.69</v>
      </c>
      <c r="K47">
        <v>5</v>
      </c>
      <c r="L47">
        <v>10</v>
      </c>
      <c r="N47" t="s">
        <v>41</v>
      </c>
      <c r="O47" t="s">
        <v>65</v>
      </c>
      <c r="P47">
        <v>5</v>
      </c>
    </row>
    <row r="48" spans="1:16" x14ac:dyDescent="0.25">
      <c r="A48" t="s">
        <v>192</v>
      </c>
      <c r="B48" t="s">
        <v>193</v>
      </c>
      <c r="C48" t="s">
        <v>194</v>
      </c>
      <c r="D48" t="s">
        <v>19</v>
      </c>
      <c r="E48" t="s">
        <v>46</v>
      </c>
      <c r="F48">
        <v>31</v>
      </c>
      <c r="G48" t="s">
        <v>47</v>
      </c>
      <c r="H48" t="s">
        <v>22</v>
      </c>
      <c r="I48" t="s">
        <v>23</v>
      </c>
      <c r="J48">
        <v>259.49</v>
      </c>
      <c r="K48">
        <v>10</v>
      </c>
      <c r="L48">
        <v>5</v>
      </c>
      <c r="M48" t="s">
        <v>24</v>
      </c>
      <c r="N48" t="s">
        <v>25</v>
      </c>
      <c r="O48" t="s">
        <v>26</v>
      </c>
    </row>
    <row r="49" spans="1:16" x14ac:dyDescent="0.25">
      <c r="A49" t="s">
        <v>195</v>
      </c>
      <c r="B49" t="s">
        <v>196</v>
      </c>
      <c r="C49" t="s">
        <v>197</v>
      </c>
      <c r="D49" t="s">
        <v>37</v>
      </c>
      <c r="E49" t="s">
        <v>46</v>
      </c>
      <c r="F49">
        <v>130</v>
      </c>
      <c r="G49" t="s">
        <v>53</v>
      </c>
      <c r="H49" t="s">
        <v>22</v>
      </c>
      <c r="I49" t="s">
        <v>23</v>
      </c>
      <c r="J49">
        <v>314.5</v>
      </c>
      <c r="K49">
        <v>-2</v>
      </c>
      <c r="L49">
        <v>0</v>
      </c>
      <c r="M49" t="s">
        <v>64</v>
      </c>
      <c r="N49" t="s">
        <v>81</v>
      </c>
      <c r="O49" t="s">
        <v>33</v>
      </c>
      <c r="P49">
        <v>1</v>
      </c>
    </row>
    <row r="50" spans="1:16" x14ac:dyDescent="0.25">
      <c r="A50" t="s">
        <v>198</v>
      </c>
      <c r="B50" t="s">
        <v>199</v>
      </c>
      <c r="C50" t="s">
        <v>200</v>
      </c>
      <c r="D50" t="s">
        <v>37</v>
      </c>
      <c r="E50" t="s">
        <v>46</v>
      </c>
      <c r="F50">
        <v>43</v>
      </c>
      <c r="G50" t="s">
        <v>30</v>
      </c>
      <c r="H50" t="s">
        <v>121</v>
      </c>
      <c r="I50" t="s">
        <v>122</v>
      </c>
      <c r="J50">
        <v>55.24</v>
      </c>
      <c r="K50">
        <v>-2</v>
      </c>
      <c r="L50">
        <v>10</v>
      </c>
      <c r="N50" t="s">
        <v>25</v>
      </c>
      <c r="O50" t="s">
        <v>33</v>
      </c>
      <c r="P50">
        <v>4</v>
      </c>
    </row>
    <row r="51" spans="1:16" x14ac:dyDescent="0.25">
      <c r="A51" t="s">
        <v>201</v>
      </c>
      <c r="B51" t="s">
        <v>202</v>
      </c>
      <c r="C51" t="s">
        <v>203</v>
      </c>
      <c r="D51" t="s">
        <v>69</v>
      </c>
      <c r="E51" t="s">
        <v>20</v>
      </c>
      <c r="F51">
        <v>8</v>
      </c>
      <c r="G51" t="s">
        <v>53</v>
      </c>
      <c r="H51" t="s">
        <v>31</v>
      </c>
      <c r="I51" t="s">
        <v>32</v>
      </c>
      <c r="J51">
        <v>69.56</v>
      </c>
      <c r="K51">
        <v>-2</v>
      </c>
      <c r="L51">
        <v>0</v>
      </c>
      <c r="M51" t="s">
        <v>24</v>
      </c>
      <c r="N51" t="s">
        <v>91</v>
      </c>
      <c r="O51" t="s">
        <v>82</v>
      </c>
      <c r="P51">
        <v>4</v>
      </c>
    </row>
    <row r="52" spans="1:16" x14ac:dyDescent="0.25">
      <c r="A52" t="s">
        <v>204</v>
      </c>
      <c r="B52" t="s">
        <v>205</v>
      </c>
      <c r="C52" t="s">
        <v>206</v>
      </c>
      <c r="D52" t="s">
        <v>117</v>
      </c>
      <c r="E52" t="s">
        <v>46</v>
      </c>
      <c r="F52">
        <v>38</v>
      </c>
      <c r="G52" t="s">
        <v>21</v>
      </c>
      <c r="H52" t="s">
        <v>39</v>
      </c>
      <c r="I52" t="s">
        <v>40</v>
      </c>
      <c r="J52">
        <v>251.91</v>
      </c>
      <c r="K52">
        <v>2</v>
      </c>
      <c r="L52">
        <v>-10</v>
      </c>
      <c r="M52" t="s">
        <v>24</v>
      </c>
      <c r="N52" t="s">
        <v>25</v>
      </c>
      <c r="O52" t="s">
        <v>26</v>
      </c>
      <c r="P52">
        <v>2</v>
      </c>
    </row>
    <row r="53" spans="1:16" x14ac:dyDescent="0.25">
      <c r="A53" t="s">
        <v>207</v>
      </c>
      <c r="B53" t="s">
        <v>208</v>
      </c>
      <c r="C53" t="s">
        <v>209</v>
      </c>
      <c r="D53" t="s">
        <v>45</v>
      </c>
      <c r="E53" t="s">
        <v>20</v>
      </c>
      <c r="F53">
        <v>130</v>
      </c>
      <c r="G53" t="s">
        <v>53</v>
      </c>
      <c r="H53" t="s">
        <v>87</v>
      </c>
      <c r="I53" t="s">
        <v>49</v>
      </c>
      <c r="J53">
        <v>45.83</v>
      </c>
      <c r="K53">
        <v>10</v>
      </c>
      <c r="L53">
        <v>5</v>
      </c>
      <c r="N53" t="s">
        <v>41</v>
      </c>
      <c r="O53" t="s">
        <v>82</v>
      </c>
      <c r="P53">
        <v>5</v>
      </c>
    </row>
    <row r="54" spans="1:16" x14ac:dyDescent="0.25">
      <c r="A54" t="s">
        <v>210</v>
      </c>
      <c r="B54" t="s">
        <v>211</v>
      </c>
      <c r="C54" t="s">
        <v>212</v>
      </c>
      <c r="E54" t="s">
        <v>20</v>
      </c>
      <c r="F54">
        <v>130</v>
      </c>
      <c r="G54" t="s">
        <v>21</v>
      </c>
      <c r="H54" t="s">
        <v>31</v>
      </c>
      <c r="I54" t="s">
        <v>32</v>
      </c>
      <c r="J54">
        <v>296.27</v>
      </c>
      <c r="K54">
        <v>-2</v>
      </c>
      <c r="L54">
        <v>10</v>
      </c>
      <c r="M54" t="s">
        <v>64</v>
      </c>
      <c r="N54" t="s">
        <v>81</v>
      </c>
      <c r="O54" t="s">
        <v>33</v>
      </c>
      <c r="P54">
        <v>3</v>
      </c>
    </row>
    <row r="55" spans="1:16" x14ac:dyDescent="0.25">
      <c r="A55" t="s">
        <v>213</v>
      </c>
      <c r="B55" t="s">
        <v>214</v>
      </c>
      <c r="C55" t="s">
        <v>215</v>
      </c>
      <c r="D55" t="s">
        <v>19</v>
      </c>
      <c r="E55" t="s">
        <v>46</v>
      </c>
      <c r="F55">
        <v>8</v>
      </c>
      <c r="G55" t="s">
        <v>86</v>
      </c>
      <c r="H55" t="s">
        <v>54</v>
      </c>
      <c r="I55" t="s">
        <v>55</v>
      </c>
      <c r="J55">
        <v>5.33</v>
      </c>
      <c r="K55">
        <v>-2</v>
      </c>
      <c r="L55">
        <v>-10</v>
      </c>
      <c r="M55" t="s">
        <v>77</v>
      </c>
      <c r="N55" t="s">
        <v>91</v>
      </c>
      <c r="O55" t="s">
        <v>65</v>
      </c>
      <c r="P55">
        <v>4</v>
      </c>
    </row>
    <row r="56" spans="1:16" x14ac:dyDescent="0.25">
      <c r="A56" t="s">
        <v>216</v>
      </c>
      <c r="B56" t="s">
        <v>217</v>
      </c>
      <c r="C56" t="s">
        <v>218</v>
      </c>
      <c r="E56" t="s">
        <v>46</v>
      </c>
      <c r="F56">
        <v>8</v>
      </c>
      <c r="G56" t="s">
        <v>30</v>
      </c>
      <c r="H56" t="s">
        <v>87</v>
      </c>
      <c r="I56" t="s">
        <v>49</v>
      </c>
      <c r="J56">
        <v>280.75</v>
      </c>
      <c r="K56">
        <v>-2</v>
      </c>
      <c r="L56">
        <v>5</v>
      </c>
      <c r="M56" t="s">
        <v>64</v>
      </c>
      <c r="N56" t="s">
        <v>91</v>
      </c>
      <c r="O56" t="s">
        <v>82</v>
      </c>
      <c r="P56">
        <v>3</v>
      </c>
    </row>
    <row r="57" spans="1:16" x14ac:dyDescent="0.25">
      <c r="A57" t="s">
        <v>219</v>
      </c>
      <c r="B57" t="s">
        <v>220</v>
      </c>
      <c r="C57" t="s">
        <v>221</v>
      </c>
      <c r="D57" t="s">
        <v>117</v>
      </c>
      <c r="E57" t="s">
        <v>20</v>
      </c>
      <c r="F57">
        <v>50</v>
      </c>
      <c r="G57" t="s">
        <v>21</v>
      </c>
      <c r="H57" t="s">
        <v>31</v>
      </c>
      <c r="I57" t="s">
        <v>32</v>
      </c>
      <c r="J57">
        <v>14.25</v>
      </c>
      <c r="K57">
        <v>7</v>
      </c>
      <c r="L57">
        <v>5</v>
      </c>
      <c r="M57" t="s">
        <v>59</v>
      </c>
      <c r="N57" t="s">
        <v>25</v>
      </c>
      <c r="O57" t="s">
        <v>33</v>
      </c>
      <c r="P57">
        <v>3</v>
      </c>
    </row>
    <row r="58" spans="1:16" x14ac:dyDescent="0.25">
      <c r="A58" t="s">
        <v>222</v>
      </c>
      <c r="B58" t="s">
        <v>223</v>
      </c>
      <c r="C58" t="s">
        <v>224</v>
      </c>
      <c r="D58" t="s">
        <v>63</v>
      </c>
      <c r="E58" t="s">
        <v>20</v>
      </c>
      <c r="F58">
        <v>43</v>
      </c>
      <c r="G58" t="s">
        <v>70</v>
      </c>
      <c r="H58" t="s">
        <v>22</v>
      </c>
      <c r="I58" t="s">
        <v>23</v>
      </c>
      <c r="J58">
        <v>372.98</v>
      </c>
      <c r="K58">
        <v>-2</v>
      </c>
      <c r="L58">
        <v>15</v>
      </c>
      <c r="M58" t="s">
        <v>24</v>
      </c>
      <c r="N58" t="s">
        <v>25</v>
      </c>
      <c r="O58" t="s">
        <v>65</v>
      </c>
    </row>
    <row r="59" spans="1:16" x14ac:dyDescent="0.25">
      <c r="A59" t="s">
        <v>225</v>
      </c>
      <c r="B59" t="s">
        <v>226</v>
      </c>
      <c r="C59" t="s">
        <v>227</v>
      </c>
      <c r="D59" t="s">
        <v>101</v>
      </c>
      <c r="E59" t="s">
        <v>20</v>
      </c>
      <c r="F59">
        <v>8</v>
      </c>
      <c r="G59" t="s">
        <v>53</v>
      </c>
      <c r="H59" t="s">
        <v>87</v>
      </c>
      <c r="I59" t="s">
        <v>49</v>
      </c>
      <c r="J59">
        <v>98.86</v>
      </c>
      <c r="K59">
        <v>9</v>
      </c>
      <c r="L59">
        <v>120</v>
      </c>
      <c r="M59" t="s">
        <v>24</v>
      </c>
      <c r="N59" t="s">
        <v>25</v>
      </c>
      <c r="O59" t="s">
        <v>26</v>
      </c>
      <c r="P59">
        <v>5</v>
      </c>
    </row>
    <row r="60" spans="1:16" x14ac:dyDescent="0.25">
      <c r="A60" t="s">
        <v>228</v>
      </c>
      <c r="B60" t="s">
        <v>229</v>
      </c>
      <c r="C60" t="s">
        <v>230</v>
      </c>
      <c r="D60" t="s">
        <v>45</v>
      </c>
      <c r="E60" t="s">
        <v>20</v>
      </c>
      <c r="F60">
        <v>8</v>
      </c>
      <c r="G60" t="s">
        <v>53</v>
      </c>
      <c r="H60" t="s">
        <v>48</v>
      </c>
      <c r="I60" t="s">
        <v>49</v>
      </c>
      <c r="J60">
        <v>481.05</v>
      </c>
      <c r="K60">
        <v>2</v>
      </c>
      <c r="L60">
        <v>0</v>
      </c>
      <c r="N60" t="s">
        <v>41</v>
      </c>
      <c r="O60" t="s">
        <v>26</v>
      </c>
      <c r="P60">
        <v>1</v>
      </c>
    </row>
    <row r="61" spans="1:16" x14ac:dyDescent="0.25">
      <c r="A61" t="s">
        <v>231</v>
      </c>
      <c r="B61" t="s">
        <v>232</v>
      </c>
      <c r="C61" t="s">
        <v>233</v>
      </c>
      <c r="E61" t="s">
        <v>20</v>
      </c>
      <c r="F61">
        <v>41</v>
      </c>
      <c r="G61" t="s">
        <v>21</v>
      </c>
      <c r="H61" t="s">
        <v>87</v>
      </c>
      <c r="I61" t="s">
        <v>49</v>
      </c>
      <c r="J61">
        <v>172.45</v>
      </c>
      <c r="K61">
        <v>-2</v>
      </c>
      <c r="L61">
        <v>10</v>
      </c>
      <c r="M61" t="s">
        <v>64</v>
      </c>
      <c r="N61" t="s">
        <v>25</v>
      </c>
      <c r="O61" t="s">
        <v>82</v>
      </c>
      <c r="P61">
        <v>1</v>
      </c>
    </row>
    <row r="62" spans="1:16" x14ac:dyDescent="0.25">
      <c r="A62" t="s">
        <v>234</v>
      </c>
      <c r="B62" t="s">
        <v>235</v>
      </c>
      <c r="C62" t="s">
        <v>236</v>
      </c>
      <c r="E62" t="s">
        <v>46</v>
      </c>
      <c r="F62">
        <v>52</v>
      </c>
      <c r="G62" t="s">
        <v>21</v>
      </c>
      <c r="H62" t="s">
        <v>121</v>
      </c>
      <c r="I62" t="s">
        <v>122</v>
      </c>
      <c r="J62">
        <v>308.43</v>
      </c>
      <c r="K62">
        <v>-2</v>
      </c>
      <c r="L62">
        <v>5</v>
      </c>
      <c r="M62" t="s">
        <v>77</v>
      </c>
      <c r="N62" t="s">
        <v>91</v>
      </c>
      <c r="O62" t="s">
        <v>33</v>
      </c>
      <c r="P62">
        <v>3</v>
      </c>
    </row>
    <row r="63" spans="1:16" x14ac:dyDescent="0.25">
      <c r="A63" t="s">
        <v>237</v>
      </c>
      <c r="B63" t="s">
        <v>112</v>
      </c>
      <c r="C63" t="s">
        <v>238</v>
      </c>
      <c r="D63" t="s">
        <v>69</v>
      </c>
      <c r="E63" t="s">
        <v>20</v>
      </c>
      <c r="F63">
        <v>29</v>
      </c>
      <c r="G63" t="s">
        <v>47</v>
      </c>
      <c r="H63" t="s">
        <v>39</v>
      </c>
      <c r="I63" t="s">
        <v>40</v>
      </c>
      <c r="J63">
        <v>239.81</v>
      </c>
      <c r="K63">
        <v>10</v>
      </c>
      <c r="L63">
        <v>15</v>
      </c>
      <c r="M63" t="s">
        <v>64</v>
      </c>
      <c r="N63" t="s">
        <v>81</v>
      </c>
      <c r="O63" t="s">
        <v>82</v>
      </c>
      <c r="P63">
        <v>4</v>
      </c>
    </row>
    <row r="64" spans="1:16" x14ac:dyDescent="0.25">
      <c r="A64" t="s">
        <v>239</v>
      </c>
      <c r="B64" t="s">
        <v>240</v>
      </c>
      <c r="C64" t="s">
        <v>241</v>
      </c>
      <c r="D64" t="s">
        <v>45</v>
      </c>
      <c r="E64" t="s">
        <v>46</v>
      </c>
      <c r="F64">
        <v>43</v>
      </c>
      <c r="G64" t="s">
        <v>38</v>
      </c>
      <c r="H64" t="s">
        <v>54</v>
      </c>
      <c r="I64" t="s">
        <v>55</v>
      </c>
      <c r="J64">
        <v>12.92</v>
      </c>
      <c r="K64">
        <v>10</v>
      </c>
      <c r="L64">
        <v>10</v>
      </c>
      <c r="M64" t="s">
        <v>64</v>
      </c>
      <c r="N64" t="s">
        <v>25</v>
      </c>
      <c r="O64" t="s">
        <v>33</v>
      </c>
      <c r="P64">
        <v>4</v>
      </c>
    </row>
    <row r="65" spans="1:16" x14ac:dyDescent="0.25">
      <c r="A65" t="s">
        <v>242</v>
      </c>
      <c r="B65" t="s">
        <v>243</v>
      </c>
      <c r="C65" t="s">
        <v>244</v>
      </c>
      <c r="E65" t="s">
        <v>20</v>
      </c>
      <c r="F65">
        <v>130</v>
      </c>
      <c r="G65" t="s">
        <v>70</v>
      </c>
      <c r="H65" t="s">
        <v>54</v>
      </c>
      <c r="I65" t="s">
        <v>55</v>
      </c>
      <c r="J65">
        <v>381.75</v>
      </c>
      <c r="K65">
        <v>-2</v>
      </c>
      <c r="L65">
        <v>5</v>
      </c>
      <c r="N65" t="s">
        <v>91</v>
      </c>
      <c r="O65" t="s">
        <v>33</v>
      </c>
    </row>
    <row r="66" spans="1:16" x14ac:dyDescent="0.25">
      <c r="A66" t="s">
        <v>245</v>
      </c>
      <c r="B66" t="s">
        <v>246</v>
      </c>
      <c r="C66" t="s">
        <v>247</v>
      </c>
      <c r="D66" t="s">
        <v>37</v>
      </c>
      <c r="E66" t="s">
        <v>46</v>
      </c>
      <c r="F66">
        <v>54</v>
      </c>
      <c r="G66" t="s">
        <v>21</v>
      </c>
      <c r="H66" t="s">
        <v>87</v>
      </c>
      <c r="I66" t="s">
        <v>49</v>
      </c>
      <c r="J66">
        <v>481.13</v>
      </c>
      <c r="K66">
        <v>7</v>
      </c>
      <c r="L66">
        <v>15</v>
      </c>
      <c r="M66" t="s">
        <v>77</v>
      </c>
      <c r="N66" t="s">
        <v>81</v>
      </c>
      <c r="O66" t="s">
        <v>65</v>
      </c>
      <c r="P66">
        <v>4</v>
      </c>
    </row>
    <row r="67" spans="1:16" x14ac:dyDescent="0.25">
      <c r="A67" t="s">
        <v>248</v>
      </c>
      <c r="B67" t="s">
        <v>249</v>
      </c>
      <c r="C67" t="s">
        <v>250</v>
      </c>
      <c r="D67" t="s">
        <v>101</v>
      </c>
      <c r="E67" t="s">
        <v>46</v>
      </c>
      <c r="F67">
        <v>130</v>
      </c>
      <c r="G67" t="s">
        <v>21</v>
      </c>
      <c r="H67" t="s">
        <v>22</v>
      </c>
      <c r="I67" t="s">
        <v>23</v>
      </c>
      <c r="J67">
        <v>141.11000000000001</v>
      </c>
      <c r="K67">
        <v>-2</v>
      </c>
      <c r="L67">
        <v>0</v>
      </c>
      <c r="M67" t="s">
        <v>77</v>
      </c>
      <c r="N67" t="s">
        <v>25</v>
      </c>
      <c r="O67" t="s">
        <v>65</v>
      </c>
    </row>
    <row r="68" spans="1:16" x14ac:dyDescent="0.25">
      <c r="A68" t="s">
        <v>251</v>
      </c>
      <c r="B68" t="s">
        <v>252</v>
      </c>
      <c r="C68" t="s">
        <v>253</v>
      </c>
      <c r="D68" t="s">
        <v>63</v>
      </c>
      <c r="E68" t="s">
        <v>20</v>
      </c>
      <c r="F68">
        <v>29</v>
      </c>
      <c r="G68" t="s">
        <v>38</v>
      </c>
      <c r="H68" t="s">
        <v>87</v>
      </c>
      <c r="I68" t="s">
        <v>49</v>
      </c>
      <c r="J68">
        <v>137.34</v>
      </c>
      <c r="K68">
        <v>10</v>
      </c>
      <c r="L68">
        <v>5</v>
      </c>
      <c r="M68" t="s">
        <v>24</v>
      </c>
      <c r="N68" t="s">
        <v>81</v>
      </c>
      <c r="O68" t="s">
        <v>82</v>
      </c>
      <c r="P68">
        <v>3</v>
      </c>
    </row>
    <row r="69" spans="1:16" x14ac:dyDescent="0.25">
      <c r="A69" t="s">
        <v>254</v>
      </c>
      <c r="B69" t="s">
        <v>255</v>
      </c>
      <c r="C69" t="s">
        <v>256</v>
      </c>
      <c r="D69" t="s">
        <v>101</v>
      </c>
      <c r="E69" t="s">
        <v>46</v>
      </c>
      <c r="F69">
        <v>130</v>
      </c>
      <c r="G69" t="s">
        <v>53</v>
      </c>
      <c r="H69" t="s">
        <v>87</v>
      </c>
      <c r="I69" t="s">
        <v>49</v>
      </c>
      <c r="J69">
        <v>223.18</v>
      </c>
      <c r="K69">
        <v>-2</v>
      </c>
      <c r="L69">
        <v>-10</v>
      </c>
      <c r="M69" t="s">
        <v>64</v>
      </c>
      <c r="N69" t="s">
        <v>41</v>
      </c>
      <c r="O69" t="s">
        <v>65</v>
      </c>
      <c r="P69">
        <v>2</v>
      </c>
    </row>
    <row r="70" spans="1:16" x14ac:dyDescent="0.25">
      <c r="A70" t="s">
        <v>257</v>
      </c>
      <c r="B70" t="s">
        <v>258</v>
      </c>
      <c r="C70" t="s">
        <v>259</v>
      </c>
      <c r="E70" t="s">
        <v>20</v>
      </c>
      <c r="F70">
        <v>130</v>
      </c>
      <c r="G70" t="s">
        <v>47</v>
      </c>
      <c r="H70" t="s">
        <v>48</v>
      </c>
      <c r="I70" t="s">
        <v>49</v>
      </c>
      <c r="J70">
        <v>456.44</v>
      </c>
      <c r="K70">
        <v>3</v>
      </c>
      <c r="L70">
        <v>0</v>
      </c>
      <c r="N70" t="s">
        <v>81</v>
      </c>
      <c r="O70" t="s">
        <v>82</v>
      </c>
      <c r="P70">
        <v>3</v>
      </c>
    </row>
    <row r="71" spans="1:16" x14ac:dyDescent="0.25">
      <c r="A71" t="s">
        <v>260</v>
      </c>
      <c r="B71" t="s">
        <v>261</v>
      </c>
      <c r="C71" t="s">
        <v>262</v>
      </c>
      <c r="D71" t="s">
        <v>45</v>
      </c>
      <c r="E71" t="s">
        <v>46</v>
      </c>
      <c r="F71">
        <v>42</v>
      </c>
      <c r="G71" t="s">
        <v>70</v>
      </c>
      <c r="H71" t="s">
        <v>54</v>
      </c>
      <c r="I71" t="s">
        <v>55</v>
      </c>
      <c r="J71">
        <v>159.08000000000001</v>
      </c>
      <c r="K71">
        <v>-2</v>
      </c>
      <c r="L71">
        <v>120</v>
      </c>
      <c r="N71" t="s">
        <v>91</v>
      </c>
      <c r="O71" t="s">
        <v>26</v>
      </c>
    </row>
    <row r="72" spans="1:16" x14ac:dyDescent="0.25">
      <c r="A72" t="s">
        <v>263</v>
      </c>
      <c r="B72" t="s">
        <v>264</v>
      </c>
      <c r="C72" t="s">
        <v>265</v>
      </c>
      <c r="D72" t="s">
        <v>101</v>
      </c>
      <c r="E72" t="s">
        <v>20</v>
      </c>
      <c r="F72">
        <v>130</v>
      </c>
      <c r="G72" t="s">
        <v>38</v>
      </c>
      <c r="H72" t="s">
        <v>121</v>
      </c>
      <c r="I72" t="s">
        <v>122</v>
      </c>
      <c r="J72">
        <v>328.53</v>
      </c>
      <c r="K72">
        <v>-2</v>
      </c>
      <c r="L72">
        <v>-10</v>
      </c>
      <c r="N72" t="s">
        <v>81</v>
      </c>
      <c r="O72" t="s">
        <v>82</v>
      </c>
      <c r="P72">
        <v>3</v>
      </c>
    </row>
    <row r="73" spans="1:16" x14ac:dyDescent="0.25">
      <c r="A73" t="s">
        <v>266</v>
      </c>
      <c r="B73" t="s">
        <v>267</v>
      </c>
      <c r="C73" t="s">
        <v>268</v>
      </c>
      <c r="D73" t="s">
        <v>63</v>
      </c>
      <c r="E73" t="s">
        <v>20</v>
      </c>
      <c r="F73">
        <v>130</v>
      </c>
      <c r="G73" t="s">
        <v>38</v>
      </c>
      <c r="H73" t="s">
        <v>39</v>
      </c>
      <c r="I73" t="s">
        <v>40</v>
      </c>
      <c r="J73">
        <v>223.95</v>
      </c>
      <c r="K73">
        <v>-2</v>
      </c>
      <c r="L73">
        <v>0</v>
      </c>
      <c r="M73" t="s">
        <v>59</v>
      </c>
      <c r="N73" t="s">
        <v>41</v>
      </c>
      <c r="O73" t="s">
        <v>65</v>
      </c>
      <c r="P73">
        <v>3</v>
      </c>
    </row>
    <row r="74" spans="1:16" x14ac:dyDescent="0.25">
      <c r="A74" t="s">
        <v>269</v>
      </c>
      <c r="B74" t="s">
        <v>270</v>
      </c>
      <c r="C74" t="s">
        <v>271</v>
      </c>
      <c r="D74" t="s">
        <v>101</v>
      </c>
      <c r="E74" t="s">
        <v>46</v>
      </c>
      <c r="F74">
        <v>130</v>
      </c>
      <c r="G74" t="s">
        <v>47</v>
      </c>
      <c r="H74" t="s">
        <v>22</v>
      </c>
      <c r="I74" t="s">
        <v>23</v>
      </c>
      <c r="J74">
        <v>100.23</v>
      </c>
      <c r="K74">
        <v>-2</v>
      </c>
      <c r="L74">
        <v>120</v>
      </c>
      <c r="M74" t="s">
        <v>64</v>
      </c>
      <c r="N74" t="s">
        <v>81</v>
      </c>
      <c r="O74" t="s">
        <v>65</v>
      </c>
      <c r="P74">
        <v>1</v>
      </c>
    </row>
    <row r="75" spans="1:16" x14ac:dyDescent="0.25">
      <c r="A75" t="s">
        <v>272</v>
      </c>
      <c r="B75" t="s">
        <v>273</v>
      </c>
      <c r="C75" t="s">
        <v>274</v>
      </c>
      <c r="D75" t="s">
        <v>45</v>
      </c>
      <c r="E75" t="s">
        <v>46</v>
      </c>
      <c r="F75">
        <v>36</v>
      </c>
      <c r="G75" t="s">
        <v>47</v>
      </c>
      <c r="H75" t="s">
        <v>54</v>
      </c>
      <c r="I75" t="s">
        <v>55</v>
      </c>
      <c r="J75">
        <v>288.64</v>
      </c>
      <c r="K75">
        <v>1</v>
      </c>
      <c r="L75">
        <v>120</v>
      </c>
      <c r="M75" t="s">
        <v>59</v>
      </c>
      <c r="N75" t="s">
        <v>81</v>
      </c>
      <c r="O75" t="s">
        <v>82</v>
      </c>
      <c r="P75">
        <v>5</v>
      </c>
    </row>
    <row r="76" spans="1:16" x14ac:dyDescent="0.25">
      <c r="A76" t="s">
        <v>275</v>
      </c>
      <c r="B76" t="s">
        <v>276</v>
      </c>
      <c r="C76" t="s">
        <v>277</v>
      </c>
      <c r="D76" t="s">
        <v>117</v>
      </c>
      <c r="E76" t="s">
        <v>46</v>
      </c>
      <c r="F76">
        <v>130</v>
      </c>
      <c r="G76" t="s">
        <v>70</v>
      </c>
      <c r="H76" t="s">
        <v>39</v>
      </c>
      <c r="I76" t="s">
        <v>40</v>
      </c>
      <c r="J76">
        <v>84.9</v>
      </c>
      <c r="K76">
        <v>-2</v>
      </c>
      <c r="L76">
        <v>5</v>
      </c>
      <c r="M76" t="s">
        <v>59</v>
      </c>
      <c r="N76" t="s">
        <v>41</v>
      </c>
      <c r="O76" t="s">
        <v>33</v>
      </c>
      <c r="P76">
        <v>3</v>
      </c>
    </row>
    <row r="77" spans="1:16" x14ac:dyDescent="0.25">
      <c r="A77" t="s">
        <v>278</v>
      </c>
      <c r="B77" t="s">
        <v>279</v>
      </c>
      <c r="C77" t="s">
        <v>280</v>
      </c>
      <c r="D77" t="s">
        <v>19</v>
      </c>
      <c r="E77" t="s">
        <v>20</v>
      </c>
      <c r="F77">
        <v>21</v>
      </c>
      <c r="G77" t="s">
        <v>30</v>
      </c>
      <c r="H77" t="s">
        <v>121</v>
      </c>
      <c r="I77" t="s">
        <v>122</v>
      </c>
      <c r="J77">
        <v>105.76</v>
      </c>
      <c r="K77">
        <v>6</v>
      </c>
      <c r="L77">
        <v>5</v>
      </c>
      <c r="N77" t="s">
        <v>41</v>
      </c>
      <c r="O77" t="s">
        <v>33</v>
      </c>
      <c r="P77">
        <v>3</v>
      </c>
    </row>
    <row r="78" spans="1:16" x14ac:dyDescent="0.25">
      <c r="A78" t="s">
        <v>281</v>
      </c>
      <c r="B78" t="s">
        <v>282</v>
      </c>
      <c r="C78" t="s">
        <v>283</v>
      </c>
      <c r="D78" t="s">
        <v>117</v>
      </c>
      <c r="E78" t="s">
        <v>46</v>
      </c>
      <c r="F78">
        <v>44</v>
      </c>
      <c r="G78" t="s">
        <v>30</v>
      </c>
      <c r="H78" t="s">
        <v>121</v>
      </c>
      <c r="I78" t="s">
        <v>122</v>
      </c>
      <c r="J78">
        <v>229.49</v>
      </c>
      <c r="K78">
        <v>-2</v>
      </c>
      <c r="L78">
        <v>-10</v>
      </c>
      <c r="M78" t="s">
        <v>24</v>
      </c>
      <c r="N78" t="s">
        <v>91</v>
      </c>
      <c r="O78" t="s">
        <v>65</v>
      </c>
      <c r="P78">
        <v>3</v>
      </c>
    </row>
    <row r="79" spans="1:16" x14ac:dyDescent="0.25">
      <c r="A79" t="s">
        <v>284</v>
      </c>
      <c r="B79" t="s">
        <v>285</v>
      </c>
      <c r="C79" t="s">
        <v>286</v>
      </c>
      <c r="D79" t="s">
        <v>19</v>
      </c>
      <c r="E79" t="s">
        <v>46</v>
      </c>
      <c r="F79">
        <v>8</v>
      </c>
      <c r="G79" t="s">
        <v>30</v>
      </c>
      <c r="H79" t="s">
        <v>39</v>
      </c>
      <c r="I79" t="s">
        <v>40</v>
      </c>
      <c r="J79">
        <v>297.94</v>
      </c>
      <c r="K79">
        <v>-2</v>
      </c>
      <c r="L79">
        <v>-10</v>
      </c>
      <c r="M79" t="s">
        <v>64</v>
      </c>
      <c r="N79" t="s">
        <v>41</v>
      </c>
      <c r="O79" t="s">
        <v>82</v>
      </c>
    </row>
    <row r="80" spans="1:16" x14ac:dyDescent="0.25">
      <c r="A80" t="s">
        <v>287</v>
      </c>
      <c r="B80" t="s">
        <v>288</v>
      </c>
      <c r="C80" t="s">
        <v>289</v>
      </c>
      <c r="E80" t="s">
        <v>46</v>
      </c>
      <c r="F80">
        <v>33</v>
      </c>
      <c r="G80" t="s">
        <v>86</v>
      </c>
      <c r="H80" t="s">
        <v>39</v>
      </c>
      <c r="I80" t="s">
        <v>40</v>
      </c>
      <c r="J80">
        <v>256.49</v>
      </c>
      <c r="K80">
        <v>10</v>
      </c>
      <c r="L80">
        <v>-10</v>
      </c>
      <c r="M80" t="s">
        <v>59</v>
      </c>
      <c r="N80" t="s">
        <v>25</v>
      </c>
      <c r="O80" t="s">
        <v>65</v>
      </c>
      <c r="P80">
        <v>4</v>
      </c>
    </row>
    <row r="81" spans="1:16" x14ac:dyDescent="0.25">
      <c r="A81" t="s">
        <v>290</v>
      </c>
      <c r="B81" t="s">
        <v>291</v>
      </c>
      <c r="C81" t="s">
        <v>292</v>
      </c>
      <c r="D81" t="s">
        <v>69</v>
      </c>
      <c r="E81" t="s">
        <v>46</v>
      </c>
      <c r="F81">
        <v>130</v>
      </c>
      <c r="G81" t="s">
        <v>86</v>
      </c>
      <c r="H81" t="s">
        <v>121</v>
      </c>
      <c r="I81" t="s">
        <v>122</v>
      </c>
      <c r="J81">
        <v>202.13</v>
      </c>
      <c r="K81">
        <v>2</v>
      </c>
      <c r="L81">
        <v>-10</v>
      </c>
      <c r="M81" t="s">
        <v>24</v>
      </c>
      <c r="N81" t="s">
        <v>25</v>
      </c>
      <c r="O81" t="s">
        <v>65</v>
      </c>
    </row>
    <row r="82" spans="1:16" x14ac:dyDescent="0.25">
      <c r="A82" t="s">
        <v>293</v>
      </c>
      <c r="B82" t="s">
        <v>294</v>
      </c>
      <c r="C82" t="s">
        <v>295</v>
      </c>
      <c r="D82" t="s">
        <v>101</v>
      </c>
      <c r="E82" t="s">
        <v>46</v>
      </c>
      <c r="F82">
        <v>130</v>
      </c>
      <c r="G82" t="s">
        <v>70</v>
      </c>
      <c r="H82" t="s">
        <v>87</v>
      </c>
      <c r="I82" t="s">
        <v>49</v>
      </c>
      <c r="J82">
        <v>376.61</v>
      </c>
      <c r="K82">
        <v>2</v>
      </c>
      <c r="L82">
        <v>15</v>
      </c>
      <c r="M82" t="s">
        <v>59</v>
      </c>
      <c r="N82" t="s">
        <v>91</v>
      </c>
      <c r="O82" t="s">
        <v>65</v>
      </c>
      <c r="P82">
        <v>2</v>
      </c>
    </row>
    <row r="83" spans="1:16" x14ac:dyDescent="0.25">
      <c r="A83" t="s">
        <v>296</v>
      </c>
      <c r="B83" t="s">
        <v>297</v>
      </c>
      <c r="C83" t="s">
        <v>298</v>
      </c>
      <c r="D83" t="s">
        <v>101</v>
      </c>
      <c r="E83" t="s">
        <v>20</v>
      </c>
      <c r="F83">
        <v>36</v>
      </c>
      <c r="G83" t="s">
        <v>30</v>
      </c>
      <c r="H83" t="s">
        <v>31</v>
      </c>
      <c r="I83" t="s">
        <v>32</v>
      </c>
      <c r="J83">
        <v>50.76</v>
      </c>
      <c r="K83">
        <v>-2</v>
      </c>
      <c r="L83">
        <v>120</v>
      </c>
      <c r="M83" t="s">
        <v>59</v>
      </c>
      <c r="N83" t="s">
        <v>91</v>
      </c>
      <c r="O83" t="s">
        <v>65</v>
      </c>
      <c r="P83">
        <v>2</v>
      </c>
    </row>
    <row r="84" spans="1:16" x14ac:dyDescent="0.25">
      <c r="A84" t="s">
        <v>299</v>
      </c>
      <c r="B84" t="s">
        <v>300</v>
      </c>
      <c r="C84" t="s">
        <v>301</v>
      </c>
      <c r="D84" t="s">
        <v>117</v>
      </c>
      <c r="E84" t="s">
        <v>46</v>
      </c>
      <c r="F84">
        <v>23</v>
      </c>
      <c r="G84" t="s">
        <v>47</v>
      </c>
      <c r="H84" t="s">
        <v>54</v>
      </c>
      <c r="I84" t="s">
        <v>55</v>
      </c>
      <c r="J84">
        <v>164.1</v>
      </c>
      <c r="K84">
        <v>3</v>
      </c>
      <c r="L84">
        <v>10</v>
      </c>
      <c r="M84" t="s">
        <v>24</v>
      </c>
      <c r="N84" t="s">
        <v>25</v>
      </c>
      <c r="O84" t="s">
        <v>65</v>
      </c>
      <c r="P84">
        <v>3</v>
      </c>
    </row>
    <row r="85" spans="1:16" x14ac:dyDescent="0.25">
      <c r="A85" t="s">
        <v>302</v>
      </c>
      <c r="B85" t="s">
        <v>303</v>
      </c>
      <c r="C85" t="s">
        <v>304</v>
      </c>
      <c r="D85" t="s">
        <v>63</v>
      </c>
      <c r="E85" t="s">
        <v>46</v>
      </c>
      <c r="F85">
        <v>8</v>
      </c>
      <c r="G85" t="s">
        <v>53</v>
      </c>
      <c r="H85" t="s">
        <v>54</v>
      </c>
      <c r="I85" t="s">
        <v>55</v>
      </c>
      <c r="J85">
        <v>15.36</v>
      </c>
      <c r="K85">
        <v>4</v>
      </c>
      <c r="L85">
        <v>-10</v>
      </c>
      <c r="M85" t="s">
        <v>24</v>
      </c>
      <c r="N85" t="s">
        <v>91</v>
      </c>
      <c r="O85" t="s">
        <v>26</v>
      </c>
      <c r="P85">
        <v>2</v>
      </c>
    </row>
    <row r="86" spans="1:16" x14ac:dyDescent="0.25">
      <c r="A86" t="s">
        <v>305</v>
      </c>
      <c r="B86" t="s">
        <v>306</v>
      </c>
      <c r="C86" t="s">
        <v>307</v>
      </c>
      <c r="D86" t="s">
        <v>117</v>
      </c>
      <c r="E86" t="s">
        <v>20</v>
      </c>
      <c r="F86">
        <v>63</v>
      </c>
      <c r="G86" t="s">
        <v>86</v>
      </c>
      <c r="H86" t="s">
        <v>31</v>
      </c>
      <c r="I86" t="s">
        <v>32</v>
      </c>
      <c r="J86">
        <v>418.34</v>
      </c>
      <c r="K86">
        <v>5</v>
      </c>
      <c r="L86">
        <v>5</v>
      </c>
      <c r="M86" t="s">
        <v>77</v>
      </c>
      <c r="N86" t="s">
        <v>81</v>
      </c>
      <c r="O86" t="s">
        <v>65</v>
      </c>
      <c r="P86">
        <v>1</v>
      </c>
    </row>
    <row r="87" spans="1:16" x14ac:dyDescent="0.25">
      <c r="A87" t="s">
        <v>308</v>
      </c>
      <c r="B87" t="s">
        <v>309</v>
      </c>
      <c r="C87" t="s">
        <v>310</v>
      </c>
      <c r="D87" t="s">
        <v>63</v>
      </c>
      <c r="E87" t="s">
        <v>46</v>
      </c>
      <c r="F87">
        <v>46</v>
      </c>
      <c r="G87" t="s">
        <v>30</v>
      </c>
      <c r="H87" t="s">
        <v>121</v>
      </c>
      <c r="I87" t="s">
        <v>122</v>
      </c>
      <c r="J87">
        <v>214.36</v>
      </c>
      <c r="K87">
        <v>-2</v>
      </c>
      <c r="L87">
        <v>15</v>
      </c>
      <c r="M87" t="s">
        <v>24</v>
      </c>
      <c r="N87" t="s">
        <v>25</v>
      </c>
      <c r="O87" t="s">
        <v>65</v>
      </c>
    </row>
    <row r="88" spans="1:16" x14ac:dyDescent="0.25">
      <c r="A88" t="s">
        <v>311</v>
      </c>
      <c r="B88" t="s">
        <v>312</v>
      </c>
      <c r="C88" t="s">
        <v>313</v>
      </c>
      <c r="D88" t="s">
        <v>101</v>
      </c>
      <c r="E88" t="s">
        <v>20</v>
      </c>
      <c r="F88">
        <v>8</v>
      </c>
      <c r="G88" t="s">
        <v>30</v>
      </c>
      <c r="H88" t="s">
        <v>121</v>
      </c>
      <c r="I88" t="s">
        <v>122</v>
      </c>
      <c r="J88">
        <v>57.71</v>
      </c>
      <c r="K88">
        <v>-2</v>
      </c>
      <c r="L88">
        <v>-10</v>
      </c>
      <c r="M88" t="s">
        <v>77</v>
      </c>
      <c r="N88" t="s">
        <v>91</v>
      </c>
      <c r="O88" t="s">
        <v>33</v>
      </c>
      <c r="P88">
        <v>3</v>
      </c>
    </row>
    <row r="89" spans="1:16" x14ac:dyDescent="0.25">
      <c r="A89" t="s">
        <v>314</v>
      </c>
      <c r="B89" t="s">
        <v>315</v>
      </c>
      <c r="C89" t="s">
        <v>316</v>
      </c>
      <c r="D89" t="s">
        <v>69</v>
      </c>
      <c r="E89" t="s">
        <v>20</v>
      </c>
      <c r="F89">
        <v>8</v>
      </c>
      <c r="G89" t="s">
        <v>53</v>
      </c>
      <c r="H89" t="s">
        <v>31</v>
      </c>
      <c r="I89" t="s">
        <v>32</v>
      </c>
      <c r="J89">
        <v>370.55</v>
      </c>
      <c r="K89">
        <v>-2</v>
      </c>
      <c r="L89">
        <v>120</v>
      </c>
      <c r="M89" t="s">
        <v>64</v>
      </c>
      <c r="N89" t="s">
        <v>91</v>
      </c>
      <c r="O89" t="s">
        <v>33</v>
      </c>
      <c r="P89">
        <v>4</v>
      </c>
    </row>
    <row r="90" spans="1:16" x14ac:dyDescent="0.25">
      <c r="A90" t="s">
        <v>317</v>
      </c>
      <c r="B90" t="s">
        <v>106</v>
      </c>
      <c r="C90" t="s">
        <v>318</v>
      </c>
      <c r="D90" t="s">
        <v>19</v>
      </c>
      <c r="E90" t="s">
        <v>20</v>
      </c>
      <c r="F90">
        <v>8</v>
      </c>
      <c r="G90" t="s">
        <v>86</v>
      </c>
      <c r="H90" t="s">
        <v>31</v>
      </c>
      <c r="I90" t="s">
        <v>32</v>
      </c>
      <c r="J90">
        <v>331.75</v>
      </c>
      <c r="K90">
        <v>-2</v>
      </c>
      <c r="L90">
        <v>120</v>
      </c>
      <c r="N90" t="s">
        <v>91</v>
      </c>
      <c r="O90" t="s">
        <v>82</v>
      </c>
      <c r="P90">
        <v>2</v>
      </c>
    </row>
    <row r="91" spans="1:16" x14ac:dyDescent="0.25">
      <c r="A91" t="s">
        <v>319</v>
      </c>
      <c r="B91" t="s">
        <v>320</v>
      </c>
      <c r="C91" t="s">
        <v>321</v>
      </c>
      <c r="D91" t="s">
        <v>19</v>
      </c>
      <c r="E91" t="s">
        <v>20</v>
      </c>
      <c r="F91">
        <v>130</v>
      </c>
      <c r="G91" t="s">
        <v>70</v>
      </c>
      <c r="H91" t="s">
        <v>22</v>
      </c>
      <c r="I91" t="s">
        <v>23</v>
      </c>
      <c r="J91">
        <v>265.26</v>
      </c>
      <c r="K91">
        <v>-2</v>
      </c>
      <c r="L91">
        <v>0</v>
      </c>
      <c r="M91" t="s">
        <v>24</v>
      </c>
      <c r="N91" t="s">
        <v>25</v>
      </c>
      <c r="O91" t="s">
        <v>82</v>
      </c>
      <c r="P91">
        <v>5</v>
      </c>
    </row>
    <row r="92" spans="1:16" x14ac:dyDescent="0.25">
      <c r="A92" t="s">
        <v>322</v>
      </c>
      <c r="B92" t="s">
        <v>323</v>
      </c>
      <c r="C92" t="s">
        <v>324</v>
      </c>
      <c r="D92" t="s">
        <v>69</v>
      </c>
      <c r="E92" t="s">
        <v>20</v>
      </c>
      <c r="F92">
        <v>59</v>
      </c>
      <c r="G92" t="s">
        <v>21</v>
      </c>
      <c r="H92" t="s">
        <v>39</v>
      </c>
      <c r="I92" t="s">
        <v>40</v>
      </c>
      <c r="J92">
        <v>285.7</v>
      </c>
      <c r="K92">
        <v>4</v>
      </c>
      <c r="L92">
        <v>0</v>
      </c>
      <c r="N92" t="s">
        <v>91</v>
      </c>
      <c r="O92" t="s">
        <v>33</v>
      </c>
      <c r="P92">
        <v>5</v>
      </c>
    </row>
    <row r="93" spans="1:16" x14ac:dyDescent="0.25">
      <c r="A93" t="s">
        <v>325</v>
      </c>
      <c r="B93" t="s">
        <v>326</v>
      </c>
      <c r="C93" t="s">
        <v>327</v>
      </c>
      <c r="D93" t="s">
        <v>101</v>
      </c>
      <c r="E93" t="s">
        <v>46</v>
      </c>
      <c r="F93">
        <v>130</v>
      </c>
      <c r="G93" t="s">
        <v>53</v>
      </c>
      <c r="H93" t="s">
        <v>48</v>
      </c>
      <c r="I93" t="s">
        <v>49</v>
      </c>
      <c r="J93">
        <v>109.04</v>
      </c>
      <c r="K93">
        <v>3</v>
      </c>
      <c r="L93">
        <v>10</v>
      </c>
      <c r="M93" t="s">
        <v>59</v>
      </c>
      <c r="N93" t="s">
        <v>91</v>
      </c>
      <c r="O93" t="s">
        <v>26</v>
      </c>
      <c r="P93">
        <v>3</v>
      </c>
    </row>
    <row r="94" spans="1:16" x14ac:dyDescent="0.25">
      <c r="A94" t="s">
        <v>328</v>
      </c>
      <c r="B94" t="s">
        <v>329</v>
      </c>
      <c r="C94" t="s">
        <v>330</v>
      </c>
      <c r="D94" t="s">
        <v>19</v>
      </c>
      <c r="E94" t="s">
        <v>20</v>
      </c>
      <c r="F94">
        <v>130</v>
      </c>
      <c r="G94" t="s">
        <v>30</v>
      </c>
      <c r="H94" t="s">
        <v>121</v>
      </c>
      <c r="I94" t="s">
        <v>122</v>
      </c>
      <c r="J94">
        <v>322.57</v>
      </c>
      <c r="K94">
        <v>8</v>
      </c>
      <c r="L94">
        <v>10</v>
      </c>
      <c r="M94" t="s">
        <v>77</v>
      </c>
      <c r="N94" t="s">
        <v>25</v>
      </c>
      <c r="O94" t="s">
        <v>33</v>
      </c>
      <c r="P94">
        <v>5</v>
      </c>
    </row>
    <row r="95" spans="1:16" x14ac:dyDescent="0.25">
      <c r="A95" t="s">
        <v>331</v>
      </c>
      <c r="B95" t="s">
        <v>323</v>
      </c>
      <c r="C95" t="s">
        <v>332</v>
      </c>
      <c r="D95" t="s">
        <v>117</v>
      </c>
      <c r="E95" t="s">
        <v>20</v>
      </c>
      <c r="F95">
        <v>130</v>
      </c>
      <c r="G95" t="s">
        <v>70</v>
      </c>
      <c r="H95" t="s">
        <v>31</v>
      </c>
      <c r="I95" t="s">
        <v>32</v>
      </c>
      <c r="J95">
        <v>350.62</v>
      </c>
      <c r="K95">
        <v>-2</v>
      </c>
      <c r="L95">
        <v>15</v>
      </c>
      <c r="N95" t="s">
        <v>91</v>
      </c>
      <c r="O95" t="s">
        <v>82</v>
      </c>
      <c r="P95">
        <v>2</v>
      </c>
    </row>
    <row r="96" spans="1:16" x14ac:dyDescent="0.25">
      <c r="A96" t="s">
        <v>333</v>
      </c>
      <c r="B96" t="s">
        <v>285</v>
      </c>
      <c r="C96" t="s">
        <v>334</v>
      </c>
      <c r="D96" t="s">
        <v>63</v>
      </c>
      <c r="E96" t="s">
        <v>20</v>
      </c>
      <c r="F96">
        <v>43</v>
      </c>
      <c r="G96" t="s">
        <v>86</v>
      </c>
      <c r="H96" t="s">
        <v>48</v>
      </c>
      <c r="I96" t="s">
        <v>49</v>
      </c>
      <c r="J96">
        <v>499.74</v>
      </c>
      <c r="K96">
        <v>1</v>
      </c>
      <c r="L96">
        <v>10</v>
      </c>
      <c r="N96" t="s">
        <v>25</v>
      </c>
      <c r="O96" t="s">
        <v>82</v>
      </c>
      <c r="P96">
        <v>1</v>
      </c>
    </row>
    <row r="97" spans="1:16" x14ac:dyDescent="0.25">
      <c r="A97" t="s">
        <v>335</v>
      </c>
      <c r="B97" t="s">
        <v>181</v>
      </c>
      <c r="C97" t="s">
        <v>336</v>
      </c>
      <c r="D97" t="s">
        <v>117</v>
      </c>
      <c r="E97" t="s">
        <v>46</v>
      </c>
      <c r="F97">
        <v>29</v>
      </c>
      <c r="G97" t="s">
        <v>21</v>
      </c>
      <c r="H97" t="s">
        <v>54</v>
      </c>
      <c r="I97" t="s">
        <v>55</v>
      </c>
      <c r="J97">
        <v>304.02</v>
      </c>
      <c r="K97">
        <v>6</v>
      </c>
      <c r="L97">
        <v>120</v>
      </c>
      <c r="M97" t="s">
        <v>59</v>
      </c>
      <c r="N97" t="s">
        <v>25</v>
      </c>
      <c r="O97" t="s">
        <v>65</v>
      </c>
      <c r="P97">
        <v>2</v>
      </c>
    </row>
    <row r="98" spans="1:16" x14ac:dyDescent="0.25">
      <c r="A98" t="s">
        <v>337</v>
      </c>
      <c r="B98" t="s">
        <v>338</v>
      </c>
      <c r="C98" t="s">
        <v>339</v>
      </c>
      <c r="D98" t="s">
        <v>117</v>
      </c>
      <c r="E98" t="s">
        <v>46</v>
      </c>
      <c r="F98">
        <v>25</v>
      </c>
      <c r="G98" t="s">
        <v>38</v>
      </c>
      <c r="H98" t="s">
        <v>54</v>
      </c>
      <c r="I98" t="s">
        <v>55</v>
      </c>
      <c r="J98">
        <v>137.31</v>
      </c>
      <c r="K98">
        <v>3</v>
      </c>
      <c r="L98">
        <v>10</v>
      </c>
      <c r="M98" t="s">
        <v>77</v>
      </c>
      <c r="N98" t="s">
        <v>91</v>
      </c>
      <c r="O98" t="s">
        <v>33</v>
      </c>
      <c r="P98">
        <v>5</v>
      </c>
    </row>
    <row r="99" spans="1:16" x14ac:dyDescent="0.25">
      <c r="A99" t="s">
        <v>340</v>
      </c>
      <c r="B99" t="s">
        <v>341</v>
      </c>
      <c r="C99" t="s">
        <v>342</v>
      </c>
      <c r="D99" t="s">
        <v>101</v>
      </c>
      <c r="E99" t="s">
        <v>46</v>
      </c>
      <c r="F99">
        <v>8</v>
      </c>
      <c r="G99" t="s">
        <v>21</v>
      </c>
      <c r="H99" t="s">
        <v>87</v>
      </c>
      <c r="I99" t="s">
        <v>49</v>
      </c>
      <c r="J99">
        <v>353.95</v>
      </c>
      <c r="K99">
        <v>-2</v>
      </c>
      <c r="L99">
        <v>15</v>
      </c>
      <c r="M99" t="s">
        <v>77</v>
      </c>
      <c r="N99" t="s">
        <v>91</v>
      </c>
      <c r="O99" t="s">
        <v>26</v>
      </c>
      <c r="P99">
        <v>5</v>
      </c>
    </row>
    <row r="100" spans="1:16" x14ac:dyDescent="0.25">
      <c r="A100" t="s">
        <v>343</v>
      </c>
      <c r="B100" t="s">
        <v>344</v>
      </c>
      <c r="C100" t="s">
        <v>345</v>
      </c>
      <c r="D100" t="s">
        <v>101</v>
      </c>
      <c r="E100" t="s">
        <v>20</v>
      </c>
      <c r="F100">
        <v>34</v>
      </c>
      <c r="G100" t="s">
        <v>30</v>
      </c>
      <c r="H100" t="s">
        <v>87</v>
      </c>
      <c r="I100" t="s">
        <v>49</v>
      </c>
      <c r="J100">
        <v>218.73</v>
      </c>
      <c r="K100">
        <v>10</v>
      </c>
      <c r="L100">
        <v>0</v>
      </c>
      <c r="M100" t="s">
        <v>24</v>
      </c>
      <c r="N100" t="s">
        <v>81</v>
      </c>
      <c r="O100" t="s">
        <v>82</v>
      </c>
      <c r="P100">
        <v>5</v>
      </c>
    </row>
    <row r="101" spans="1:16" x14ac:dyDescent="0.25">
      <c r="A101" t="s">
        <v>346</v>
      </c>
      <c r="B101" t="s">
        <v>347</v>
      </c>
      <c r="C101" t="s">
        <v>348</v>
      </c>
      <c r="D101" t="s">
        <v>45</v>
      </c>
      <c r="E101" t="s">
        <v>20</v>
      </c>
      <c r="F101">
        <v>130</v>
      </c>
      <c r="G101" t="s">
        <v>47</v>
      </c>
      <c r="H101" t="s">
        <v>48</v>
      </c>
      <c r="I101" t="s">
        <v>49</v>
      </c>
      <c r="J101">
        <v>225.05</v>
      </c>
      <c r="K101">
        <v>-2</v>
      </c>
      <c r="L101">
        <v>120</v>
      </c>
      <c r="M101" t="s">
        <v>59</v>
      </c>
      <c r="N101" t="s">
        <v>81</v>
      </c>
      <c r="O101" t="s">
        <v>82</v>
      </c>
      <c r="P101">
        <v>2</v>
      </c>
    </row>
    <row r="102" spans="1:16" x14ac:dyDescent="0.25">
      <c r="A102" t="s">
        <v>349</v>
      </c>
      <c r="B102" t="s">
        <v>235</v>
      </c>
      <c r="C102" t="s">
        <v>350</v>
      </c>
      <c r="D102" t="s">
        <v>19</v>
      </c>
      <c r="E102" t="s">
        <v>20</v>
      </c>
      <c r="F102">
        <v>130</v>
      </c>
      <c r="G102" t="s">
        <v>30</v>
      </c>
      <c r="H102" t="s">
        <v>48</v>
      </c>
      <c r="I102" t="s">
        <v>49</v>
      </c>
      <c r="J102">
        <v>256.70999999999998</v>
      </c>
      <c r="K102">
        <v>6</v>
      </c>
      <c r="L102">
        <v>0</v>
      </c>
      <c r="M102" t="s">
        <v>24</v>
      </c>
      <c r="N102" t="s">
        <v>91</v>
      </c>
      <c r="O102" t="s">
        <v>82</v>
      </c>
      <c r="P102">
        <v>4</v>
      </c>
    </row>
    <row r="103" spans="1:16" x14ac:dyDescent="0.25">
      <c r="A103" t="s">
        <v>351</v>
      </c>
      <c r="B103" t="s">
        <v>130</v>
      </c>
      <c r="C103" t="s">
        <v>352</v>
      </c>
      <c r="D103" t="s">
        <v>19</v>
      </c>
      <c r="E103" t="s">
        <v>46</v>
      </c>
      <c r="F103">
        <v>130</v>
      </c>
      <c r="G103" t="s">
        <v>47</v>
      </c>
      <c r="H103" t="s">
        <v>48</v>
      </c>
      <c r="I103" t="s">
        <v>49</v>
      </c>
      <c r="J103">
        <v>245.32</v>
      </c>
      <c r="K103">
        <v>4</v>
      </c>
      <c r="L103">
        <v>15</v>
      </c>
      <c r="M103" t="s">
        <v>24</v>
      </c>
      <c r="N103" t="s">
        <v>81</v>
      </c>
      <c r="O103" t="s">
        <v>82</v>
      </c>
    </row>
    <row r="104" spans="1:16" x14ac:dyDescent="0.25">
      <c r="A104" t="s">
        <v>353</v>
      </c>
      <c r="B104" t="s">
        <v>354</v>
      </c>
      <c r="C104" t="s">
        <v>355</v>
      </c>
      <c r="D104" t="s">
        <v>117</v>
      </c>
      <c r="E104" t="s">
        <v>20</v>
      </c>
      <c r="F104">
        <v>8</v>
      </c>
      <c r="G104" t="s">
        <v>70</v>
      </c>
      <c r="H104" t="s">
        <v>54</v>
      </c>
      <c r="I104" t="s">
        <v>55</v>
      </c>
      <c r="J104">
        <v>84.05</v>
      </c>
      <c r="K104">
        <v>6</v>
      </c>
      <c r="L104">
        <v>10</v>
      </c>
      <c r="M104" t="s">
        <v>64</v>
      </c>
      <c r="N104" t="s">
        <v>81</v>
      </c>
      <c r="O104" t="s">
        <v>33</v>
      </c>
      <c r="P104">
        <v>4</v>
      </c>
    </row>
    <row r="105" spans="1:16" x14ac:dyDescent="0.25">
      <c r="A105" t="s">
        <v>356</v>
      </c>
      <c r="B105" t="s">
        <v>357</v>
      </c>
      <c r="C105" t="s">
        <v>358</v>
      </c>
      <c r="D105" t="s">
        <v>101</v>
      </c>
      <c r="E105" t="s">
        <v>20</v>
      </c>
      <c r="F105">
        <v>8</v>
      </c>
      <c r="G105" t="s">
        <v>38</v>
      </c>
      <c r="H105" t="s">
        <v>87</v>
      </c>
      <c r="I105" t="s">
        <v>49</v>
      </c>
      <c r="J105">
        <v>288.43</v>
      </c>
      <c r="K105">
        <v>10</v>
      </c>
      <c r="L105">
        <v>0</v>
      </c>
      <c r="M105" t="s">
        <v>59</v>
      </c>
      <c r="N105" t="s">
        <v>81</v>
      </c>
      <c r="O105" t="s">
        <v>82</v>
      </c>
    </row>
    <row r="106" spans="1:16" x14ac:dyDescent="0.25">
      <c r="A106" t="s">
        <v>359</v>
      </c>
      <c r="B106" t="s">
        <v>360</v>
      </c>
      <c r="C106" t="s">
        <v>361</v>
      </c>
      <c r="D106" t="s">
        <v>19</v>
      </c>
      <c r="E106" t="s">
        <v>20</v>
      </c>
      <c r="F106">
        <v>43</v>
      </c>
      <c r="G106" t="s">
        <v>30</v>
      </c>
      <c r="H106" t="s">
        <v>121</v>
      </c>
      <c r="I106" t="s">
        <v>122</v>
      </c>
      <c r="J106">
        <v>357.26</v>
      </c>
      <c r="K106">
        <v>-2</v>
      </c>
      <c r="L106">
        <v>0</v>
      </c>
      <c r="M106" t="s">
        <v>64</v>
      </c>
      <c r="N106" t="s">
        <v>81</v>
      </c>
      <c r="O106" t="s">
        <v>26</v>
      </c>
      <c r="P106">
        <v>3</v>
      </c>
    </row>
    <row r="107" spans="1:16" x14ac:dyDescent="0.25">
      <c r="A107" t="s">
        <v>362</v>
      </c>
      <c r="B107" t="s">
        <v>363</v>
      </c>
      <c r="C107" t="s">
        <v>364</v>
      </c>
      <c r="D107" t="s">
        <v>69</v>
      </c>
      <c r="E107" t="s">
        <v>20</v>
      </c>
      <c r="F107">
        <v>130</v>
      </c>
      <c r="G107" t="s">
        <v>38</v>
      </c>
      <c r="H107" t="s">
        <v>22</v>
      </c>
      <c r="I107" t="s">
        <v>23</v>
      </c>
      <c r="J107">
        <v>295.26</v>
      </c>
      <c r="K107">
        <v>10</v>
      </c>
      <c r="L107">
        <v>0</v>
      </c>
      <c r="M107" t="s">
        <v>77</v>
      </c>
      <c r="N107" t="s">
        <v>41</v>
      </c>
      <c r="O107" t="s">
        <v>65</v>
      </c>
    </row>
    <row r="108" spans="1:16" x14ac:dyDescent="0.25">
      <c r="A108" t="s">
        <v>365</v>
      </c>
      <c r="B108" t="s">
        <v>366</v>
      </c>
      <c r="C108" t="s">
        <v>367</v>
      </c>
      <c r="D108" t="s">
        <v>69</v>
      </c>
      <c r="E108" t="s">
        <v>20</v>
      </c>
      <c r="F108">
        <v>53</v>
      </c>
      <c r="G108" t="s">
        <v>70</v>
      </c>
      <c r="H108" t="s">
        <v>39</v>
      </c>
      <c r="I108" t="s">
        <v>40</v>
      </c>
      <c r="J108">
        <v>446.29</v>
      </c>
      <c r="K108">
        <v>-2</v>
      </c>
      <c r="L108">
        <v>10</v>
      </c>
      <c r="M108" t="s">
        <v>77</v>
      </c>
      <c r="N108" t="s">
        <v>91</v>
      </c>
      <c r="O108" t="s">
        <v>33</v>
      </c>
      <c r="P108">
        <v>2</v>
      </c>
    </row>
    <row r="109" spans="1:16" x14ac:dyDescent="0.25">
      <c r="A109" t="s">
        <v>368</v>
      </c>
      <c r="B109" t="s">
        <v>369</v>
      </c>
      <c r="C109" t="s">
        <v>370</v>
      </c>
      <c r="D109" t="s">
        <v>69</v>
      </c>
      <c r="E109" t="s">
        <v>20</v>
      </c>
      <c r="F109">
        <v>8</v>
      </c>
      <c r="G109" t="s">
        <v>47</v>
      </c>
      <c r="H109" t="s">
        <v>54</v>
      </c>
      <c r="I109" t="s">
        <v>55</v>
      </c>
      <c r="J109">
        <v>491.48</v>
      </c>
      <c r="K109">
        <v>-2</v>
      </c>
      <c r="L109">
        <v>15</v>
      </c>
      <c r="M109" t="s">
        <v>59</v>
      </c>
      <c r="N109" t="s">
        <v>81</v>
      </c>
      <c r="O109" t="s">
        <v>26</v>
      </c>
      <c r="P109">
        <v>4</v>
      </c>
    </row>
    <row r="110" spans="1:16" x14ac:dyDescent="0.25">
      <c r="A110" t="s">
        <v>371</v>
      </c>
      <c r="B110" t="s">
        <v>372</v>
      </c>
      <c r="C110" t="s">
        <v>373</v>
      </c>
      <c r="D110" t="s">
        <v>19</v>
      </c>
      <c r="E110" t="s">
        <v>20</v>
      </c>
      <c r="F110">
        <v>130</v>
      </c>
      <c r="G110" t="s">
        <v>47</v>
      </c>
      <c r="H110" t="s">
        <v>48</v>
      </c>
      <c r="I110" t="s">
        <v>49</v>
      </c>
      <c r="J110">
        <v>412</v>
      </c>
      <c r="K110">
        <v>8</v>
      </c>
      <c r="L110">
        <v>-10</v>
      </c>
      <c r="M110" t="s">
        <v>77</v>
      </c>
      <c r="N110" t="s">
        <v>25</v>
      </c>
      <c r="O110" t="s">
        <v>33</v>
      </c>
      <c r="P110">
        <v>1</v>
      </c>
    </row>
    <row r="111" spans="1:16" x14ac:dyDescent="0.25">
      <c r="A111" t="s">
        <v>374</v>
      </c>
      <c r="B111" t="s">
        <v>375</v>
      </c>
      <c r="C111" t="s">
        <v>376</v>
      </c>
      <c r="D111" t="s">
        <v>117</v>
      </c>
      <c r="E111" t="s">
        <v>46</v>
      </c>
      <c r="F111">
        <v>8</v>
      </c>
      <c r="G111" t="s">
        <v>30</v>
      </c>
      <c r="H111" t="s">
        <v>54</v>
      </c>
      <c r="I111" t="s">
        <v>55</v>
      </c>
      <c r="J111">
        <v>27.01</v>
      </c>
      <c r="K111">
        <v>9</v>
      </c>
      <c r="L111">
        <v>120</v>
      </c>
      <c r="M111" t="s">
        <v>24</v>
      </c>
      <c r="N111" t="s">
        <v>41</v>
      </c>
      <c r="O111" t="s">
        <v>33</v>
      </c>
      <c r="P111">
        <v>5</v>
      </c>
    </row>
    <row r="112" spans="1:16" x14ac:dyDescent="0.25">
      <c r="A112" t="s">
        <v>377</v>
      </c>
      <c r="B112" t="s">
        <v>378</v>
      </c>
      <c r="C112" t="s">
        <v>379</v>
      </c>
      <c r="E112" t="s">
        <v>20</v>
      </c>
      <c r="F112">
        <v>8</v>
      </c>
      <c r="G112" t="s">
        <v>70</v>
      </c>
      <c r="H112" t="s">
        <v>22</v>
      </c>
      <c r="I112" t="s">
        <v>23</v>
      </c>
      <c r="J112">
        <v>370.97</v>
      </c>
      <c r="K112">
        <v>1</v>
      </c>
      <c r="L112">
        <v>0</v>
      </c>
      <c r="M112" t="s">
        <v>24</v>
      </c>
      <c r="N112" t="s">
        <v>81</v>
      </c>
      <c r="O112" t="s">
        <v>65</v>
      </c>
      <c r="P112">
        <v>4</v>
      </c>
    </row>
    <row r="113" spans="1:16" x14ac:dyDescent="0.25">
      <c r="A113" t="s">
        <v>380</v>
      </c>
      <c r="B113" t="s">
        <v>381</v>
      </c>
      <c r="C113" t="s">
        <v>382</v>
      </c>
      <c r="D113" t="s">
        <v>45</v>
      </c>
      <c r="E113" t="s">
        <v>20</v>
      </c>
      <c r="F113">
        <v>45</v>
      </c>
      <c r="G113" t="s">
        <v>47</v>
      </c>
      <c r="H113" t="s">
        <v>31</v>
      </c>
      <c r="I113" t="s">
        <v>32</v>
      </c>
      <c r="J113">
        <v>198.54</v>
      </c>
      <c r="K113">
        <v>10</v>
      </c>
      <c r="L113">
        <v>-10</v>
      </c>
      <c r="N113" t="s">
        <v>25</v>
      </c>
      <c r="O113" t="s">
        <v>26</v>
      </c>
      <c r="P113">
        <v>4</v>
      </c>
    </row>
    <row r="114" spans="1:16" x14ac:dyDescent="0.25">
      <c r="A114" t="s">
        <v>383</v>
      </c>
      <c r="B114" t="s">
        <v>235</v>
      </c>
      <c r="C114" t="s">
        <v>384</v>
      </c>
      <c r="D114" t="s">
        <v>19</v>
      </c>
      <c r="E114" t="s">
        <v>46</v>
      </c>
      <c r="F114">
        <v>8</v>
      </c>
      <c r="G114" t="s">
        <v>47</v>
      </c>
      <c r="H114" t="s">
        <v>22</v>
      </c>
      <c r="I114" t="s">
        <v>23</v>
      </c>
      <c r="J114">
        <v>465.33</v>
      </c>
      <c r="K114">
        <v>-2</v>
      </c>
      <c r="L114">
        <v>120</v>
      </c>
      <c r="M114" t="s">
        <v>59</v>
      </c>
      <c r="N114" t="s">
        <v>81</v>
      </c>
      <c r="O114" t="s">
        <v>33</v>
      </c>
      <c r="P114">
        <v>5</v>
      </c>
    </row>
    <row r="115" spans="1:16" x14ac:dyDescent="0.25">
      <c r="A115" t="s">
        <v>385</v>
      </c>
      <c r="B115" t="s">
        <v>386</v>
      </c>
      <c r="C115" t="s">
        <v>387</v>
      </c>
      <c r="E115" t="s">
        <v>20</v>
      </c>
      <c r="F115">
        <v>130</v>
      </c>
      <c r="G115" t="s">
        <v>47</v>
      </c>
      <c r="H115" t="s">
        <v>39</v>
      </c>
      <c r="I115" t="s">
        <v>40</v>
      </c>
      <c r="J115">
        <v>223.98</v>
      </c>
      <c r="K115">
        <v>3</v>
      </c>
      <c r="L115">
        <v>15</v>
      </c>
      <c r="M115" t="s">
        <v>59</v>
      </c>
      <c r="N115" t="s">
        <v>41</v>
      </c>
      <c r="O115" t="s">
        <v>33</v>
      </c>
      <c r="P115">
        <v>3</v>
      </c>
    </row>
    <row r="116" spans="1:16" x14ac:dyDescent="0.25">
      <c r="A116" t="s">
        <v>388</v>
      </c>
      <c r="B116" t="s">
        <v>389</v>
      </c>
      <c r="C116" t="s">
        <v>390</v>
      </c>
      <c r="D116" t="s">
        <v>45</v>
      </c>
      <c r="E116" t="s">
        <v>46</v>
      </c>
      <c r="F116">
        <v>64</v>
      </c>
      <c r="G116" t="s">
        <v>47</v>
      </c>
      <c r="H116" t="s">
        <v>54</v>
      </c>
      <c r="I116" t="s">
        <v>55</v>
      </c>
      <c r="J116">
        <v>399.12</v>
      </c>
      <c r="K116">
        <v>-2</v>
      </c>
      <c r="L116">
        <v>-10</v>
      </c>
      <c r="M116" t="s">
        <v>59</v>
      </c>
      <c r="N116" t="s">
        <v>41</v>
      </c>
      <c r="O116" t="s">
        <v>82</v>
      </c>
      <c r="P116">
        <v>3</v>
      </c>
    </row>
    <row r="117" spans="1:16" x14ac:dyDescent="0.25">
      <c r="A117" t="s">
        <v>391</v>
      </c>
      <c r="B117" t="s">
        <v>127</v>
      </c>
      <c r="C117" t="s">
        <v>392</v>
      </c>
      <c r="D117" t="s">
        <v>63</v>
      </c>
      <c r="E117" t="s">
        <v>46</v>
      </c>
      <c r="F117">
        <v>8</v>
      </c>
      <c r="G117" t="s">
        <v>86</v>
      </c>
      <c r="H117" t="s">
        <v>121</v>
      </c>
      <c r="I117" t="s">
        <v>122</v>
      </c>
      <c r="J117">
        <v>178.51</v>
      </c>
      <c r="K117">
        <v>8</v>
      </c>
      <c r="L117">
        <v>-10</v>
      </c>
      <c r="M117" t="s">
        <v>64</v>
      </c>
      <c r="N117" t="s">
        <v>81</v>
      </c>
      <c r="O117" t="s">
        <v>82</v>
      </c>
      <c r="P117">
        <v>4</v>
      </c>
    </row>
    <row r="118" spans="1:16" x14ac:dyDescent="0.25">
      <c r="A118" t="s">
        <v>393</v>
      </c>
      <c r="B118" t="s">
        <v>394</v>
      </c>
      <c r="C118" t="s">
        <v>395</v>
      </c>
      <c r="D118" t="s">
        <v>69</v>
      </c>
      <c r="E118" t="s">
        <v>46</v>
      </c>
      <c r="F118">
        <v>8</v>
      </c>
      <c r="G118" t="s">
        <v>86</v>
      </c>
      <c r="H118" t="s">
        <v>87</v>
      </c>
      <c r="I118" t="s">
        <v>49</v>
      </c>
      <c r="J118">
        <v>360.48</v>
      </c>
      <c r="K118">
        <v>-2</v>
      </c>
      <c r="L118">
        <v>10</v>
      </c>
      <c r="M118" t="s">
        <v>64</v>
      </c>
      <c r="N118" t="s">
        <v>41</v>
      </c>
      <c r="O118" t="s">
        <v>65</v>
      </c>
      <c r="P118">
        <v>3</v>
      </c>
    </row>
    <row r="119" spans="1:16" x14ac:dyDescent="0.25">
      <c r="A119" t="s">
        <v>396</v>
      </c>
      <c r="B119" t="s">
        <v>397</v>
      </c>
      <c r="C119" t="s">
        <v>398</v>
      </c>
      <c r="E119" t="s">
        <v>20</v>
      </c>
      <c r="F119">
        <v>8</v>
      </c>
      <c r="G119" t="s">
        <v>70</v>
      </c>
      <c r="H119" t="s">
        <v>87</v>
      </c>
      <c r="I119" t="s">
        <v>49</v>
      </c>
      <c r="J119">
        <v>471.14</v>
      </c>
      <c r="K119">
        <v>4</v>
      </c>
      <c r="L119">
        <v>10</v>
      </c>
      <c r="M119" t="s">
        <v>64</v>
      </c>
      <c r="N119" t="s">
        <v>41</v>
      </c>
      <c r="O119" t="s">
        <v>65</v>
      </c>
      <c r="P119">
        <v>2</v>
      </c>
    </row>
    <row r="120" spans="1:16" x14ac:dyDescent="0.25">
      <c r="A120" t="s">
        <v>399</v>
      </c>
      <c r="B120" t="s">
        <v>400</v>
      </c>
      <c r="C120" t="s">
        <v>401</v>
      </c>
      <c r="E120" t="s">
        <v>20</v>
      </c>
      <c r="F120">
        <v>130</v>
      </c>
      <c r="G120" t="s">
        <v>38</v>
      </c>
      <c r="H120" t="s">
        <v>39</v>
      </c>
      <c r="I120" t="s">
        <v>40</v>
      </c>
      <c r="J120">
        <v>405.88</v>
      </c>
      <c r="K120">
        <v>-2</v>
      </c>
      <c r="L120">
        <v>15</v>
      </c>
      <c r="M120" t="s">
        <v>77</v>
      </c>
      <c r="N120" t="s">
        <v>41</v>
      </c>
      <c r="O120" t="s">
        <v>26</v>
      </c>
      <c r="P120">
        <v>4</v>
      </c>
    </row>
    <row r="121" spans="1:16" x14ac:dyDescent="0.25">
      <c r="A121" t="s">
        <v>402</v>
      </c>
      <c r="B121" t="s">
        <v>403</v>
      </c>
      <c r="C121" t="s">
        <v>404</v>
      </c>
      <c r="D121" t="s">
        <v>117</v>
      </c>
      <c r="E121" t="s">
        <v>46</v>
      </c>
      <c r="F121">
        <v>130</v>
      </c>
      <c r="G121" t="s">
        <v>30</v>
      </c>
      <c r="H121" t="s">
        <v>48</v>
      </c>
      <c r="I121" t="s">
        <v>49</v>
      </c>
      <c r="J121">
        <v>171.47</v>
      </c>
      <c r="K121">
        <v>10</v>
      </c>
      <c r="L121">
        <v>5</v>
      </c>
      <c r="M121" t="s">
        <v>59</v>
      </c>
      <c r="N121" t="s">
        <v>25</v>
      </c>
      <c r="O121" t="s">
        <v>26</v>
      </c>
      <c r="P121">
        <v>4</v>
      </c>
    </row>
    <row r="122" spans="1:16" x14ac:dyDescent="0.25">
      <c r="A122" t="s">
        <v>405</v>
      </c>
      <c r="B122" t="s">
        <v>406</v>
      </c>
      <c r="C122" t="s">
        <v>407</v>
      </c>
      <c r="D122" t="s">
        <v>117</v>
      </c>
      <c r="E122" t="s">
        <v>20</v>
      </c>
      <c r="F122">
        <v>25</v>
      </c>
      <c r="G122" t="s">
        <v>21</v>
      </c>
      <c r="H122" t="s">
        <v>48</v>
      </c>
      <c r="I122" t="s">
        <v>49</v>
      </c>
      <c r="J122">
        <v>63.11</v>
      </c>
      <c r="K122">
        <v>3</v>
      </c>
      <c r="L122">
        <v>5</v>
      </c>
      <c r="N122" t="s">
        <v>41</v>
      </c>
      <c r="O122" t="s">
        <v>33</v>
      </c>
      <c r="P122">
        <v>3</v>
      </c>
    </row>
    <row r="123" spans="1:16" x14ac:dyDescent="0.25">
      <c r="A123" t="s">
        <v>408</v>
      </c>
      <c r="B123" t="s">
        <v>409</v>
      </c>
      <c r="C123" t="s">
        <v>410</v>
      </c>
      <c r="D123" t="s">
        <v>69</v>
      </c>
      <c r="E123" t="s">
        <v>20</v>
      </c>
      <c r="F123">
        <v>45</v>
      </c>
      <c r="G123" t="s">
        <v>21</v>
      </c>
      <c r="H123" t="s">
        <v>22</v>
      </c>
      <c r="I123" t="s">
        <v>23</v>
      </c>
      <c r="J123">
        <v>264.02</v>
      </c>
      <c r="K123">
        <v>10</v>
      </c>
      <c r="L123">
        <v>120</v>
      </c>
      <c r="M123" t="s">
        <v>64</v>
      </c>
      <c r="N123" t="s">
        <v>91</v>
      </c>
      <c r="O123" t="s">
        <v>33</v>
      </c>
      <c r="P123">
        <v>5</v>
      </c>
    </row>
    <row r="124" spans="1:16" x14ac:dyDescent="0.25">
      <c r="A124" t="s">
        <v>411</v>
      </c>
      <c r="B124" t="s">
        <v>412</v>
      </c>
      <c r="C124" t="s">
        <v>413</v>
      </c>
      <c r="D124" t="s">
        <v>19</v>
      </c>
      <c r="E124" t="s">
        <v>46</v>
      </c>
      <c r="F124">
        <v>47</v>
      </c>
      <c r="G124" t="s">
        <v>21</v>
      </c>
      <c r="H124" t="s">
        <v>39</v>
      </c>
      <c r="I124" t="s">
        <v>40</v>
      </c>
      <c r="J124">
        <v>439.73</v>
      </c>
      <c r="K124">
        <v>7</v>
      </c>
      <c r="L124">
        <v>-10</v>
      </c>
      <c r="M124" t="s">
        <v>64</v>
      </c>
      <c r="N124" t="s">
        <v>25</v>
      </c>
      <c r="O124" t="s">
        <v>33</v>
      </c>
      <c r="P124">
        <v>4</v>
      </c>
    </row>
    <row r="125" spans="1:16" x14ac:dyDescent="0.25">
      <c r="A125" t="s">
        <v>414</v>
      </c>
      <c r="B125" t="s">
        <v>415</v>
      </c>
      <c r="C125" t="s">
        <v>416</v>
      </c>
      <c r="D125" t="s">
        <v>63</v>
      </c>
      <c r="E125" t="s">
        <v>46</v>
      </c>
      <c r="F125">
        <v>34</v>
      </c>
      <c r="G125" t="s">
        <v>70</v>
      </c>
      <c r="H125" t="s">
        <v>87</v>
      </c>
      <c r="I125" t="s">
        <v>49</v>
      </c>
      <c r="J125">
        <v>211.58</v>
      </c>
      <c r="K125">
        <v>3</v>
      </c>
      <c r="L125">
        <v>-10</v>
      </c>
      <c r="M125" t="s">
        <v>59</v>
      </c>
      <c r="N125" t="s">
        <v>91</v>
      </c>
      <c r="O125" t="s">
        <v>26</v>
      </c>
      <c r="P125">
        <v>4</v>
      </c>
    </row>
    <row r="126" spans="1:16" x14ac:dyDescent="0.25">
      <c r="A126" t="s">
        <v>417</v>
      </c>
      <c r="B126" t="s">
        <v>418</v>
      </c>
      <c r="C126" t="s">
        <v>419</v>
      </c>
      <c r="E126" t="s">
        <v>20</v>
      </c>
      <c r="F126">
        <v>8</v>
      </c>
      <c r="G126" t="s">
        <v>21</v>
      </c>
      <c r="H126" t="s">
        <v>22</v>
      </c>
      <c r="I126" t="s">
        <v>23</v>
      </c>
      <c r="J126">
        <v>169.5</v>
      </c>
      <c r="K126">
        <v>2</v>
      </c>
      <c r="L126">
        <v>15</v>
      </c>
      <c r="M126" t="s">
        <v>59</v>
      </c>
      <c r="N126" t="s">
        <v>81</v>
      </c>
      <c r="O126" t="s">
        <v>82</v>
      </c>
      <c r="P126">
        <v>5</v>
      </c>
    </row>
    <row r="127" spans="1:16" x14ac:dyDescent="0.25">
      <c r="A127" t="s">
        <v>420</v>
      </c>
      <c r="B127" t="s">
        <v>421</v>
      </c>
      <c r="C127" t="s">
        <v>422</v>
      </c>
      <c r="D127" t="s">
        <v>37</v>
      </c>
      <c r="E127" t="s">
        <v>20</v>
      </c>
      <c r="F127">
        <v>51</v>
      </c>
      <c r="G127" t="s">
        <v>47</v>
      </c>
      <c r="H127" t="s">
        <v>22</v>
      </c>
      <c r="I127" t="s">
        <v>23</v>
      </c>
      <c r="J127">
        <v>484.53</v>
      </c>
      <c r="K127">
        <v>7</v>
      </c>
      <c r="L127">
        <v>15</v>
      </c>
      <c r="M127" t="s">
        <v>59</v>
      </c>
      <c r="N127" t="s">
        <v>41</v>
      </c>
      <c r="O127" t="s">
        <v>33</v>
      </c>
      <c r="P127">
        <v>3</v>
      </c>
    </row>
    <row r="128" spans="1:16" x14ac:dyDescent="0.25">
      <c r="A128" t="s">
        <v>423</v>
      </c>
      <c r="B128" t="s">
        <v>424</v>
      </c>
      <c r="C128" t="s">
        <v>425</v>
      </c>
      <c r="D128" t="s">
        <v>101</v>
      </c>
      <c r="E128" t="s">
        <v>20</v>
      </c>
      <c r="F128">
        <v>8</v>
      </c>
      <c r="G128" t="s">
        <v>47</v>
      </c>
      <c r="H128" t="s">
        <v>54</v>
      </c>
      <c r="I128" t="s">
        <v>55</v>
      </c>
      <c r="J128">
        <v>38.25</v>
      </c>
      <c r="K128">
        <v>-2</v>
      </c>
      <c r="L128">
        <v>5</v>
      </c>
      <c r="N128" t="s">
        <v>81</v>
      </c>
      <c r="O128" t="s">
        <v>65</v>
      </c>
      <c r="P128">
        <v>5</v>
      </c>
    </row>
    <row r="129" spans="1:16" x14ac:dyDescent="0.25">
      <c r="A129" t="s">
        <v>426</v>
      </c>
      <c r="B129" t="s">
        <v>427</v>
      </c>
      <c r="C129" t="s">
        <v>342</v>
      </c>
      <c r="E129" t="s">
        <v>20</v>
      </c>
      <c r="F129">
        <v>28</v>
      </c>
      <c r="G129" t="s">
        <v>70</v>
      </c>
      <c r="H129" t="s">
        <v>39</v>
      </c>
      <c r="I129" t="s">
        <v>40</v>
      </c>
      <c r="J129">
        <v>443.49</v>
      </c>
      <c r="K129">
        <v>7</v>
      </c>
      <c r="L129">
        <v>-10</v>
      </c>
      <c r="N129" t="s">
        <v>41</v>
      </c>
      <c r="O129" t="s">
        <v>65</v>
      </c>
    </row>
    <row r="130" spans="1:16" x14ac:dyDescent="0.25">
      <c r="A130" t="s">
        <v>428</v>
      </c>
      <c r="B130" t="s">
        <v>429</v>
      </c>
      <c r="C130" t="s">
        <v>430</v>
      </c>
      <c r="D130" t="s">
        <v>45</v>
      </c>
      <c r="E130" t="s">
        <v>46</v>
      </c>
      <c r="F130">
        <v>130</v>
      </c>
      <c r="G130" t="s">
        <v>30</v>
      </c>
      <c r="H130" t="s">
        <v>54</v>
      </c>
      <c r="I130" t="s">
        <v>55</v>
      </c>
      <c r="J130">
        <v>147.80000000000001</v>
      </c>
      <c r="K130">
        <v>6</v>
      </c>
      <c r="L130">
        <v>0</v>
      </c>
      <c r="N130" t="s">
        <v>25</v>
      </c>
      <c r="O130" t="s">
        <v>65</v>
      </c>
      <c r="P130">
        <v>5</v>
      </c>
    </row>
    <row r="131" spans="1:16" x14ac:dyDescent="0.25">
      <c r="A131" t="s">
        <v>431</v>
      </c>
      <c r="B131" t="s">
        <v>429</v>
      </c>
      <c r="C131" t="s">
        <v>432</v>
      </c>
      <c r="D131" t="s">
        <v>37</v>
      </c>
      <c r="E131" t="s">
        <v>46</v>
      </c>
      <c r="F131">
        <v>8</v>
      </c>
      <c r="G131" t="s">
        <v>30</v>
      </c>
      <c r="H131" t="s">
        <v>87</v>
      </c>
      <c r="I131" t="s">
        <v>49</v>
      </c>
      <c r="J131">
        <v>146.55000000000001</v>
      </c>
      <c r="K131">
        <v>3</v>
      </c>
      <c r="L131">
        <v>120</v>
      </c>
      <c r="M131" t="s">
        <v>24</v>
      </c>
      <c r="N131" t="s">
        <v>81</v>
      </c>
      <c r="O131" t="s">
        <v>33</v>
      </c>
      <c r="P131">
        <v>4</v>
      </c>
    </row>
    <row r="132" spans="1:16" x14ac:dyDescent="0.25">
      <c r="A132" t="s">
        <v>433</v>
      </c>
      <c r="B132" t="s">
        <v>434</v>
      </c>
      <c r="C132" t="s">
        <v>435</v>
      </c>
      <c r="D132" t="s">
        <v>63</v>
      </c>
      <c r="E132" t="s">
        <v>46</v>
      </c>
      <c r="F132">
        <v>8</v>
      </c>
      <c r="G132" t="s">
        <v>70</v>
      </c>
      <c r="H132" t="s">
        <v>22</v>
      </c>
      <c r="I132" t="s">
        <v>23</v>
      </c>
      <c r="J132">
        <v>5.66</v>
      </c>
      <c r="K132">
        <v>1</v>
      </c>
      <c r="L132">
        <v>15</v>
      </c>
      <c r="M132" t="s">
        <v>59</v>
      </c>
      <c r="N132" t="s">
        <v>81</v>
      </c>
      <c r="O132" t="s">
        <v>33</v>
      </c>
      <c r="P132">
        <v>2</v>
      </c>
    </row>
    <row r="133" spans="1:16" x14ac:dyDescent="0.25">
      <c r="A133" t="s">
        <v>436</v>
      </c>
      <c r="B133" t="s">
        <v>437</v>
      </c>
      <c r="C133" t="s">
        <v>438</v>
      </c>
      <c r="E133" t="s">
        <v>46</v>
      </c>
      <c r="F133">
        <v>22</v>
      </c>
      <c r="G133" t="s">
        <v>21</v>
      </c>
      <c r="H133" t="s">
        <v>54</v>
      </c>
      <c r="I133" t="s">
        <v>55</v>
      </c>
      <c r="J133">
        <v>391.69</v>
      </c>
      <c r="K133">
        <v>-2</v>
      </c>
      <c r="L133">
        <v>15</v>
      </c>
      <c r="M133" t="s">
        <v>64</v>
      </c>
      <c r="N133" t="s">
        <v>25</v>
      </c>
      <c r="O133" t="s">
        <v>82</v>
      </c>
      <c r="P133">
        <v>1</v>
      </c>
    </row>
    <row r="134" spans="1:16" x14ac:dyDescent="0.25">
      <c r="A134" t="s">
        <v>439</v>
      </c>
      <c r="B134" t="s">
        <v>440</v>
      </c>
      <c r="C134" t="s">
        <v>441</v>
      </c>
      <c r="D134" t="s">
        <v>63</v>
      </c>
      <c r="E134" t="s">
        <v>46</v>
      </c>
      <c r="F134">
        <v>130</v>
      </c>
      <c r="G134" t="s">
        <v>21</v>
      </c>
      <c r="H134" t="s">
        <v>31</v>
      </c>
      <c r="I134" t="s">
        <v>32</v>
      </c>
      <c r="J134">
        <v>392.96</v>
      </c>
      <c r="K134">
        <v>-2</v>
      </c>
      <c r="L134">
        <v>15</v>
      </c>
      <c r="N134" t="s">
        <v>81</v>
      </c>
      <c r="O134" t="s">
        <v>65</v>
      </c>
      <c r="P134">
        <v>2</v>
      </c>
    </row>
    <row r="135" spans="1:16" x14ac:dyDescent="0.25">
      <c r="A135" t="s">
        <v>442</v>
      </c>
      <c r="B135" t="s">
        <v>443</v>
      </c>
      <c r="C135" t="s">
        <v>444</v>
      </c>
      <c r="D135" t="s">
        <v>117</v>
      </c>
      <c r="E135" t="s">
        <v>20</v>
      </c>
      <c r="F135">
        <v>130</v>
      </c>
      <c r="G135" t="s">
        <v>86</v>
      </c>
      <c r="H135" t="s">
        <v>48</v>
      </c>
      <c r="I135" t="s">
        <v>49</v>
      </c>
      <c r="J135">
        <v>200.45</v>
      </c>
      <c r="K135">
        <v>6</v>
      </c>
      <c r="L135">
        <v>-10</v>
      </c>
      <c r="N135" t="s">
        <v>81</v>
      </c>
      <c r="O135" t="s">
        <v>33</v>
      </c>
      <c r="P135">
        <v>5</v>
      </c>
    </row>
    <row r="136" spans="1:16" x14ac:dyDescent="0.25">
      <c r="A136" t="s">
        <v>445</v>
      </c>
      <c r="B136" t="s">
        <v>446</v>
      </c>
      <c r="C136" t="s">
        <v>447</v>
      </c>
      <c r="E136" t="s">
        <v>46</v>
      </c>
      <c r="F136">
        <v>130</v>
      </c>
      <c r="G136" t="s">
        <v>38</v>
      </c>
      <c r="H136" t="s">
        <v>39</v>
      </c>
      <c r="I136" t="s">
        <v>40</v>
      </c>
      <c r="J136">
        <v>331.64</v>
      </c>
      <c r="K136">
        <v>9</v>
      </c>
      <c r="L136">
        <v>15</v>
      </c>
      <c r="M136" t="s">
        <v>64</v>
      </c>
      <c r="N136" t="s">
        <v>25</v>
      </c>
      <c r="O136" t="s">
        <v>33</v>
      </c>
      <c r="P136">
        <v>5</v>
      </c>
    </row>
    <row r="137" spans="1:16" x14ac:dyDescent="0.25">
      <c r="A137" t="s">
        <v>448</v>
      </c>
      <c r="B137" t="s">
        <v>449</v>
      </c>
      <c r="C137" t="s">
        <v>450</v>
      </c>
      <c r="D137" t="s">
        <v>69</v>
      </c>
      <c r="E137" t="s">
        <v>46</v>
      </c>
      <c r="F137">
        <v>8</v>
      </c>
      <c r="G137" t="s">
        <v>30</v>
      </c>
      <c r="H137" t="s">
        <v>54</v>
      </c>
      <c r="I137" t="s">
        <v>55</v>
      </c>
      <c r="J137">
        <v>322.72000000000003</v>
      </c>
      <c r="K137">
        <v>5</v>
      </c>
      <c r="L137">
        <v>120</v>
      </c>
      <c r="M137" t="s">
        <v>64</v>
      </c>
      <c r="N137" t="s">
        <v>41</v>
      </c>
      <c r="O137" t="s">
        <v>33</v>
      </c>
      <c r="P137">
        <v>1</v>
      </c>
    </row>
    <row r="138" spans="1:16" x14ac:dyDescent="0.25">
      <c r="A138" t="s">
        <v>451</v>
      </c>
      <c r="B138" t="s">
        <v>452</v>
      </c>
      <c r="C138" t="s">
        <v>453</v>
      </c>
      <c r="D138" t="s">
        <v>19</v>
      </c>
      <c r="E138" t="s">
        <v>20</v>
      </c>
      <c r="F138">
        <v>35</v>
      </c>
      <c r="G138" t="s">
        <v>47</v>
      </c>
      <c r="H138" t="s">
        <v>31</v>
      </c>
      <c r="I138" t="s">
        <v>32</v>
      </c>
      <c r="J138">
        <v>229</v>
      </c>
      <c r="K138">
        <v>6</v>
      </c>
      <c r="L138">
        <v>10</v>
      </c>
      <c r="N138" t="s">
        <v>91</v>
      </c>
      <c r="O138" t="s">
        <v>82</v>
      </c>
      <c r="P138">
        <v>5</v>
      </c>
    </row>
    <row r="139" spans="1:16" x14ac:dyDescent="0.25">
      <c r="A139" t="s">
        <v>454</v>
      </c>
      <c r="B139" t="s">
        <v>455</v>
      </c>
      <c r="C139" t="s">
        <v>456</v>
      </c>
      <c r="D139" t="s">
        <v>117</v>
      </c>
      <c r="E139" t="s">
        <v>46</v>
      </c>
      <c r="F139">
        <v>25</v>
      </c>
      <c r="G139" t="s">
        <v>21</v>
      </c>
      <c r="H139" t="s">
        <v>22</v>
      </c>
      <c r="I139" t="s">
        <v>23</v>
      </c>
      <c r="J139">
        <v>73.31</v>
      </c>
      <c r="K139">
        <v>-2</v>
      </c>
      <c r="L139">
        <v>-10</v>
      </c>
      <c r="M139" t="s">
        <v>77</v>
      </c>
      <c r="N139" t="s">
        <v>91</v>
      </c>
      <c r="O139" t="s">
        <v>65</v>
      </c>
      <c r="P139">
        <v>4</v>
      </c>
    </row>
    <row r="140" spans="1:16" x14ac:dyDescent="0.25">
      <c r="A140" t="s">
        <v>457</v>
      </c>
      <c r="B140" t="s">
        <v>458</v>
      </c>
      <c r="C140" t="s">
        <v>459</v>
      </c>
      <c r="D140" t="s">
        <v>69</v>
      </c>
      <c r="E140" t="s">
        <v>20</v>
      </c>
      <c r="F140">
        <v>8</v>
      </c>
      <c r="G140" t="s">
        <v>21</v>
      </c>
      <c r="H140" t="s">
        <v>87</v>
      </c>
      <c r="I140" t="s">
        <v>49</v>
      </c>
      <c r="J140">
        <v>222.41</v>
      </c>
      <c r="K140">
        <v>-2</v>
      </c>
      <c r="L140">
        <v>-10</v>
      </c>
      <c r="M140" t="s">
        <v>64</v>
      </c>
      <c r="N140" t="s">
        <v>81</v>
      </c>
      <c r="O140" t="s">
        <v>33</v>
      </c>
      <c r="P140">
        <v>5</v>
      </c>
    </row>
    <row r="141" spans="1:16" x14ac:dyDescent="0.25">
      <c r="A141" t="s">
        <v>460</v>
      </c>
      <c r="B141" t="s">
        <v>461</v>
      </c>
      <c r="C141" t="s">
        <v>462</v>
      </c>
      <c r="D141" t="s">
        <v>101</v>
      </c>
      <c r="E141" t="s">
        <v>20</v>
      </c>
      <c r="F141">
        <v>52</v>
      </c>
      <c r="G141" t="s">
        <v>53</v>
      </c>
      <c r="H141" t="s">
        <v>22</v>
      </c>
      <c r="I141" t="s">
        <v>23</v>
      </c>
      <c r="J141">
        <v>325.52999999999997</v>
      </c>
      <c r="K141">
        <v>9</v>
      </c>
      <c r="L141">
        <v>15</v>
      </c>
      <c r="M141" t="s">
        <v>77</v>
      </c>
      <c r="N141" t="s">
        <v>81</v>
      </c>
      <c r="O141" t="s">
        <v>33</v>
      </c>
      <c r="P141">
        <v>2</v>
      </c>
    </row>
    <row r="142" spans="1:16" x14ac:dyDescent="0.25">
      <c r="A142" t="s">
        <v>463</v>
      </c>
      <c r="B142" t="s">
        <v>464</v>
      </c>
      <c r="C142" t="s">
        <v>465</v>
      </c>
      <c r="D142" t="s">
        <v>63</v>
      </c>
      <c r="E142" t="s">
        <v>20</v>
      </c>
      <c r="F142">
        <v>8</v>
      </c>
      <c r="G142" t="s">
        <v>30</v>
      </c>
      <c r="H142" t="s">
        <v>87</v>
      </c>
      <c r="I142" t="s">
        <v>49</v>
      </c>
      <c r="J142">
        <v>421.83</v>
      </c>
      <c r="K142">
        <v>6</v>
      </c>
      <c r="L142">
        <v>15</v>
      </c>
      <c r="N142" t="s">
        <v>25</v>
      </c>
      <c r="O142" t="s">
        <v>33</v>
      </c>
      <c r="P142">
        <v>1</v>
      </c>
    </row>
    <row r="143" spans="1:16" x14ac:dyDescent="0.25">
      <c r="A143" t="s">
        <v>466</v>
      </c>
      <c r="B143" t="s">
        <v>467</v>
      </c>
      <c r="C143" t="s">
        <v>468</v>
      </c>
      <c r="E143" t="s">
        <v>20</v>
      </c>
      <c r="F143">
        <v>59</v>
      </c>
      <c r="G143" t="s">
        <v>21</v>
      </c>
      <c r="H143" t="s">
        <v>22</v>
      </c>
      <c r="I143" t="s">
        <v>23</v>
      </c>
      <c r="J143">
        <v>91.76</v>
      </c>
      <c r="K143">
        <v>10</v>
      </c>
      <c r="L143">
        <v>5</v>
      </c>
      <c r="M143" t="s">
        <v>77</v>
      </c>
      <c r="N143" t="s">
        <v>91</v>
      </c>
      <c r="O143" t="s">
        <v>33</v>
      </c>
      <c r="P143">
        <v>5</v>
      </c>
    </row>
    <row r="144" spans="1:16" x14ac:dyDescent="0.25">
      <c r="A144" t="s">
        <v>469</v>
      </c>
      <c r="B144" t="s">
        <v>470</v>
      </c>
      <c r="C144" t="s">
        <v>471</v>
      </c>
      <c r="D144" t="s">
        <v>69</v>
      </c>
      <c r="E144" t="s">
        <v>46</v>
      </c>
      <c r="F144">
        <v>8</v>
      </c>
      <c r="G144" t="s">
        <v>47</v>
      </c>
      <c r="H144" t="s">
        <v>31</v>
      </c>
      <c r="I144" t="s">
        <v>32</v>
      </c>
      <c r="J144">
        <v>8.01</v>
      </c>
      <c r="K144">
        <v>-2</v>
      </c>
      <c r="L144">
        <v>120</v>
      </c>
      <c r="M144" t="s">
        <v>77</v>
      </c>
      <c r="N144" t="s">
        <v>41</v>
      </c>
      <c r="O144" t="s">
        <v>82</v>
      </c>
      <c r="P144">
        <v>5</v>
      </c>
    </row>
    <row r="145" spans="1:16" x14ac:dyDescent="0.25">
      <c r="A145" t="s">
        <v>472</v>
      </c>
      <c r="B145" t="s">
        <v>473</v>
      </c>
      <c r="C145" t="s">
        <v>474</v>
      </c>
      <c r="D145" t="s">
        <v>19</v>
      </c>
      <c r="E145" t="s">
        <v>20</v>
      </c>
      <c r="F145">
        <v>130</v>
      </c>
      <c r="G145" t="s">
        <v>53</v>
      </c>
      <c r="H145" t="s">
        <v>121</v>
      </c>
      <c r="I145" t="s">
        <v>122</v>
      </c>
      <c r="J145">
        <v>180.51</v>
      </c>
      <c r="K145">
        <v>-2</v>
      </c>
      <c r="L145">
        <v>15</v>
      </c>
      <c r="M145" t="s">
        <v>59</v>
      </c>
      <c r="N145" t="s">
        <v>25</v>
      </c>
      <c r="O145" t="s">
        <v>26</v>
      </c>
    </row>
    <row r="146" spans="1:16" x14ac:dyDescent="0.25">
      <c r="A146" t="s">
        <v>475</v>
      </c>
      <c r="B146" t="s">
        <v>476</v>
      </c>
      <c r="C146" t="s">
        <v>477</v>
      </c>
      <c r="D146" t="s">
        <v>37</v>
      </c>
      <c r="E146" t="s">
        <v>46</v>
      </c>
      <c r="F146">
        <v>130</v>
      </c>
      <c r="G146" t="s">
        <v>47</v>
      </c>
      <c r="H146" t="s">
        <v>121</v>
      </c>
      <c r="I146" t="s">
        <v>122</v>
      </c>
      <c r="J146">
        <v>252.52</v>
      </c>
      <c r="K146">
        <v>9</v>
      </c>
      <c r="L146">
        <v>15</v>
      </c>
      <c r="M146" t="s">
        <v>77</v>
      </c>
      <c r="N146" t="s">
        <v>81</v>
      </c>
      <c r="O146" t="s">
        <v>33</v>
      </c>
      <c r="P146">
        <v>1</v>
      </c>
    </row>
    <row r="147" spans="1:16" x14ac:dyDescent="0.25">
      <c r="A147" t="s">
        <v>478</v>
      </c>
      <c r="B147" t="s">
        <v>479</v>
      </c>
      <c r="C147" t="s">
        <v>480</v>
      </c>
      <c r="D147" t="s">
        <v>63</v>
      </c>
      <c r="E147" t="s">
        <v>46</v>
      </c>
      <c r="F147">
        <v>130</v>
      </c>
      <c r="G147" t="s">
        <v>38</v>
      </c>
      <c r="H147" t="s">
        <v>54</v>
      </c>
      <c r="I147" t="s">
        <v>55</v>
      </c>
      <c r="J147">
        <v>494.33</v>
      </c>
      <c r="K147">
        <v>9</v>
      </c>
      <c r="L147">
        <v>5</v>
      </c>
      <c r="M147" t="s">
        <v>59</v>
      </c>
      <c r="N147" t="s">
        <v>81</v>
      </c>
      <c r="O147" t="s">
        <v>82</v>
      </c>
      <c r="P147">
        <v>4</v>
      </c>
    </row>
    <row r="148" spans="1:16" x14ac:dyDescent="0.25">
      <c r="A148" t="s">
        <v>481</v>
      </c>
      <c r="B148" t="s">
        <v>421</v>
      </c>
      <c r="C148" t="s">
        <v>265</v>
      </c>
      <c r="D148" t="s">
        <v>45</v>
      </c>
      <c r="E148" t="s">
        <v>20</v>
      </c>
      <c r="F148">
        <v>130</v>
      </c>
      <c r="G148" t="s">
        <v>70</v>
      </c>
      <c r="H148" t="s">
        <v>121</v>
      </c>
      <c r="I148" t="s">
        <v>122</v>
      </c>
      <c r="J148">
        <v>145.80000000000001</v>
      </c>
      <c r="K148">
        <v>-2</v>
      </c>
      <c r="L148">
        <v>120</v>
      </c>
      <c r="M148" t="s">
        <v>64</v>
      </c>
      <c r="N148" t="s">
        <v>25</v>
      </c>
      <c r="O148" t="s">
        <v>26</v>
      </c>
      <c r="P148">
        <v>5</v>
      </c>
    </row>
    <row r="149" spans="1:16" x14ac:dyDescent="0.25">
      <c r="A149" t="s">
        <v>482</v>
      </c>
      <c r="B149" t="s">
        <v>483</v>
      </c>
      <c r="C149" t="s">
        <v>484</v>
      </c>
      <c r="D149" t="s">
        <v>69</v>
      </c>
      <c r="E149" t="s">
        <v>46</v>
      </c>
      <c r="F149">
        <v>49</v>
      </c>
      <c r="G149" t="s">
        <v>30</v>
      </c>
      <c r="H149" t="s">
        <v>121</v>
      </c>
      <c r="I149" t="s">
        <v>122</v>
      </c>
      <c r="J149">
        <v>234.56</v>
      </c>
      <c r="K149">
        <v>-2</v>
      </c>
      <c r="L149">
        <v>120</v>
      </c>
      <c r="M149" t="s">
        <v>59</v>
      </c>
      <c r="N149" t="s">
        <v>41</v>
      </c>
      <c r="O149" t="s">
        <v>65</v>
      </c>
      <c r="P149">
        <v>3</v>
      </c>
    </row>
    <row r="150" spans="1:16" x14ac:dyDescent="0.25">
      <c r="A150" t="s">
        <v>485</v>
      </c>
      <c r="B150" t="s">
        <v>486</v>
      </c>
      <c r="C150" t="s">
        <v>487</v>
      </c>
      <c r="D150" t="s">
        <v>37</v>
      </c>
      <c r="E150" t="s">
        <v>20</v>
      </c>
      <c r="F150">
        <v>130</v>
      </c>
      <c r="G150" t="s">
        <v>47</v>
      </c>
      <c r="H150" t="s">
        <v>54</v>
      </c>
      <c r="I150" t="s">
        <v>55</v>
      </c>
      <c r="J150">
        <v>181.14</v>
      </c>
      <c r="K150">
        <v>10</v>
      </c>
      <c r="L150">
        <v>15</v>
      </c>
      <c r="M150" t="s">
        <v>59</v>
      </c>
      <c r="N150" t="s">
        <v>81</v>
      </c>
      <c r="O150" t="s">
        <v>82</v>
      </c>
      <c r="P150">
        <v>4</v>
      </c>
    </row>
    <row r="151" spans="1:16" x14ac:dyDescent="0.25">
      <c r="A151" t="s">
        <v>488</v>
      </c>
      <c r="B151" t="s">
        <v>489</v>
      </c>
      <c r="C151" t="s">
        <v>490</v>
      </c>
      <c r="E151" t="s">
        <v>20</v>
      </c>
      <c r="F151">
        <v>130</v>
      </c>
      <c r="G151" t="s">
        <v>38</v>
      </c>
      <c r="H151" t="s">
        <v>54</v>
      </c>
      <c r="I151" t="s">
        <v>55</v>
      </c>
      <c r="J151">
        <v>263.45999999999998</v>
      </c>
      <c r="K151">
        <v>4</v>
      </c>
      <c r="L151">
        <v>15</v>
      </c>
      <c r="M151" t="s">
        <v>24</v>
      </c>
      <c r="N151" t="s">
        <v>91</v>
      </c>
      <c r="O151" t="s">
        <v>26</v>
      </c>
      <c r="P151">
        <v>5</v>
      </c>
    </row>
    <row r="152" spans="1:16" x14ac:dyDescent="0.25">
      <c r="A152" t="s">
        <v>491</v>
      </c>
      <c r="B152" t="s">
        <v>492</v>
      </c>
      <c r="C152" t="s">
        <v>493</v>
      </c>
      <c r="D152" t="s">
        <v>45</v>
      </c>
      <c r="E152" t="s">
        <v>46</v>
      </c>
      <c r="F152">
        <v>130</v>
      </c>
      <c r="G152" t="s">
        <v>30</v>
      </c>
      <c r="H152" t="s">
        <v>31</v>
      </c>
      <c r="I152" t="s">
        <v>32</v>
      </c>
      <c r="J152">
        <v>232.6</v>
      </c>
      <c r="K152">
        <v>-2</v>
      </c>
      <c r="L152">
        <v>120</v>
      </c>
      <c r="N152" t="s">
        <v>25</v>
      </c>
      <c r="O152" t="s">
        <v>33</v>
      </c>
      <c r="P152">
        <v>2</v>
      </c>
    </row>
    <row r="153" spans="1:16" x14ac:dyDescent="0.25">
      <c r="A153" t="s">
        <v>494</v>
      </c>
      <c r="B153" t="s">
        <v>103</v>
      </c>
      <c r="C153" t="s">
        <v>495</v>
      </c>
      <c r="D153" t="s">
        <v>19</v>
      </c>
      <c r="E153" t="s">
        <v>20</v>
      </c>
      <c r="F153">
        <v>8</v>
      </c>
      <c r="G153" t="s">
        <v>86</v>
      </c>
      <c r="H153" t="s">
        <v>39</v>
      </c>
      <c r="I153" t="s">
        <v>40</v>
      </c>
      <c r="J153">
        <v>61.05</v>
      </c>
      <c r="K153">
        <v>-2</v>
      </c>
      <c r="L153">
        <v>10</v>
      </c>
      <c r="M153" t="s">
        <v>24</v>
      </c>
      <c r="N153" t="s">
        <v>25</v>
      </c>
      <c r="O153" t="s">
        <v>33</v>
      </c>
    </row>
    <row r="154" spans="1:16" x14ac:dyDescent="0.25">
      <c r="A154" t="s">
        <v>496</v>
      </c>
      <c r="B154" t="s">
        <v>497</v>
      </c>
      <c r="C154" t="s">
        <v>498</v>
      </c>
      <c r="D154" t="s">
        <v>19</v>
      </c>
      <c r="E154" t="s">
        <v>46</v>
      </c>
      <c r="F154">
        <v>130</v>
      </c>
      <c r="G154" t="s">
        <v>86</v>
      </c>
      <c r="H154" t="s">
        <v>22</v>
      </c>
      <c r="I154" t="s">
        <v>23</v>
      </c>
      <c r="J154">
        <v>51.52</v>
      </c>
      <c r="K154">
        <v>1</v>
      </c>
      <c r="L154">
        <v>0</v>
      </c>
      <c r="M154" t="s">
        <v>59</v>
      </c>
      <c r="N154" t="s">
        <v>41</v>
      </c>
      <c r="O154" t="s">
        <v>26</v>
      </c>
      <c r="P154">
        <v>3</v>
      </c>
    </row>
    <row r="155" spans="1:16" x14ac:dyDescent="0.25">
      <c r="A155" t="s">
        <v>499</v>
      </c>
      <c r="B155" t="s">
        <v>500</v>
      </c>
      <c r="C155" t="s">
        <v>501</v>
      </c>
      <c r="D155" t="s">
        <v>45</v>
      </c>
      <c r="E155" t="s">
        <v>20</v>
      </c>
      <c r="F155">
        <v>8</v>
      </c>
      <c r="G155" t="s">
        <v>86</v>
      </c>
      <c r="H155" t="s">
        <v>87</v>
      </c>
      <c r="I155" t="s">
        <v>49</v>
      </c>
      <c r="J155">
        <v>395.87</v>
      </c>
      <c r="K155">
        <v>-2</v>
      </c>
      <c r="L155">
        <v>120</v>
      </c>
      <c r="N155" t="s">
        <v>91</v>
      </c>
      <c r="O155" t="s">
        <v>65</v>
      </c>
      <c r="P155">
        <v>4</v>
      </c>
    </row>
    <row r="156" spans="1:16" x14ac:dyDescent="0.25">
      <c r="A156" t="s">
        <v>502</v>
      </c>
      <c r="B156" t="s">
        <v>291</v>
      </c>
      <c r="C156" t="s">
        <v>503</v>
      </c>
      <c r="D156" t="s">
        <v>63</v>
      </c>
      <c r="E156" t="s">
        <v>20</v>
      </c>
      <c r="F156">
        <v>130</v>
      </c>
      <c r="G156" t="s">
        <v>30</v>
      </c>
      <c r="H156" t="s">
        <v>31</v>
      </c>
      <c r="I156" t="s">
        <v>32</v>
      </c>
      <c r="J156">
        <v>215.93</v>
      </c>
      <c r="K156">
        <v>-2</v>
      </c>
      <c r="L156">
        <v>120</v>
      </c>
      <c r="M156" t="s">
        <v>64</v>
      </c>
      <c r="N156" t="s">
        <v>91</v>
      </c>
      <c r="O156" t="s">
        <v>26</v>
      </c>
      <c r="P156">
        <v>4</v>
      </c>
    </row>
    <row r="157" spans="1:16" x14ac:dyDescent="0.25">
      <c r="A157" t="s">
        <v>504</v>
      </c>
      <c r="B157" t="s">
        <v>282</v>
      </c>
      <c r="C157" t="s">
        <v>505</v>
      </c>
      <c r="D157" t="s">
        <v>19</v>
      </c>
      <c r="E157" t="s">
        <v>20</v>
      </c>
      <c r="F157">
        <v>8</v>
      </c>
      <c r="G157" t="s">
        <v>30</v>
      </c>
      <c r="H157" t="s">
        <v>31</v>
      </c>
      <c r="I157" t="s">
        <v>32</v>
      </c>
      <c r="J157">
        <v>481.63</v>
      </c>
      <c r="K157">
        <v>5</v>
      </c>
      <c r="L157">
        <v>15</v>
      </c>
      <c r="M157" t="s">
        <v>59</v>
      </c>
      <c r="N157" t="s">
        <v>25</v>
      </c>
      <c r="O157" t="s">
        <v>26</v>
      </c>
      <c r="P157">
        <v>3</v>
      </c>
    </row>
    <row r="158" spans="1:16" x14ac:dyDescent="0.25">
      <c r="A158" t="s">
        <v>506</v>
      </c>
      <c r="B158" t="s">
        <v>507</v>
      </c>
      <c r="C158" t="s">
        <v>508</v>
      </c>
      <c r="D158" t="s">
        <v>117</v>
      </c>
      <c r="E158" t="s">
        <v>46</v>
      </c>
      <c r="F158">
        <v>65</v>
      </c>
      <c r="G158" t="s">
        <v>47</v>
      </c>
      <c r="H158" t="s">
        <v>39</v>
      </c>
      <c r="I158" t="s">
        <v>40</v>
      </c>
      <c r="J158">
        <v>285.27</v>
      </c>
      <c r="K158">
        <v>5</v>
      </c>
      <c r="L158">
        <v>15</v>
      </c>
      <c r="N158" t="s">
        <v>81</v>
      </c>
      <c r="O158" t="s">
        <v>65</v>
      </c>
      <c r="P158">
        <v>5</v>
      </c>
    </row>
    <row r="159" spans="1:16" x14ac:dyDescent="0.25">
      <c r="A159" t="s">
        <v>509</v>
      </c>
      <c r="B159" t="s">
        <v>507</v>
      </c>
      <c r="C159" t="s">
        <v>510</v>
      </c>
      <c r="D159" t="s">
        <v>69</v>
      </c>
      <c r="E159" t="s">
        <v>20</v>
      </c>
      <c r="F159">
        <v>130</v>
      </c>
      <c r="G159" t="s">
        <v>53</v>
      </c>
      <c r="H159" t="s">
        <v>87</v>
      </c>
      <c r="I159" t="s">
        <v>49</v>
      </c>
      <c r="J159">
        <v>330.13</v>
      </c>
      <c r="K159">
        <v>-2</v>
      </c>
      <c r="L159">
        <v>0</v>
      </c>
      <c r="M159" t="s">
        <v>24</v>
      </c>
      <c r="N159" t="s">
        <v>81</v>
      </c>
      <c r="O159" t="s">
        <v>65</v>
      </c>
      <c r="P159">
        <v>5</v>
      </c>
    </row>
    <row r="160" spans="1:16" x14ac:dyDescent="0.25">
      <c r="A160" t="s">
        <v>511</v>
      </c>
      <c r="B160" t="s">
        <v>211</v>
      </c>
      <c r="C160" t="s">
        <v>512</v>
      </c>
      <c r="E160" t="s">
        <v>46</v>
      </c>
      <c r="F160">
        <v>40</v>
      </c>
      <c r="G160" t="s">
        <v>86</v>
      </c>
      <c r="H160" t="s">
        <v>31</v>
      </c>
      <c r="I160" t="s">
        <v>32</v>
      </c>
      <c r="J160">
        <v>335.99</v>
      </c>
      <c r="K160">
        <v>-2</v>
      </c>
      <c r="L160">
        <v>120</v>
      </c>
      <c r="M160" t="s">
        <v>59</v>
      </c>
      <c r="N160" t="s">
        <v>25</v>
      </c>
      <c r="O160" t="s">
        <v>65</v>
      </c>
      <c r="P160">
        <v>2</v>
      </c>
    </row>
    <row r="161" spans="1:16" x14ac:dyDescent="0.25">
      <c r="A161" t="s">
        <v>513</v>
      </c>
      <c r="B161" t="s">
        <v>514</v>
      </c>
      <c r="C161" t="s">
        <v>515</v>
      </c>
      <c r="D161" t="s">
        <v>45</v>
      </c>
      <c r="E161" t="s">
        <v>20</v>
      </c>
      <c r="F161">
        <v>23</v>
      </c>
      <c r="G161" t="s">
        <v>30</v>
      </c>
      <c r="H161" t="s">
        <v>39</v>
      </c>
      <c r="I161" t="s">
        <v>40</v>
      </c>
      <c r="J161">
        <v>397.16</v>
      </c>
      <c r="K161">
        <v>9</v>
      </c>
      <c r="L161">
        <v>-10</v>
      </c>
      <c r="M161" t="s">
        <v>77</v>
      </c>
      <c r="N161" t="s">
        <v>91</v>
      </c>
      <c r="O161" t="s">
        <v>82</v>
      </c>
      <c r="P161">
        <v>4</v>
      </c>
    </row>
    <row r="162" spans="1:16" x14ac:dyDescent="0.25">
      <c r="A162" t="s">
        <v>516</v>
      </c>
      <c r="B162" t="s">
        <v>517</v>
      </c>
      <c r="C162" t="s">
        <v>518</v>
      </c>
      <c r="D162" t="s">
        <v>37</v>
      </c>
      <c r="E162" t="s">
        <v>20</v>
      </c>
      <c r="F162">
        <v>130</v>
      </c>
      <c r="G162" t="s">
        <v>86</v>
      </c>
      <c r="H162" t="s">
        <v>121</v>
      </c>
      <c r="I162" t="s">
        <v>122</v>
      </c>
      <c r="J162">
        <v>347.05</v>
      </c>
      <c r="K162">
        <v>-2</v>
      </c>
      <c r="L162">
        <v>15</v>
      </c>
      <c r="M162" t="s">
        <v>24</v>
      </c>
      <c r="N162" t="s">
        <v>41</v>
      </c>
      <c r="O162" t="s">
        <v>26</v>
      </c>
      <c r="P162">
        <v>3</v>
      </c>
    </row>
    <row r="163" spans="1:16" x14ac:dyDescent="0.25">
      <c r="A163" t="s">
        <v>519</v>
      </c>
      <c r="B163" t="s">
        <v>520</v>
      </c>
      <c r="C163" t="s">
        <v>521</v>
      </c>
      <c r="D163" t="s">
        <v>19</v>
      </c>
      <c r="E163" t="s">
        <v>46</v>
      </c>
      <c r="F163">
        <v>130</v>
      </c>
      <c r="G163" t="s">
        <v>38</v>
      </c>
      <c r="H163" t="s">
        <v>39</v>
      </c>
      <c r="I163" t="s">
        <v>40</v>
      </c>
      <c r="J163">
        <v>142.99</v>
      </c>
      <c r="K163">
        <v>-2</v>
      </c>
      <c r="L163">
        <v>0</v>
      </c>
      <c r="M163" t="s">
        <v>64</v>
      </c>
      <c r="N163" t="s">
        <v>91</v>
      </c>
      <c r="O163" t="s">
        <v>26</v>
      </c>
      <c r="P163">
        <v>1</v>
      </c>
    </row>
    <row r="164" spans="1:16" x14ac:dyDescent="0.25">
      <c r="A164" t="s">
        <v>522</v>
      </c>
      <c r="B164" t="s">
        <v>523</v>
      </c>
      <c r="C164" t="s">
        <v>355</v>
      </c>
      <c r="D164" t="s">
        <v>63</v>
      </c>
      <c r="E164" t="s">
        <v>20</v>
      </c>
      <c r="F164">
        <v>61</v>
      </c>
      <c r="G164" t="s">
        <v>21</v>
      </c>
      <c r="H164" t="s">
        <v>87</v>
      </c>
      <c r="I164" t="s">
        <v>49</v>
      </c>
      <c r="J164">
        <v>141.72999999999999</v>
      </c>
      <c r="K164">
        <v>-2</v>
      </c>
      <c r="L164">
        <v>0</v>
      </c>
      <c r="M164" t="s">
        <v>24</v>
      </c>
      <c r="N164" t="s">
        <v>91</v>
      </c>
      <c r="O164" t="s">
        <v>65</v>
      </c>
      <c r="P164">
        <v>3</v>
      </c>
    </row>
    <row r="165" spans="1:16" x14ac:dyDescent="0.25">
      <c r="A165" t="s">
        <v>524</v>
      </c>
      <c r="B165" t="s">
        <v>232</v>
      </c>
      <c r="C165" t="s">
        <v>525</v>
      </c>
      <c r="D165" t="s">
        <v>101</v>
      </c>
      <c r="E165" t="s">
        <v>20</v>
      </c>
      <c r="F165">
        <v>8</v>
      </c>
      <c r="G165" t="s">
        <v>21</v>
      </c>
      <c r="H165" t="s">
        <v>54</v>
      </c>
      <c r="I165" t="s">
        <v>55</v>
      </c>
      <c r="J165">
        <v>168.9</v>
      </c>
      <c r="K165">
        <v>-2</v>
      </c>
      <c r="L165">
        <v>10</v>
      </c>
      <c r="N165" t="s">
        <v>25</v>
      </c>
      <c r="O165" t="s">
        <v>26</v>
      </c>
      <c r="P165">
        <v>5</v>
      </c>
    </row>
    <row r="166" spans="1:16" x14ac:dyDescent="0.25">
      <c r="A166" t="s">
        <v>526</v>
      </c>
      <c r="B166" t="s">
        <v>527</v>
      </c>
      <c r="C166" t="s">
        <v>528</v>
      </c>
      <c r="D166" t="s">
        <v>37</v>
      </c>
      <c r="E166" t="s">
        <v>20</v>
      </c>
      <c r="F166">
        <v>8</v>
      </c>
      <c r="G166" t="s">
        <v>53</v>
      </c>
      <c r="H166" t="s">
        <v>39</v>
      </c>
      <c r="I166" t="s">
        <v>40</v>
      </c>
      <c r="J166">
        <v>196.51</v>
      </c>
      <c r="K166">
        <v>8</v>
      </c>
      <c r="L166">
        <v>120</v>
      </c>
      <c r="N166" t="s">
        <v>81</v>
      </c>
      <c r="O166" t="s">
        <v>33</v>
      </c>
      <c r="P166">
        <v>1</v>
      </c>
    </row>
    <row r="167" spans="1:16" x14ac:dyDescent="0.25">
      <c r="A167" t="s">
        <v>529</v>
      </c>
      <c r="B167" t="s">
        <v>530</v>
      </c>
      <c r="C167" t="s">
        <v>531</v>
      </c>
      <c r="E167" t="s">
        <v>20</v>
      </c>
      <c r="F167">
        <v>25</v>
      </c>
      <c r="G167" t="s">
        <v>53</v>
      </c>
      <c r="H167" t="s">
        <v>39</v>
      </c>
      <c r="I167" t="s">
        <v>40</v>
      </c>
      <c r="J167">
        <v>98.13</v>
      </c>
      <c r="K167">
        <v>-2</v>
      </c>
      <c r="L167">
        <v>10</v>
      </c>
      <c r="M167" t="s">
        <v>77</v>
      </c>
      <c r="N167" t="s">
        <v>25</v>
      </c>
      <c r="O167" t="s">
        <v>33</v>
      </c>
      <c r="P167">
        <v>1</v>
      </c>
    </row>
    <row r="168" spans="1:16" x14ac:dyDescent="0.25">
      <c r="A168" t="s">
        <v>532</v>
      </c>
      <c r="B168" t="s">
        <v>533</v>
      </c>
      <c r="C168" t="s">
        <v>534</v>
      </c>
      <c r="D168" t="s">
        <v>37</v>
      </c>
      <c r="E168" t="s">
        <v>46</v>
      </c>
      <c r="F168">
        <v>61</v>
      </c>
      <c r="G168" t="s">
        <v>38</v>
      </c>
      <c r="H168" t="s">
        <v>39</v>
      </c>
      <c r="I168" t="s">
        <v>40</v>
      </c>
      <c r="J168">
        <v>374.35</v>
      </c>
      <c r="K168">
        <v>-2</v>
      </c>
      <c r="L168">
        <v>5</v>
      </c>
      <c r="M168" t="s">
        <v>64</v>
      </c>
      <c r="N168" t="s">
        <v>41</v>
      </c>
      <c r="O168" t="s">
        <v>33</v>
      </c>
      <c r="P168">
        <v>5</v>
      </c>
    </row>
    <row r="169" spans="1:16" x14ac:dyDescent="0.25">
      <c r="A169" t="s">
        <v>535</v>
      </c>
      <c r="B169" t="s">
        <v>536</v>
      </c>
      <c r="C169" t="s">
        <v>537</v>
      </c>
      <c r="D169" t="s">
        <v>101</v>
      </c>
      <c r="E169" t="s">
        <v>46</v>
      </c>
      <c r="F169">
        <v>8</v>
      </c>
      <c r="G169" t="s">
        <v>53</v>
      </c>
      <c r="H169" t="s">
        <v>48</v>
      </c>
      <c r="I169" t="s">
        <v>49</v>
      </c>
      <c r="J169">
        <v>30.14</v>
      </c>
      <c r="K169">
        <v>2</v>
      </c>
      <c r="L169">
        <v>15</v>
      </c>
      <c r="M169" t="s">
        <v>59</v>
      </c>
      <c r="N169" t="s">
        <v>91</v>
      </c>
      <c r="O169" t="s">
        <v>26</v>
      </c>
      <c r="P169">
        <v>1</v>
      </c>
    </row>
    <row r="170" spans="1:16" x14ac:dyDescent="0.25">
      <c r="A170" t="s">
        <v>538</v>
      </c>
      <c r="B170" t="s">
        <v>130</v>
      </c>
      <c r="C170" t="s">
        <v>539</v>
      </c>
      <c r="D170" t="s">
        <v>69</v>
      </c>
      <c r="E170" t="s">
        <v>46</v>
      </c>
      <c r="F170">
        <v>130</v>
      </c>
      <c r="G170" t="s">
        <v>47</v>
      </c>
      <c r="H170" t="s">
        <v>39</v>
      </c>
      <c r="I170" t="s">
        <v>40</v>
      </c>
      <c r="J170">
        <v>91.57</v>
      </c>
      <c r="K170">
        <v>5</v>
      </c>
      <c r="L170">
        <v>-10</v>
      </c>
      <c r="N170" t="s">
        <v>91</v>
      </c>
      <c r="O170" t="s">
        <v>82</v>
      </c>
      <c r="P170">
        <v>5</v>
      </c>
    </row>
    <row r="171" spans="1:16" x14ac:dyDescent="0.25">
      <c r="A171" t="s">
        <v>540</v>
      </c>
      <c r="B171" t="s">
        <v>443</v>
      </c>
      <c r="C171" t="s">
        <v>541</v>
      </c>
      <c r="D171" t="s">
        <v>69</v>
      </c>
      <c r="E171" t="s">
        <v>46</v>
      </c>
      <c r="F171">
        <v>130</v>
      </c>
      <c r="G171" t="s">
        <v>38</v>
      </c>
      <c r="H171" t="s">
        <v>31</v>
      </c>
      <c r="I171" t="s">
        <v>32</v>
      </c>
      <c r="J171">
        <v>419.13</v>
      </c>
      <c r="K171">
        <v>1</v>
      </c>
      <c r="L171">
        <v>5</v>
      </c>
      <c r="M171" t="s">
        <v>24</v>
      </c>
      <c r="N171" t="s">
        <v>41</v>
      </c>
      <c r="O171" t="s">
        <v>33</v>
      </c>
      <c r="P171">
        <v>1</v>
      </c>
    </row>
    <row r="172" spans="1:16" x14ac:dyDescent="0.25">
      <c r="A172" t="s">
        <v>542</v>
      </c>
      <c r="B172" t="s">
        <v>543</v>
      </c>
      <c r="C172" t="s">
        <v>544</v>
      </c>
      <c r="D172" t="s">
        <v>45</v>
      </c>
      <c r="E172" t="s">
        <v>20</v>
      </c>
      <c r="F172">
        <v>8</v>
      </c>
      <c r="G172" t="s">
        <v>53</v>
      </c>
      <c r="H172" t="s">
        <v>31</v>
      </c>
      <c r="I172" t="s">
        <v>32</v>
      </c>
      <c r="J172">
        <v>35.43</v>
      </c>
      <c r="K172">
        <v>10</v>
      </c>
      <c r="L172">
        <v>0</v>
      </c>
      <c r="M172" t="s">
        <v>59</v>
      </c>
      <c r="N172" t="s">
        <v>91</v>
      </c>
      <c r="O172" t="s">
        <v>26</v>
      </c>
      <c r="P172">
        <v>5</v>
      </c>
    </row>
    <row r="173" spans="1:16" x14ac:dyDescent="0.25">
      <c r="A173" t="s">
        <v>545</v>
      </c>
      <c r="B173" t="s">
        <v>400</v>
      </c>
      <c r="C173" t="s">
        <v>546</v>
      </c>
      <c r="D173" t="s">
        <v>37</v>
      </c>
      <c r="E173" t="s">
        <v>20</v>
      </c>
      <c r="F173">
        <v>130</v>
      </c>
      <c r="G173" t="s">
        <v>86</v>
      </c>
      <c r="H173" t="s">
        <v>121</v>
      </c>
      <c r="I173" t="s">
        <v>122</v>
      </c>
      <c r="J173">
        <v>194.9</v>
      </c>
      <c r="K173">
        <v>-2</v>
      </c>
      <c r="L173">
        <v>0</v>
      </c>
      <c r="M173" t="s">
        <v>77</v>
      </c>
      <c r="N173" t="s">
        <v>25</v>
      </c>
      <c r="O173" t="s">
        <v>82</v>
      </c>
      <c r="P173">
        <v>3</v>
      </c>
    </row>
    <row r="174" spans="1:16" x14ac:dyDescent="0.25">
      <c r="A174" t="s">
        <v>547</v>
      </c>
      <c r="B174" t="s">
        <v>548</v>
      </c>
      <c r="C174" t="s">
        <v>549</v>
      </c>
      <c r="D174" t="s">
        <v>117</v>
      </c>
      <c r="E174" t="s">
        <v>20</v>
      </c>
      <c r="F174">
        <v>130</v>
      </c>
      <c r="G174" t="s">
        <v>86</v>
      </c>
      <c r="H174" t="s">
        <v>48</v>
      </c>
      <c r="I174" t="s">
        <v>49</v>
      </c>
      <c r="J174">
        <v>410.47</v>
      </c>
      <c r="K174">
        <v>-2</v>
      </c>
      <c r="L174">
        <v>120</v>
      </c>
      <c r="M174" t="s">
        <v>59</v>
      </c>
      <c r="N174" t="s">
        <v>25</v>
      </c>
      <c r="O174" t="s">
        <v>26</v>
      </c>
      <c r="P174">
        <v>1</v>
      </c>
    </row>
    <row r="175" spans="1:16" x14ac:dyDescent="0.25">
      <c r="A175" t="s">
        <v>550</v>
      </c>
      <c r="B175" t="s">
        <v>551</v>
      </c>
      <c r="C175" t="s">
        <v>552</v>
      </c>
      <c r="D175" t="s">
        <v>63</v>
      </c>
      <c r="E175" t="s">
        <v>46</v>
      </c>
      <c r="F175">
        <v>130</v>
      </c>
      <c r="G175" t="s">
        <v>30</v>
      </c>
      <c r="H175" t="s">
        <v>39</v>
      </c>
      <c r="I175" t="s">
        <v>40</v>
      </c>
      <c r="J175">
        <v>191.91</v>
      </c>
      <c r="K175">
        <v>-2</v>
      </c>
      <c r="L175">
        <v>5</v>
      </c>
      <c r="M175" t="s">
        <v>64</v>
      </c>
      <c r="N175" t="s">
        <v>81</v>
      </c>
      <c r="O175" t="s">
        <v>82</v>
      </c>
    </row>
    <row r="176" spans="1:16" x14ac:dyDescent="0.25">
      <c r="A176" t="s">
        <v>553</v>
      </c>
      <c r="B176" t="s">
        <v>554</v>
      </c>
      <c r="C176" t="s">
        <v>555</v>
      </c>
      <c r="E176" t="s">
        <v>20</v>
      </c>
      <c r="F176">
        <v>130</v>
      </c>
      <c r="G176" t="s">
        <v>21</v>
      </c>
      <c r="H176" t="s">
        <v>121</v>
      </c>
      <c r="I176" t="s">
        <v>122</v>
      </c>
      <c r="J176">
        <v>379.48</v>
      </c>
      <c r="K176">
        <v>-2</v>
      </c>
      <c r="L176">
        <v>15</v>
      </c>
      <c r="N176" t="s">
        <v>41</v>
      </c>
      <c r="O176" t="s">
        <v>65</v>
      </c>
    </row>
    <row r="177" spans="1:16" x14ac:dyDescent="0.25">
      <c r="A177" t="s">
        <v>556</v>
      </c>
      <c r="B177" t="s">
        <v>72</v>
      </c>
      <c r="C177" t="s">
        <v>557</v>
      </c>
      <c r="D177" t="s">
        <v>63</v>
      </c>
      <c r="E177" t="s">
        <v>46</v>
      </c>
      <c r="F177">
        <v>130</v>
      </c>
      <c r="G177" t="s">
        <v>53</v>
      </c>
      <c r="H177" t="s">
        <v>39</v>
      </c>
      <c r="I177" t="s">
        <v>40</v>
      </c>
      <c r="J177">
        <v>252.91</v>
      </c>
      <c r="K177">
        <v>-2</v>
      </c>
      <c r="L177">
        <v>5</v>
      </c>
      <c r="M177" t="s">
        <v>59</v>
      </c>
      <c r="N177" t="s">
        <v>41</v>
      </c>
      <c r="O177" t="s">
        <v>82</v>
      </c>
      <c r="P177">
        <v>1</v>
      </c>
    </row>
    <row r="178" spans="1:16" x14ac:dyDescent="0.25">
      <c r="A178" t="s">
        <v>558</v>
      </c>
      <c r="B178" t="s">
        <v>559</v>
      </c>
      <c r="C178" t="s">
        <v>560</v>
      </c>
      <c r="E178" t="s">
        <v>46</v>
      </c>
      <c r="F178">
        <v>60</v>
      </c>
      <c r="G178" t="s">
        <v>70</v>
      </c>
      <c r="H178" t="s">
        <v>121</v>
      </c>
      <c r="I178" t="s">
        <v>122</v>
      </c>
      <c r="J178">
        <v>140.94999999999999</v>
      </c>
      <c r="K178">
        <v>9</v>
      </c>
      <c r="L178">
        <v>0</v>
      </c>
      <c r="M178" t="s">
        <v>24</v>
      </c>
      <c r="N178" t="s">
        <v>41</v>
      </c>
      <c r="O178" t="s">
        <v>33</v>
      </c>
      <c r="P178">
        <v>2</v>
      </c>
    </row>
    <row r="179" spans="1:16" x14ac:dyDescent="0.25">
      <c r="A179" t="s">
        <v>561</v>
      </c>
      <c r="B179" t="s">
        <v>562</v>
      </c>
      <c r="C179" t="s">
        <v>563</v>
      </c>
      <c r="D179" t="s">
        <v>45</v>
      </c>
      <c r="E179" t="s">
        <v>20</v>
      </c>
      <c r="F179">
        <v>8</v>
      </c>
      <c r="G179" t="s">
        <v>21</v>
      </c>
      <c r="H179" t="s">
        <v>54</v>
      </c>
      <c r="I179" t="s">
        <v>55</v>
      </c>
      <c r="J179">
        <v>409.81</v>
      </c>
      <c r="K179">
        <v>-2</v>
      </c>
      <c r="L179">
        <v>10</v>
      </c>
      <c r="M179" t="s">
        <v>77</v>
      </c>
      <c r="N179" t="s">
        <v>81</v>
      </c>
      <c r="O179" t="s">
        <v>26</v>
      </c>
      <c r="P179">
        <v>5</v>
      </c>
    </row>
    <row r="180" spans="1:16" x14ac:dyDescent="0.25">
      <c r="A180" t="s">
        <v>564</v>
      </c>
      <c r="B180" t="s">
        <v>565</v>
      </c>
      <c r="C180" t="s">
        <v>566</v>
      </c>
      <c r="D180" t="s">
        <v>19</v>
      </c>
      <c r="E180" t="s">
        <v>46</v>
      </c>
      <c r="F180">
        <v>25</v>
      </c>
      <c r="G180" t="s">
        <v>21</v>
      </c>
      <c r="H180" t="s">
        <v>87</v>
      </c>
      <c r="I180" t="s">
        <v>49</v>
      </c>
      <c r="J180">
        <v>187.05</v>
      </c>
      <c r="K180">
        <v>-2</v>
      </c>
      <c r="L180">
        <v>10</v>
      </c>
      <c r="M180" t="s">
        <v>64</v>
      </c>
      <c r="N180" t="s">
        <v>91</v>
      </c>
      <c r="O180" t="s">
        <v>82</v>
      </c>
      <c r="P180">
        <v>2</v>
      </c>
    </row>
    <row r="181" spans="1:16" x14ac:dyDescent="0.25">
      <c r="A181" t="s">
        <v>567</v>
      </c>
      <c r="B181" t="s">
        <v>568</v>
      </c>
      <c r="C181" t="s">
        <v>569</v>
      </c>
      <c r="D181" t="s">
        <v>117</v>
      </c>
      <c r="E181" t="s">
        <v>20</v>
      </c>
      <c r="F181">
        <v>8</v>
      </c>
      <c r="G181" t="s">
        <v>21</v>
      </c>
      <c r="H181" t="s">
        <v>39</v>
      </c>
      <c r="I181" t="s">
        <v>40</v>
      </c>
      <c r="J181">
        <v>189.11</v>
      </c>
      <c r="K181">
        <v>-2</v>
      </c>
      <c r="L181">
        <v>120</v>
      </c>
      <c r="M181" t="s">
        <v>77</v>
      </c>
      <c r="N181" t="s">
        <v>81</v>
      </c>
      <c r="O181" t="s">
        <v>82</v>
      </c>
      <c r="P181">
        <v>5</v>
      </c>
    </row>
    <row r="182" spans="1:16" x14ac:dyDescent="0.25">
      <c r="A182" t="s">
        <v>570</v>
      </c>
      <c r="B182" t="s">
        <v>571</v>
      </c>
      <c r="C182" t="s">
        <v>572</v>
      </c>
      <c r="E182" t="s">
        <v>46</v>
      </c>
      <c r="F182">
        <v>42</v>
      </c>
      <c r="G182" t="s">
        <v>70</v>
      </c>
      <c r="H182" t="s">
        <v>22</v>
      </c>
      <c r="I182" t="s">
        <v>23</v>
      </c>
      <c r="J182">
        <v>207.67</v>
      </c>
      <c r="K182">
        <v>-2</v>
      </c>
      <c r="L182">
        <v>-10</v>
      </c>
      <c r="M182" t="s">
        <v>77</v>
      </c>
      <c r="N182" t="s">
        <v>91</v>
      </c>
      <c r="O182" t="s">
        <v>82</v>
      </c>
      <c r="P182">
        <v>1</v>
      </c>
    </row>
    <row r="183" spans="1:16" x14ac:dyDescent="0.25">
      <c r="A183" t="s">
        <v>573</v>
      </c>
      <c r="B183" t="s">
        <v>574</v>
      </c>
      <c r="C183" t="s">
        <v>575</v>
      </c>
      <c r="D183" t="s">
        <v>69</v>
      </c>
      <c r="E183" t="s">
        <v>20</v>
      </c>
      <c r="F183">
        <v>130</v>
      </c>
      <c r="G183" t="s">
        <v>86</v>
      </c>
      <c r="H183" t="s">
        <v>39</v>
      </c>
      <c r="I183" t="s">
        <v>40</v>
      </c>
      <c r="J183">
        <v>152.19</v>
      </c>
      <c r="K183">
        <v>-2</v>
      </c>
      <c r="L183">
        <v>0</v>
      </c>
      <c r="M183" t="s">
        <v>77</v>
      </c>
      <c r="N183" t="s">
        <v>25</v>
      </c>
      <c r="O183" t="s">
        <v>26</v>
      </c>
      <c r="P183">
        <v>1</v>
      </c>
    </row>
    <row r="184" spans="1:16" x14ac:dyDescent="0.25">
      <c r="A184" t="s">
        <v>576</v>
      </c>
      <c r="B184" t="s">
        <v>147</v>
      </c>
      <c r="C184" t="s">
        <v>577</v>
      </c>
      <c r="D184" t="s">
        <v>117</v>
      </c>
      <c r="E184" t="s">
        <v>46</v>
      </c>
      <c r="F184">
        <v>130</v>
      </c>
      <c r="G184" t="s">
        <v>70</v>
      </c>
      <c r="H184" t="s">
        <v>22</v>
      </c>
      <c r="I184" t="s">
        <v>23</v>
      </c>
      <c r="J184">
        <v>455.38</v>
      </c>
      <c r="K184">
        <v>-2</v>
      </c>
      <c r="L184">
        <v>0</v>
      </c>
      <c r="N184" t="s">
        <v>41</v>
      </c>
      <c r="O184" t="s">
        <v>82</v>
      </c>
      <c r="P184">
        <v>4</v>
      </c>
    </row>
    <row r="185" spans="1:16" x14ac:dyDescent="0.25">
      <c r="A185" t="s">
        <v>578</v>
      </c>
      <c r="B185" t="s">
        <v>400</v>
      </c>
      <c r="C185" t="s">
        <v>579</v>
      </c>
      <c r="D185" t="s">
        <v>117</v>
      </c>
      <c r="E185" t="s">
        <v>46</v>
      </c>
      <c r="F185">
        <v>18</v>
      </c>
      <c r="G185" t="s">
        <v>47</v>
      </c>
      <c r="H185" t="s">
        <v>87</v>
      </c>
      <c r="I185" t="s">
        <v>49</v>
      </c>
      <c r="J185">
        <v>165.41</v>
      </c>
      <c r="K185">
        <v>3</v>
      </c>
      <c r="L185">
        <v>15</v>
      </c>
      <c r="N185" t="s">
        <v>25</v>
      </c>
      <c r="O185" t="s">
        <v>82</v>
      </c>
      <c r="P185">
        <v>5</v>
      </c>
    </row>
    <row r="186" spans="1:16" x14ac:dyDescent="0.25">
      <c r="A186" t="s">
        <v>580</v>
      </c>
      <c r="B186" t="s">
        <v>581</v>
      </c>
      <c r="C186" t="s">
        <v>582</v>
      </c>
      <c r="D186" t="s">
        <v>63</v>
      </c>
      <c r="E186" t="s">
        <v>46</v>
      </c>
      <c r="F186">
        <v>8</v>
      </c>
      <c r="G186" t="s">
        <v>38</v>
      </c>
      <c r="H186" t="s">
        <v>31</v>
      </c>
      <c r="I186" t="s">
        <v>32</v>
      </c>
      <c r="J186">
        <v>464.09</v>
      </c>
      <c r="K186">
        <v>-2</v>
      </c>
      <c r="L186">
        <v>5</v>
      </c>
      <c r="N186" t="s">
        <v>81</v>
      </c>
      <c r="O186" t="s">
        <v>26</v>
      </c>
      <c r="P186">
        <v>2</v>
      </c>
    </row>
    <row r="187" spans="1:16" x14ac:dyDescent="0.25">
      <c r="A187" t="s">
        <v>583</v>
      </c>
      <c r="B187" t="s">
        <v>584</v>
      </c>
      <c r="C187" t="s">
        <v>585</v>
      </c>
      <c r="D187" t="s">
        <v>63</v>
      </c>
      <c r="E187" t="s">
        <v>20</v>
      </c>
      <c r="F187">
        <v>8</v>
      </c>
      <c r="G187" t="s">
        <v>38</v>
      </c>
      <c r="H187" t="s">
        <v>39</v>
      </c>
      <c r="I187" t="s">
        <v>40</v>
      </c>
      <c r="J187">
        <v>336.04</v>
      </c>
      <c r="K187">
        <v>7</v>
      </c>
      <c r="L187">
        <v>10</v>
      </c>
      <c r="N187" t="s">
        <v>25</v>
      </c>
      <c r="O187" t="s">
        <v>82</v>
      </c>
      <c r="P187">
        <v>2</v>
      </c>
    </row>
    <row r="188" spans="1:16" x14ac:dyDescent="0.25">
      <c r="A188" t="s">
        <v>586</v>
      </c>
      <c r="B188" t="s">
        <v>587</v>
      </c>
      <c r="C188" t="s">
        <v>588</v>
      </c>
      <c r="D188" t="s">
        <v>19</v>
      </c>
      <c r="E188" t="s">
        <v>20</v>
      </c>
      <c r="F188">
        <v>56</v>
      </c>
      <c r="G188" t="s">
        <v>47</v>
      </c>
      <c r="H188" t="s">
        <v>39</v>
      </c>
      <c r="I188" t="s">
        <v>40</v>
      </c>
      <c r="J188">
        <v>312.10000000000002</v>
      </c>
      <c r="K188">
        <v>-2</v>
      </c>
      <c r="L188">
        <v>0</v>
      </c>
      <c r="M188" t="s">
        <v>24</v>
      </c>
      <c r="N188" t="s">
        <v>81</v>
      </c>
      <c r="O188" t="s">
        <v>26</v>
      </c>
    </row>
    <row r="189" spans="1:16" x14ac:dyDescent="0.25">
      <c r="A189" t="s">
        <v>589</v>
      </c>
      <c r="B189" t="s">
        <v>590</v>
      </c>
      <c r="C189" t="s">
        <v>591</v>
      </c>
      <c r="D189" t="s">
        <v>69</v>
      </c>
      <c r="E189" t="s">
        <v>46</v>
      </c>
      <c r="F189">
        <v>27</v>
      </c>
      <c r="G189" t="s">
        <v>70</v>
      </c>
      <c r="H189" t="s">
        <v>22</v>
      </c>
      <c r="I189" t="s">
        <v>23</v>
      </c>
      <c r="J189">
        <v>213.62</v>
      </c>
      <c r="K189">
        <v>3</v>
      </c>
      <c r="L189">
        <v>15</v>
      </c>
      <c r="M189" t="s">
        <v>77</v>
      </c>
      <c r="N189" t="s">
        <v>81</v>
      </c>
      <c r="O189" t="s">
        <v>65</v>
      </c>
      <c r="P189">
        <v>2</v>
      </c>
    </row>
    <row r="190" spans="1:16" x14ac:dyDescent="0.25">
      <c r="A190" t="s">
        <v>592</v>
      </c>
      <c r="B190" t="s">
        <v>593</v>
      </c>
      <c r="C190" t="s">
        <v>594</v>
      </c>
      <c r="D190" t="s">
        <v>117</v>
      </c>
      <c r="E190" t="s">
        <v>20</v>
      </c>
      <c r="F190">
        <v>130</v>
      </c>
      <c r="G190" t="s">
        <v>86</v>
      </c>
      <c r="H190" t="s">
        <v>54</v>
      </c>
      <c r="I190" t="s">
        <v>55</v>
      </c>
      <c r="J190">
        <v>97.2</v>
      </c>
      <c r="K190">
        <v>10</v>
      </c>
      <c r="L190">
        <v>10</v>
      </c>
      <c r="M190" t="s">
        <v>77</v>
      </c>
      <c r="N190" t="s">
        <v>91</v>
      </c>
      <c r="O190" t="s">
        <v>82</v>
      </c>
      <c r="P190">
        <v>4</v>
      </c>
    </row>
    <row r="191" spans="1:16" x14ac:dyDescent="0.25">
      <c r="A191" t="s">
        <v>595</v>
      </c>
      <c r="B191" t="s">
        <v>596</v>
      </c>
      <c r="C191" t="s">
        <v>597</v>
      </c>
      <c r="D191" t="s">
        <v>117</v>
      </c>
      <c r="E191" t="s">
        <v>46</v>
      </c>
      <c r="F191">
        <v>130</v>
      </c>
      <c r="G191" t="s">
        <v>86</v>
      </c>
      <c r="H191" t="s">
        <v>22</v>
      </c>
      <c r="I191" t="s">
        <v>23</v>
      </c>
      <c r="J191">
        <v>487.19</v>
      </c>
      <c r="K191">
        <v>-2</v>
      </c>
      <c r="L191">
        <v>15</v>
      </c>
      <c r="M191" t="s">
        <v>24</v>
      </c>
      <c r="N191" t="s">
        <v>81</v>
      </c>
      <c r="O191" t="s">
        <v>82</v>
      </c>
      <c r="P191">
        <v>1</v>
      </c>
    </row>
    <row r="192" spans="1:16" x14ac:dyDescent="0.25">
      <c r="A192" t="s">
        <v>598</v>
      </c>
      <c r="B192" t="s">
        <v>587</v>
      </c>
      <c r="C192" t="s">
        <v>599</v>
      </c>
      <c r="D192" t="s">
        <v>37</v>
      </c>
      <c r="E192" t="s">
        <v>46</v>
      </c>
      <c r="F192">
        <v>8</v>
      </c>
      <c r="G192" t="s">
        <v>53</v>
      </c>
      <c r="H192" t="s">
        <v>54</v>
      </c>
      <c r="I192" t="s">
        <v>55</v>
      </c>
      <c r="J192">
        <v>194.33</v>
      </c>
      <c r="K192">
        <v>-2</v>
      </c>
      <c r="L192">
        <v>0</v>
      </c>
      <c r="M192" t="s">
        <v>24</v>
      </c>
      <c r="N192" t="s">
        <v>91</v>
      </c>
      <c r="O192" t="s">
        <v>65</v>
      </c>
      <c r="P192">
        <v>5</v>
      </c>
    </row>
    <row r="193" spans="1:16" x14ac:dyDescent="0.25">
      <c r="A193" t="s">
        <v>600</v>
      </c>
      <c r="B193" t="s">
        <v>601</v>
      </c>
      <c r="C193" t="s">
        <v>602</v>
      </c>
      <c r="E193" t="s">
        <v>20</v>
      </c>
      <c r="F193">
        <v>25</v>
      </c>
      <c r="G193" t="s">
        <v>53</v>
      </c>
      <c r="H193" t="s">
        <v>22</v>
      </c>
      <c r="I193" t="s">
        <v>23</v>
      </c>
      <c r="J193">
        <v>180.8</v>
      </c>
      <c r="K193">
        <v>6</v>
      </c>
      <c r="L193">
        <v>120</v>
      </c>
      <c r="M193" t="s">
        <v>59</v>
      </c>
      <c r="N193" t="s">
        <v>91</v>
      </c>
      <c r="O193" t="s">
        <v>33</v>
      </c>
      <c r="P193">
        <v>3</v>
      </c>
    </row>
    <row r="194" spans="1:16" x14ac:dyDescent="0.25">
      <c r="A194" t="s">
        <v>603</v>
      </c>
      <c r="B194" t="s">
        <v>604</v>
      </c>
      <c r="C194" t="s">
        <v>605</v>
      </c>
      <c r="D194" t="s">
        <v>63</v>
      </c>
      <c r="E194" t="s">
        <v>20</v>
      </c>
      <c r="F194">
        <v>130</v>
      </c>
      <c r="G194" t="s">
        <v>21</v>
      </c>
      <c r="H194" t="s">
        <v>31</v>
      </c>
      <c r="I194" t="s">
        <v>32</v>
      </c>
      <c r="J194">
        <v>367.76</v>
      </c>
      <c r="K194">
        <v>-2</v>
      </c>
      <c r="L194">
        <v>15</v>
      </c>
      <c r="M194" t="s">
        <v>59</v>
      </c>
      <c r="N194" t="s">
        <v>41</v>
      </c>
      <c r="O194" t="s">
        <v>33</v>
      </c>
      <c r="P194">
        <v>1</v>
      </c>
    </row>
    <row r="195" spans="1:16" x14ac:dyDescent="0.25">
      <c r="A195" t="s">
        <v>606</v>
      </c>
      <c r="B195" t="s">
        <v>607</v>
      </c>
      <c r="C195" t="s">
        <v>608</v>
      </c>
      <c r="D195" t="s">
        <v>45</v>
      </c>
      <c r="E195" t="s">
        <v>20</v>
      </c>
      <c r="F195">
        <v>8</v>
      </c>
      <c r="G195" t="s">
        <v>53</v>
      </c>
      <c r="H195" t="s">
        <v>39</v>
      </c>
      <c r="I195" t="s">
        <v>40</v>
      </c>
      <c r="J195">
        <v>88.67</v>
      </c>
      <c r="K195">
        <v>8</v>
      </c>
      <c r="L195">
        <v>10</v>
      </c>
      <c r="N195" t="s">
        <v>91</v>
      </c>
      <c r="O195" t="s">
        <v>33</v>
      </c>
      <c r="P195">
        <v>5</v>
      </c>
    </row>
    <row r="196" spans="1:16" x14ac:dyDescent="0.25">
      <c r="A196" t="s">
        <v>609</v>
      </c>
      <c r="B196" t="s">
        <v>610</v>
      </c>
      <c r="C196" t="s">
        <v>611</v>
      </c>
      <c r="D196" t="s">
        <v>19</v>
      </c>
      <c r="E196" t="s">
        <v>20</v>
      </c>
      <c r="F196">
        <v>130</v>
      </c>
      <c r="G196" t="s">
        <v>86</v>
      </c>
      <c r="H196" t="s">
        <v>39</v>
      </c>
      <c r="I196" t="s">
        <v>40</v>
      </c>
      <c r="J196">
        <v>163.12</v>
      </c>
      <c r="K196">
        <v>-2</v>
      </c>
      <c r="L196">
        <v>10</v>
      </c>
      <c r="M196" t="s">
        <v>77</v>
      </c>
      <c r="N196" t="s">
        <v>41</v>
      </c>
      <c r="O196" t="s">
        <v>26</v>
      </c>
      <c r="P196">
        <v>4</v>
      </c>
    </row>
    <row r="197" spans="1:16" x14ac:dyDescent="0.25">
      <c r="A197" t="s">
        <v>612</v>
      </c>
      <c r="B197" t="s">
        <v>613</v>
      </c>
      <c r="C197" t="s">
        <v>614</v>
      </c>
      <c r="D197" t="s">
        <v>45</v>
      </c>
      <c r="E197" t="s">
        <v>46</v>
      </c>
      <c r="F197">
        <v>34</v>
      </c>
      <c r="G197" t="s">
        <v>30</v>
      </c>
      <c r="H197" t="s">
        <v>22</v>
      </c>
      <c r="I197" t="s">
        <v>23</v>
      </c>
      <c r="J197">
        <v>349.52</v>
      </c>
      <c r="K197">
        <v>-2</v>
      </c>
      <c r="L197">
        <v>-10</v>
      </c>
      <c r="N197" t="s">
        <v>81</v>
      </c>
      <c r="O197" t="s">
        <v>26</v>
      </c>
    </row>
    <row r="198" spans="1:16" x14ac:dyDescent="0.25">
      <c r="A198" t="s">
        <v>615</v>
      </c>
      <c r="B198" t="s">
        <v>285</v>
      </c>
      <c r="C198" t="s">
        <v>616</v>
      </c>
      <c r="D198" t="s">
        <v>117</v>
      </c>
      <c r="E198" t="s">
        <v>20</v>
      </c>
      <c r="F198">
        <v>29</v>
      </c>
      <c r="G198" t="s">
        <v>47</v>
      </c>
      <c r="H198" t="s">
        <v>48</v>
      </c>
      <c r="I198" t="s">
        <v>49</v>
      </c>
      <c r="J198">
        <v>291.16000000000003</v>
      </c>
      <c r="K198">
        <v>-2</v>
      </c>
      <c r="L198">
        <v>15</v>
      </c>
      <c r="M198" t="s">
        <v>24</v>
      </c>
      <c r="N198" t="s">
        <v>91</v>
      </c>
      <c r="O198" t="s">
        <v>33</v>
      </c>
      <c r="P198">
        <v>2</v>
      </c>
    </row>
    <row r="199" spans="1:16" x14ac:dyDescent="0.25">
      <c r="A199" t="s">
        <v>617</v>
      </c>
      <c r="B199" t="s">
        <v>618</v>
      </c>
      <c r="C199" t="s">
        <v>619</v>
      </c>
      <c r="D199" t="s">
        <v>63</v>
      </c>
      <c r="E199" t="s">
        <v>46</v>
      </c>
      <c r="F199">
        <v>8</v>
      </c>
      <c r="G199" t="s">
        <v>30</v>
      </c>
      <c r="H199" t="s">
        <v>87</v>
      </c>
      <c r="I199" t="s">
        <v>49</v>
      </c>
      <c r="J199">
        <v>167.71</v>
      </c>
      <c r="K199">
        <v>-2</v>
      </c>
      <c r="L199">
        <v>0</v>
      </c>
      <c r="M199" t="s">
        <v>24</v>
      </c>
      <c r="N199" t="s">
        <v>81</v>
      </c>
      <c r="O199" t="s">
        <v>33</v>
      </c>
      <c r="P199">
        <v>4</v>
      </c>
    </row>
    <row r="200" spans="1:16" x14ac:dyDescent="0.25">
      <c r="A200" t="s">
        <v>620</v>
      </c>
      <c r="B200" t="s">
        <v>360</v>
      </c>
      <c r="C200" t="s">
        <v>621</v>
      </c>
      <c r="E200" t="s">
        <v>20</v>
      </c>
      <c r="F200">
        <v>8</v>
      </c>
      <c r="G200" t="s">
        <v>70</v>
      </c>
      <c r="H200" t="s">
        <v>22</v>
      </c>
      <c r="I200" t="s">
        <v>23</v>
      </c>
      <c r="J200">
        <v>197.34</v>
      </c>
      <c r="K200">
        <v>-2</v>
      </c>
      <c r="L200">
        <v>15</v>
      </c>
      <c r="M200" t="s">
        <v>77</v>
      </c>
      <c r="N200" t="s">
        <v>25</v>
      </c>
      <c r="O200" t="s">
        <v>33</v>
      </c>
    </row>
    <row r="201" spans="1:16" x14ac:dyDescent="0.25">
      <c r="A201" t="s">
        <v>622</v>
      </c>
      <c r="B201" t="s">
        <v>246</v>
      </c>
      <c r="C201" t="s">
        <v>623</v>
      </c>
      <c r="E201" t="s">
        <v>20</v>
      </c>
      <c r="F201">
        <v>130</v>
      </c>
      <c r="G201" t="s">
        <v>38</v>
      </c>
      <c r="H201" t="s">
        <v>87</v>
      </c>
      <c r="I201" t="s">
        <v>49</v>
      </c>
      <c r="J201">
        <v>100.18</v>
      </c>
      <c r="K201">
        <v>8</v>
      </c>
      <c r="L201">
        <v>5</v>
      </c>
      <c r="M201" t="s">
        <v>64</v>
      </c>
      <c r="N201" t="s">
        <v>41</v>
      </c>
      <c r="O201" t="s">
        <v>33</v>
      </c>
    </row>
    <row r="202" spans="1:16" x14ac:dyDescent="0.25">
      <c r="A202" t="s">
        <v>624</v>
      </c>
      <c r="B202" t="s">
        <v>625</v>
      </c>
      <c r="C202" t="s">
        <v>626</v>
      </c>
      <c r="D202" t="s">
        <v>69</v>
      </c>
      <c r="E202" t="s">
        <v>20</v>
      </c>
      <c r="F202">
        <v>8</v>
      </c>
      <c r="G202" t="s">
        <v>53</v>
      </c>
      <c r="H202" t="s">
        <v>87</v>
      </c>
      <c r="I202" t="s">
        <v>49</v>
      </c>
      <c r="J202">
        <v>481.94</v>
      </c>
      <c r="K202">
        <v>-2</v>
      </c>
      <c r="L202">
        <v>-10</v>
      </c>
      <c r="M202" t="s">
        <v>64</v>
      </c>
      <c r="N202" t="s">
        <v>91</v>
      </c>
      <c r="O202" t="s">
        <v>33</v>
      </c>
      <c r="P202">
        <v>5</v>
      </c>
    </row>
    <row r="203" spans="1:16" x14ac:dyDescent="0.25">
      <c r="A203" t="s">
        <v>627</v>
      </c>
      <c r="B203" t="s">
        <v>628</v>
      </c>
      <c r="C203" t="s">
        <v>629</v>
      </c>
      <c r="D203" t="s">
        <v>45</v>
      </c>
      <c r="E203" t="s">
        <v>46</v>
      </c>
      <c r="F203">
        <v>58</v>
      </c>
      <c r="G203" t="s">
        <v>53</v>
      </c>
      <c r="H203" t="s">
        <v>31</v>
      </c>
      <c r="I203" t="s">
        <v>32</v>
      </c>
      <c r="J203">
        <v>157.81</v>
      </c>
      <c r="K203">
        <v>-2</v>
      </c>
      <c r="L203">
        <v>0</v>
      </c>
      <c r="M203" t="s">
        <v>24</v>
      </c>
      <c r="N203" t="s">
        <v>81</v>
      </c>
      <c r="O203" t="s">
        <v>82</v>
      </c>
      <c r="P203">
        <v>3</v>
      </c>
    </row>
    <row r="204" spans="1:16" x14ac:dyDescent="0.25">
      <c r="A204" t="s">
        <v>630</v>
      </c>
      <c r="B204" t="s">
        <v>631</v>
      </c>
      <c r="C204" t="s">
        <v>632</v>
      </c>
      <c r="E204" t="s">
        <v>20</v>
      </c>
      <c r="F204">
        <v>8</v>
      </c>
      <c r="G204" t="s">
        <v>38</v>
      </c>
      <c r="H204" t="s">
        <v>87</v>
      </c>
      <c r="I204" t="s">
        <v>49</v>
      </c>
      <c r="J204">
        <v>151.04</v>
      </c>
      <c r="K204">
        <v>10</v>
      </c>
      <c r="L204">
        <v>0</v>
      </c>
      <c r="M204" t="s">
        <v>24</v>
      </c>
      <c r="N204" t="s">
        <v>41</v>
      </c>
      <c r="O204" t="s">
        <v>33</v>
      </c>
      <c r="P204">
        <v>1</v>
      </c>
    </row>
    <row r="205" spans="1:16" x14ac:dyDescent="0.25">
      <c r="A205" t="s">
        <v>633</v>
      </c>
      <c r="B205" t="s">
        <v>303</v>
      </c>
      <c r="C205" t="s">
        <v>634</v>
      </c>
      <c r="D205" t="s">
        <v>117</v>
      </c>
      <c r="E205" t="s">
        <v>46</v>
      </c>
      <c r="F205">
        <v>58</v>
      </c>
      <c r="G205" t="s">
        <v>86</v>
      </c>
      <c r="H205" t="s">
        <v>54</v>
      </c>
      <c r="I205" t="s">
        <v>55</v>
      </c>
      <c r="J205">
        <v>473.97</v>
      </c>
      <c r="K205">
        <v>-2</v>
      </c>
      <c r="L205">
        <v>5</v>
      </c>
      <c r="M205" t="s">
        <v>24</v>
      </c>
      <c r="N205" t="s">
        <v>91</v>
      </c>
      <c r="O205" t="s">
        <v>33</v>
      </c>
      <c r="P205">
        <v>1</v>
      </c>
    </row>
    <row r="206" spans="1:16" x14ac:dyDescent="0.25">
      <c r="A206" t="s">
        <v>635</v>
      </c>
      <c r="B206" t="s">
        <v>427</v>
      </c>
      <c r="C206" t="s">
        <v>636</v>
      </c>
      <c r="D206" t="s">
        <v>101</v>
      </c>
      <c r="E206" t="s">
        <v>20</v>
      </c>
      <c r="F206">
        <v>130</v>
      </c>
      <c r="G206" t="s">
        <v>30</v>
      </c>
      <c r="H206" t="s">
        <v>31</v>
      </c>
      <c r="I206" t="s">
        <v>32</v>
      </c>
      <c r="J206">
        <v>323.41000000000003</v>
      </c>
      <c r="K206">
        <v>-2</v>
      </c>
      <c r="L206">
        <v>0</v>
      </c>
      <c r="M206" t="s">
        <v>77</v>
      </c>
      <c r="N206" t="s">
        <v>25</v>
      </c>
      <c r="O206" t="s">
        <v>26</v>
      </c>
      <c r="P206">
        <v>1</v>
      </c>
    </row>
    <row r="207" spans="1:16" x14ac:dyDescent="0.25">
      <c r="A207" t="s">
        <v>637</v>
      </c>
      <c r="B207" t="s">
        <v>638</v>
      </c>
      <c r="C207" t="s">
        <v>639</v>
      </c>
      <c r="D207" t="s">
        <v>19</v>
      </c>
      <c r="E207" t="s">
        <v>20</v>
      </c>
      <c r="F207">
        <v>8</v>
      </c>
      <c r="G207" t="s">
        <v>30</v>
      </c>
      <c r="H207" t="s">
        <v>87</v>
      </c>
      <c r="I207" t="s">
        <v>49</v>
      </c>
      <c r="J207">
        <v>25.2</v>
      </c>
      <c r="K207">
        <v>8</v>
      </c>
      <c r="L207">
        <v>-10</v>
      </c>
      <c r="N207" t="s">
        <v>91</v>
      </c>
      <c r="O207" t="s">
        <v>65</v>
      </c>
      <c r="P207">
        <v>4</v>
      </c>
    </row>
    <row r="208" spans="1:16" x14ac:dyDescent="0.25">
      <c r="A208" t="s">
        <v>640</v>
      </c>
      <c r="B208" t="s">
        <v>641</v>
      </c>
      <c r="C208" t="s">
        <v>642</v>
      </c>
      <c r="D208" t="s">
        <v>19</v>
      </c>
      <c r="E208" t="s">
        <v>20</v>
      </c>
      <c r="F208">
        <v>8</v>
      </c>
      <c r="G208" t="s">
        <v>38</v>
      </c>
      <c r="H208" t="s">
        <v>39</v>
      </c>
      <c r="I208" t="s">
        <v>40</v>
      </c>
      <c r="J208">
        <v>463.62</v>
      </c>
      <c r="K208">
        <v>6</v>
      </c>
      <c r="L208">
        <v>0</v>
      </c>
      <c r="M208" t="s">
        <v>59</v>
      </c>
      <c r="N208" t="s">
        <v>41</v>
      </c>
      <c r="O208" t="s">
        <v>82</v>
      </c>
      <c r="P208">
        <v>3</v>
      </c>
    </row>
    <row r="209" spans="1:16" x14ac:dyDescent="0.25">
      <c r="A209" t="s">
        <v>643</v>
      </c>
      <c r="B209" t="s">
        <v>644</v>
      </c>
      <c r="C209" t="s">
        <v>645</v>
      </c>
      <c r="D209" t="s">
        <v>19</v>
      </c>
      <c r="E209" t="s">
        <v>46</v>
      </c>
      <c r="F209">
        <v>22</v>
      </c>
      <c r="G209" t="s">
        <v>30</v>
      </c>
      <c r="H209" t="s">
        <v>22</v>
      </c>
      <c r="I209" t="s">
        <v>23</v>
      </c>
      <c r="J209">
        <v>320.36</v>
      </c>
      <c r="K209">
        <v>3</v>
      </c>
      <c r="L209">
        <v>10</v>
      </c>
      <c r="M209" t="s">
        <v>24</v>
      </c>
      <c r="N209" t="s">
        <v>25</v>
      </c>
      <c r="O209" t="s">
        <v>33</v>
      </c>
      <c r="P209">
        <v>1</v>
      </c>
    </row>
    <row r="210" spans="1:16" x14ac:dyDescent="0.25">
      <c r="A210" t="s">
        <v>646</v>
      </c>
      <c r="B210" t="s">
        <v>647</v>
      </c>
      <c r="C210" t="s">
        <v>648</v>
      </c>
      <c r="E210" t="s">
        <v>46</v>
      </c>
      <c r="F210">
        <v>61</v>
      </c>
      <c r="G210" t="s">
        <v>70</v>
      </c>
      <c r="H210" t="s">
        <v>22</v>
      </c>
      <c r="I210" t="s">
        <v>23</v>
      </c>
      <c r="J210">
        <v>53.98</v>
      </c>
      <c r="K210">
        <v>-2</v>
      </c>
      <c r="L210">
        <v>-10</v>
      </c>
      <c r="M210" t="s">
        <v>77</v>
      </c>
      <c r="N210" t="s">
        <v>81</v>
      </c>
      <c r="O210" t="s">
        <v>33</v>
      </c>
      <c r="P210">
        <v>5</v>
      </c>
    </row>
    <row r="211" spans="1:16" x14ac:dyDescent="0.25">
      <c r="A211" t="s">
        <v>649</v>
      </c>
      <c r="B211" t="s">
        <v>650</v>
      </c>
      <c r="C211" t="s">
        <v>651</v>
      </c>
      <c r="E211" t="s">
        <v>46</v>
      </c>
      <c r="F211">
        <v>130</v>
      </c>
      <c r="G211" t="s">
        <v>86</v>
      </c>
      <c r="H211" t="s">
        <v>22</v>
      </c>
      <c r="I211" t="s">
        <v>23</v>
      </c>
      <c r="J211">
        <v>240.46</v>
      </c>
      <c r="K211">
        <v>1</v>
      </c>
      <c r="L211">
        <v>-10</v>
      </c>
      <c r="N211" t="s">
        <v>41</v>
      </c>
      <c r="O211" t="s">
        <v>26</v>
      </c>
    </row>
    <row r="212" spans="1:16" x14ac:dyDescent="0.25">
      <c r="A212" t="s">
        <v>652</v>
      </c>
      <c r="B212" t="s">
        <v>653</v>
      </c>
      <c r="C212" t="s">
        <v>654</v>
      </c>
      <c r="E212" t="s">
        <v>20</v>
      </c>
      <c r="F212">
        <v>61</v>
      </c>
      <c r="G212" t="s">
        <v>21</v>
      </c>
      <c r="H212" t="s">
        <v>121</v>
      </c>
      <c r="I212" t="s">
        <v>122</v>
      </c>
      <c r="J212">
        <v>432.18</v>
      </c>
      <c r="K212">
        <v>-2</v>
      </c>
      <c r="L212">
        <v>120</v>
      </c>
      <c r="M212" t="s">
        <v>59</v>
      </c>
      <c r="N212" t="s">
        <v>41</v>
      </c>
      <c r="O212" t="s">
        <v>65</v>
      </c>
      <c r="P212">
        <v>5</v>
      </c>
    </row>
    <row r="213" spans="1:16" x14ac:dyDescent="0.25">
      <c r="A213" t="s">
        <v>655</v>
      </c>
      <c r="B213" t="s">
        <v>656</v>
      </c>
      <c r="C213" t="s">
        <v>657</v>
      </c>
      <c r="D213" t="s">
        <v>37</v>
      </c>
      <c r="E213" t="s">
        <v>20</v>
      </c>
      <c r="F213">
        <v>130</v>
      </c>
      <c r="G213" t="s">
        <v>21</v>
      </c>
      <c r="H213" t="s">
        <v>54</v>
      </c>
      <c r="I213" t="s">
        <v>55</v>
      </c>
      <c r="J213">
        <v>31.49</v>
      </c>
      <c r="K213">
        <v>4</v>
      </c>
      <c r="L213">
        <v>0</v>
      </c>
      <c r="M213" t="s">
        <v>64</v>
      </c>
      <c r="N213" t="s">
        <v>91</v>
      </c>
      <c r="O213" t="s">
        <v>65</v>
      </c>
    </row>
    <row r="214" spans="1:16" x14ac:dyDescent="0.25">
      <c r="A214" t="s">
        <v>658</v>
      </c>
      <c r="B214" t="s">
        <v>659</v>
      </c>
      <c r="C214" t="s">
        <v>660</v>
      </c>
      <c r="D214" t="s">
        <v>101</v>
      </c>
      <c r="E214" t="s">
        <v>46</v>
      </c>
      <c r="F214">
        <v>8</v>
      </c>
      <c r="G214" t="s">
        <v>21</v>
      </c>
      <c r="H214" t="s">
        <v>39</v>
      </c>
      <c r="I214" t="s">
        <v>40</v>
      </c>
      <c r="J214">
        <v>160.16</v>
      </c>
      <c r="K214">
        <v>10</v>
      </c>
      <c r="L214">
        <v>120</v>
      </c>
      <c r="N214" t="s">
        <v>91</v>
      </c>
      <c r="O214" t="s">
        <v>82</v>
      </c>
      <c r="P214">
        <v>2</v>
      </c>
    </row>
    <row r="215" spans="1:16" x14ac:dyDescent="0.25">
      <c r="A215" t="s">
        <v>661</v>
      </c>
      <c r="B215" t="s">
        <v>662</v>
      </c>
      <c r="C215" t="s">
        <v>663</v>
      </c>
      <c r="D215" t="s">
        <v>101</v>
      </c>
      <c r="E215" t="s">
        <v>20</v>
      </c>
      <c r="F215">
        <v>130</v>
      </c>
      <c r="G215" t="s">
        <v>53</v>
      </c>
      <c r="H215" t="s">
        <v>48</v>
      </c>
      <c r="I215" t="s">
        <v>49</v>
      </c>
      <c r="J215">
        <v>318.8</v>
      </c>
      <c r="K215">
        <v>-2</v>
      </c>
      <c r="L215">
        <v>15</v>
      </c>
      <c r="M215" t="s">
        <v>59</v>
      </c>
      <c r="N215" t="s">
        <v>25</v>
      </c>
      <c r="O215" t="s">
        <v>82</v>
      </c>
      <c r="P215">
        <v>1</v>
      </c>
    </row>
    <row r="216" spans="1:16" x14ac:dyDescent="0.25">
      <c r="A216" t="s">
        <v>664</v>
      </c>
      <c r="B216" t="s">
        <v>665</v>
      </c>
      <c r="C216" t="s">
        <v>666</v>
      </c>
      <c r="E216" t="s">
        <v>20</v>
      </c>
      <c r="F216">
        <v>8</v>
      </c>
      <c r="G216" t="s">
        <v>70</v>
      </c>
      <c r="H216" t="s">
        <v>87</v>
      </c>
      <c r="I216" t="s">
        <v>49</v>
      </c>
      <c r="J216">
        <v>452.68</v>
      </c>
      <c r="K216">
        <v>6</v>
      </c>
      <c r="L216">
        <v>15</v>
      </c>
      <c r="M216" t="s">
        <v>64</v>
      </c>
      <c r="N216" t="s">
        <v>81</v>
      </c>
      <c r="O216" t="s">
        <v>82</v>
      </c>
      <c r="P216">
        <v>3</v>
      </c>
    </row>
    <row r="217" spans="1:16" x14ac:dyDescent="0.25">
      <c r="A217" t="s">
        <v>667</v>
      </c>
      <c r="B217" t="s">
        <v>668</v>
      </c>
      <c r="C217" t="s">
        <v>669</v>
      </c>
      <c r="D217" t="s">
        <v>45</v>
      </c>
      <c r="E217" t="s">
        <v>46</v>
      </c>
      <c r="F217">
        <v>8</v>
      </c>
      <c r="G217" t="s">
        <v>30</v>
      </c>
      <c r="H217" t="s">
        <v>22</v>
      </c>
      <c r="I217" t="s">
        <v>23</v>
      </c>
      <c r="J217">
        <v>148.74</v>
      </c>
      <c r="K217">
        <v>7</v>
      </c>
      <c r="L217">
        <v>0</v>
      </c>
      <c r="M217" t="s">
        <v>24</v>
      </c>
      <c r="N217" t="s">
        <v>81</v>
      </c>
      <c r="O217" t="s">
        <v>82</v>
      </c>
      <c r="P217">
        <v>4</v>
      </c>
    </row>
    <row r="218" spans="1:16" x14ac:dyDescent="0.25">
      <c r="A218" t="s">
        <v>670</v>
      </c>
      <c r="B218" t="s">
        <v>671</v>
      </c>
      <c r="C218" t="s">
        <v>672</v>
      </c>
      <c r="D218" t="s">
        <v>101</v>
      </c>
      <c r="E218" t="s">
        <v>20</v>
      </c>
      <c r="F218">
        <v>43</v>
      </c>
      <c r="G218" t="s">
        <v>70</v>
      </c>
      <c r="H218" t="s">
        <v>87</v>
      </c>
      <c r="I218" t="s">
        <v>49</v>
      </c>
      <c r="J218">
        <v>367.69</v>
      </c>
      <c r="K218">
        <v>7</v>
      </c>
      <c r="L218">
        <v>5</v>
      </c>
      <c r="M218" t="s">
        <v>59</v>
      </c>
      <c r="N218" t="s">
        <v>41</v>
      </c>
      <c r="O218" t="s">
        <v>82</v>
      </c>
    </row>
    <row r="219" spans="1:16" x14ac:dyDescent="0.25">
      <c r="A219" t="s">
        <v>673</v>
      </c>
      <c r="B219" t="s">
        <v>674</v>
      </c>
      <c r="C219" t="s">
        <v>675</v>
      </c>
      <c r="D219" t="s">
        <v>101</v>
      </c>
      <c r="E219" t="s">
        <v>46</v>
      </c>
      <c r="F219">
        <v>37</v>
      </c>
      <c r="G219" t="s">
        <v>30</v>
      </c>
      <c r="H219" t="s">
        <v>22</v>
      </c>
      <c r="I219" t="s">
        <v>23</v>
      </c>
      <c r="J219">
        <v>140.03</v>
      </c>
      <c r="K219">
        <v>10</v>
      </c>
      <c r="L219">
        <v>10</v>
      </c>
      <c r="M219" t="s">
        <v>77</v>
      </c>
      <c r="N219" t="s">
        <v>25</v>
      </c>
      <c r="O219" t="s">
        <v>82</v>
      </c>
      <c r="P219">
        <v>1</v>
      </c>
    </row>
    <row r="220" spans="1:16" x14ac:dyDescent="0.25">
      <c r="A220" t="s">
        <v>676</v>
      </c>
      <c r="B220" t="s">
        <v>677</v>
      </c>
      <c r="C220" t="s">
        <v>678</v>
      </c>
      <c r="D220" t="s">
        <v>117</v>
      </c>
      <c r="E220" t="s">
        <v>20</v>
      </c>
      <c r="F220">
        <v>8</v>
      </c>
      <c r="G220" t="s">
        <v>53</v>
      </c>
      <c r="H220" t="s">
        <v>22</v>
      </c>
      <c r="I220" t="s">
        <v>23</v>
      </c>
      <c r="J220">
        <v>230.26</v>
      </c>
      <c r="K220">
        <v>10</v>
      </c>
      <c r="L220">
        <v>15</v>
      </c>
      <c r="M220" t="s">
        <v>24</v>
      </c>
      <c r="N220" t="s">
        <v>25</v>
      </c>
      <c r="O220" t="s">
        <v>65</v>
      </c>
      <c r="P220">
        <v>2</v>
      </c>
    </row>
    <row r="221" spans="1:16" x14ac:dyDescent="0.25">
      <c r="A221" t="s">
        <v>679</v>
      </c>
      <c r="B221" t="s">
        <v>164</v>
      </c>
      <c r="C221" t="s">
        <v>680</v>
      </c>
      <c r="D221" t="s">
        <v>63</v>
      </c>
      <c r="E221" t="s">
        <v>20</v>
      </c>
      <c r="F221">
        <v>8</v>
      </c>
      <c r="G221" t="s">
        <v>86</v>
      </c>
      <c r="H221" t="s">
        <v>48</v>
      </c>
      <c r="I221" t="s">
        <v>49</v>
      </c>
      <c r="J221">
        <v>363.68</v>
      </c>
      <c r="K221">
        <v>-2</v>
      </c>
      <c r="L221">
        <v>5</v>
      </c>
      <c r="M221" t="s">
        <v>77</v>
      </c>
      <c r="N221" t="s">
        <v>41</v>
      </c>
      <c r="O221" t="s">
        <v>82</v>
      </c>
      <c r="P221">
        <v>4</v>
      </c>
    </row>
    <row r="222" spans="1:16" x14ac:dyDescent="0.25">
      <c r="A222" t="s">
        <v>681</v>
      </c>
      <c r="B222" t="s">
        <v>682</v>
      </c>
      <c r="C222" t="s">
        <v>683</v>
      </c>
      <c r="D222" t="s">
        <v>63</v>
      </c>
      <c r="E222" t="s">
        <v>46</v>
      </c>
      <c r="F222">
        <v>130</v>
      </c>
      <c r="G222" t="s">
        <v>86</v>
      </c>
      <c r="H222" t="s">
        <v>54</v>
      </c>
      <c r="I222" t="s">
        <v>55</v>
      </c>
      <c r="J222">
        <v>157.32</v>
      </c>
      <c r="K222">
        <v>-2</v>
      </c>
      <c r="L222">
        <v>10</v>
      </c>
      <c r="M222" t="s">
        <v>77</v>
      </c>
      <c r="N222" t="s">
        <v>81</v>
      </c>
      <c r="O222" t="s">
        <v>26</v>
      </c>
      <c r="P222">
        <v>5</v>
      </c>
    </row>
    <row r="223" spans="1:16" x14ac:dyDescent="0.25">
      <c r="A223" t="s">
        <v>684</v>
      </c>
      <c r="B223" t="s">
        <v>467</v>
      </c>
      <c r="C223" t="s">
        <v>685</v>
      </c>
      <c r="D223" t="s">
        <v>45</v>
      </c>
      <c r="E223" t="s">
        <v>46</v>
      </c>
      <c r="F223">
        <v>130</v>
      </c>
      <c r="G223" t="s">
        <v>53</v>
      </c>
      <c r="H223" t="s">
        <v>48</v>
      </c>
      <c r="I223" t="s">
        <v>49</v>
      </c>
      <c r="J223">
        <v>304.22000000000003</v>
      </c>
      <c r="K223">
        <v>7</v>
      </c>
      <c r="L223">
        <v>120</v>
      </c>
      <c r="M223" t="s">
        <v>59</v>
      </c>
      <c r="N223" t="s">
        <v>41</v>
      </c>
      <c r="O223" t="s">
        <v>82</v>
      </c>
    </row>
    <row r="224" spans="1:16" x14ac:dyDescent="0.25">
      <c r="A224" t="s">
        <v>686</v>
      </c>
      <c r="B224" t="s">
        <v>687</v>
      </c>
      <c r="C224" t="s">
        <v>688</v>
      </c>
      <c r="D224" t="s">
        <v>69</v>
      </c>
      <c r="E224" t="s">
        <v>46</v>
      </c>
      <c r="F224">
        <v>130</v>
      </c>
      <c r="G224" t="s">
        <v>38</v>
      </c>
      <c r="H224" t="s">
        <v>39</v>
      </c>
      <c r="I224" t="s">
        <v>40</v>
      </c>
      <c r="J224">
        <v>415.65</v>
      </c>
      <c r="K224">
        <v>-2</v>
      </c>
      <c r="L224">
        <v>5</v>
      </c>
      <c r="M224" t="s">
        <v>24</v>
      </c>
      <c r="N224" t="s">
        <v>81</v>
      </c>
      <c r="O224" t="s">
        <v>65</v>
      </c>
      <c r="P224">
        <v>5</v>
      </c>
    </row>
    <row r="225" spans="1:16" x14ac:dyDescent="0.25">
      <c r="A225" t="s">
        <v>689</v>
      </c>
      <c r="B225" t="s">
        <v>158</v>
      </c>
      <c r="C225" t="s">
        <v>690</v>
      </c>
      <c r="D225" t="s">
        <v>63</v>
      </c>
      <c r="E225" t="s">
        <v>46</v>
      </c>
      <c r="F225">
        <v>47</v>
      </c>
      <c r="G225" t="s">
        <v>21</v>
      </c>
      <c r="H225" t="s">
        <v>54</v>
      </c>
      <c r="I225" t="s">
        <v>55</v>
      </c>
      <c r="J225">
        <v>149.13999999999999</v>
      </c>
      <c r="K225">
        <v>-2</v>
      </c>
      <c r="L225">
        <v>15</v>
      </c>
      <c r="M225" t="s">
        <v>59</v>
      </c>
      <c r="N225" t="s">
        <v>25</v>
      </c>
      <c r="O225" t="s">
        <v>26</v>
      </c>
      <c r="P225">
        <v>3</v>
      </c>
    </row>
    <row r="226" spans="1:16" x14ac:dyDescent="0.25">
      <c r="A226" t="s">
        <v>691</v>
      </c>
      <c r="B226" t="s">
        <v>692</v>
      </c>
      <c r="C226" t="s">
        <v>693</v>
      </c>
      <c r="D226" t="s">
        <v>117</v>
      </c>
      <c r="E226" t="s">
        <v>46</v>
      </c>
      <c r="F226">
        <v>130</v>
      </c>
      <c r="G226" t="s">
        <v>30</v>
      </c>
      <c r="H226" t="s">
        <v>39</v>
      </c>
      <c r="I226" t="s">
        <v>40</v>
      </c>
      <c r="J226">
        <v>383.69</v>
      </c>
      <c r="K226">
        <v>6</v>
      </c>
      <c r="L226">
        <v>15</v>
      </c>
      <c r="M226" t="s">
        <v>24</v>
      </c>
      <c r="N226" t="s">
        <v>91</v>
      </c>
      <c r="O226" t="s">
        <v>82</v>
      </c>
      <c r="P226">
        <v>4</v>
      </c>
    </row>
    <row r="227" spans="1:16" x14ac:dyDescent="0.25">
      <c r="A227" t="s">
        <v>694</v>
      </c>
      <c r="B227" t="s">
        <v>695</v>
      </c>
      <c r="C227" t="s">
        <v>696</v>
      </c>
      <c r="D227" t="s">
        <v>63</v>
      </c>
      <c r="E227" t="s">
        <v>20</v>
      </c>
      <c r="F227">
        <v>8</v>
      </c>
      <c r="G227" t="s">
        <v>53</v>
      </c>
      <c r="H227" t="s">
        <v>87</v>
      </c>
      <c r="I227" t="s">
        <v>49</v>
      </c>
      <c r="J227">
        <v>449.22</v>
      </c>
      <c r="K227">
        <v>-2</v>
      </c>
      <c r="L227">
        <v>0</v>
      </c>
      <c r="M227" t="s">
        <v>64</v>
      </c>
      <c r="N227" t="s">
        <v>81</v>
      </c>
      <c r="O227" t="s">
        <v>33</v>
      </c>
      <c r="P227">
        <v>4</v>
      </c>
    </row>
    <row r="228" spans="1:16" x14ac:dyDescent="0.25">
      <c r="A228" t="s">
        <v>697</v>
      </c>
      <c r="B228" t="s">
        <v>698</v>
      </c>
      <c r="C228" t="s">
        <v>699</v>
      </c>
      <c r="D228" t="s">
        <v>37</v>
      </c>
      <c r="E228" t="s">
        <v>46</v>
      </c>
      <c r="F228">
        <v>22</v>
      </c>
      <c r="G228" t="s">
        <v>53</v>
      </c>
      <c r="H228" t="s">
        <v>22</v>
      </c>
      <c r="I228" t="s">
        <v>23</v>
      </c>
      <c r="J228">
        <v>409.08</v>
      </c>
      <c r="K228">
        <v>-2</v>
      </c>
      <c r="L228">
        <v>15</v>
      </c>
      <c r="M228" t="s">
        <v>77</v>
      </c>
      <c r="N228" t="s">
        <v>91</v>
      </c>
      <c r="O228" t="s">
        <v>82</v>
      </c>
      <c r="P228">
        <v>5</v>
      </c>
    </row>
    <row r="229" spans="1:16" x14ac:dyDescent="0.25">
      <c r="A229" t="s">
        <v>700</v>
      </c>
      <c r="B229" t="s">
        <v>294</v>
      </c>
      <c r="C229" t="s">
        <v>701</v>
      </c>
      <c r="D229" t="s">
        <v>69</v>
      </c>
      <c r="E229" t="s">
        <v>46</v>
      </c>
      <c r="F229">
        <v>61</v>
      </c>
      <c r="G229" t="s">
        <v>53</v>
      </c>
      <c r="H229" t="s">
        <v>22</v>
      </c>
      <c r="I229" t="s">
        <v>23</v>
      </c>
      <c r="J229">
        <v>220.85</v>
      </c>
      <c r="K229">
        <v>9</v>
      </c>
      <c r="L229">
        <v>5</v>
      </c>
      <c r="M229" t="s">
        <v>24</v>
      </c>
      <c r="N229" t="s">
        <v>91</v>
      </c>
      <c r="O229" t="s">
        <v>82</v>
      </c>
      <c r="P229">
        <v>5</v>
      </c>
    </row>
    <row r="230" spans="1:16" x14ac:dyDescent="0.25">
      <c r="A230" t="s">
        <v>702</v>
      </c>
      <c r="B230" t="s">
        <v>703</v>
      </c>
      <c r="C230" t="s">
        <v>704</v>
      </c>
      <c r="D230" t="s">
        <v>117</v>
      </c>
      <c r="E230" t="s">
        <v>46</v>
      </c>
      <c r="F230">
        <v>8</v>
      </c>
      <c r="G230" t="s">
        <v>70</v>
      </c>
      <c r="H230" t="s">
        <v>48</v>
      </c>
      <c r="I230" t="s">
        <v>49</v>
      </c>
      <c r="J230">
        <v>56.27</v>
      </c>
      <c r="K230">
        <v>10</v>
      </c>
      <c r="L230">
        <v>0</v>
      </c>
      <c r="M230" t="s">
        <v>59</v>
      </c>
      <c r="N230" t="s">
        <v>91</v>
      </c>
      <c r="O230" t="s">
        <v>65</v>
      </c>
      <c r="P230">
        <v>3</v>
      </c>
    </row>
    <row r="231" spans="1:16" x14ac:dyDescent="0.25">
      <c r="A231" t="s">
        <v>705</v>
      </c>
      <c r="B231" t="s">
        <v>258</v>
      </c>
      <c r="C231" t="s">
        <v>706</v>
      </c>
      <c r="D231" t="s">
        <v>101</v>
      </c>
      <c r="E231" t="s">
        <v>46</v>
      </c>
      <c r="F231">
        <v>22</v>
      </c>
      <c r="G231" t="s">
        <v>70</v>
      </c>
      <c r="H231" t="s">
        <v>22</v>
      </c>
      <c r="I231" t="s">
        <v>23</v>
      </c>
      <c r="J231">
        <v>497.24</v>
      </c>
      <c r="K231">
        <v>-2</v>
      </c>
      <c r="L231">
        <v>0</v>
      </c>
      <c r="M231" t="s">
        <v>64</v>
      </c>
      <c r="N231" t="s">
        <v>81</v>
      </c>
      <c r="O231" t="s">
        <v>65</v>
      </c>
      <c r="P231">
        <v>4</v>
      </c>
    </row>
    <row r="232" spans="1:16" x14ac:dyDescent="0.25">
      <c r="A232" t="s">
        <v>707</v>
      </c>
      <c r="B232" t="s">
        <v>708</v>
      </c>
      <c r="C232" t="s">
        <v>709</v>
      </c>
      <c r="D232" t="s">
        <v>37</v>
      </c>
      <c r="E232" t="s">
        <v>20</v>
      </c>
      <c r="F232">
        <v>56</v>
      </c>
      <c r="G232" t="s">
        <v>86</v>
      </c>
      <c r="H232" t="s">
        <v>54</v>
      </c>
      <c r="I232" t="s">
        <v>55</v>
      </c>
      <c r="J232">
        <v>243.22</v>
      </c>
      <c r="K232">
        <v>3</v>
      </c>
      <c r="L232">
        <v>-10</v>
      </c>
      <c r="M232" t="s">
        <v>77</v>
      </c>
      <c r="N232" t="s">
        <v>81</v>
      </c>
      <c r="O232" t="s">
        <v>82</v>
      </c>
      <c r="P232">
        <v>2</v>
      </c>
    </row>
    <row r="233" spans="1:16" x14ac:dyDescent="0.25">
      <c r="A233" t="s">
        <v>710</v>
      </c>
      <c r="B233" t="s">
        <v>711</v>
      </c>
      <c r="C233" t="s">
        <v>712</v>
      </c>
      <c r="D233" t="s">
        <v>63</v>
      </c>
      <c r="E233" t="s">
        <v>20</v>
      </c>
      <c r="F233">
        <v>8</v>
      </c>
      <c r="G233" t="s">
        <v>38</v>
      </c>
      <c r="H233" t="s">
        <v>39</v>
      </c>
      <c r="I233" t="s">
        <v>40</v>
      </c>
      <c r="J233">
        <v>391</v>
      </c>
      <c r="K233">
        <v>5</v>
      </c>
      <c r="L233">
        <v>15</v>
      </c>
      <c r="N233" t="s">
        <v>91</v>
      </c>
      <c r="O233" t="s">
        <v>26</v>
      </c>
      <c r="P233">
        <v>4</v>
      </c>
    </row>
    <row r="234" spans="1:16" x14ac:dyDescent="0.25">
      <c r="A234" t="s">
        <v>713</v>
      </c>
      <c r="B234" t="s">
        <v>641</v>
      </c>
      <c r="C234" t="s">
        <v>714</v>
      </c>
      <c r="D234" t="s">
        <v>101</v>
      </c>
      <c r="E234" t="s">
        <v>46</v>
      </c>
      <c r="F234">
        <v>8</v>
      </c>
      <c r="G234" t="s">
        <v>38</v>
      </c>
      <c r="H234" t="s">
        <v>39</v>
      </c>
      <c r="I234" t="s">
        <v>40</v>
      </c>
      <c r="J234">
        <v>471.86</v>
      </c>
      <c r="K234">
        <v>10</v>
      </c>
      <c r="L234">
        <v>15</v>
      </c>
      <c r="N234" t="s">
        <v>25</v>
      </c>
      <c r="O234" t="s">
        <v>33</v>
      </c>
      <c r="P234">
        <v>3</v>
      </c>
    </row>
    <row r="235" spans="1:16" x14ac:dyDescent="0.25">
      <c r="A235" t="s">
        <v>715</v>
      </c>
      <c r="B235" t="s">
        <v>235</v>
      </c>
      <c r="C235" t="s">
        <v>539</v>
      </c>
      <c r="D235" t="s">
        <v>117</v>
      </c>
      <c r="E235" t="s">
        <v>46</v>
      </c>
      <c r="F235">
        <v>8</v>
      </c>
      <c r="G235" t="s">
        <v>38</v>
      </c>
      <c r="H235" t="s">
        <v>54</v>
      </c>
      <c r="I235" t="s">
        <v>55</v>
      </c>
      <c r="J235">
        <v>56.21</v>
      </c>
      <c r="K235">
        <v>-2</v>
      </c>
      <c r="L235">
        <v>0</v>
      </c>
      <c r="N235" t="s">
        <v>41</v>
      </c>
      <c r="O235" t="s">
        <v>65</v>
      </c>
      <c r="P235">
        <v>2</v>
      </c>
    </row>
    <row r="236" spans="1:16" x14ac:dyDescent="0.25">
      <c r="A236" t="s">
        <v>716</v>
      </c>
      <c r="B236" t="s">
        <v>51</v>
      </c>
      <c r="C236" t="s">
        <v>717</v>
      </c>
      <c r="D236" t="s">
        <v>117</v>
      </c>
      <c r="E236" t="s">
        <v>46</v>
      </c>
      <c r="F236">
        <v>130</v>
      </c>
      <c r="G236" t="s">
        <v>86</v>
      </c>
      <c r="H236" t="s">
        <v>54</v>
      </c>
      <c r="I236" t="s">
        <v>55</v>
      </c>
      <c r="J236">
        <v>104.55</v>
      </c>
      <c r="K236">
        <v>10</v>
      </c>
      <c r="L236">
        <v>-10</v>
      </c>
      <c r="N236" t="s">
        <v>25</v>
      </c>
      <c r="O236" t="s">
        <v>33</v>
      </c>
      <c r="P236">
        <v>2</v>
      </c>
    </row>
    <row r="237" spans="1:16" x14ac:dyDescent="0.25">
      <c r="A237" t="s">
        <v>718</v>
      </c>
      <c r="B237" t="s">
        <v>719</v>
      </c>
      <c r="C237" t="s">
        <v>720</v>
      </c>
      <c r="D237" t="s">
        <v>101</v>
      </c>
      <c r="E237" t="s">
        <v>20</v>
      </c>
      <c r="F237">
        <v>8</v>
      </c>
      <c r="G237" t="s">
        <v>30</v>
      </c>
      <c r="H237" t="s">
        <v>87</v>
      </c>
      <c r="I237" t="s">
        <v>49</v>
      </c>
      <c r="J237">
        <v>63.29</v>
      </c>
      <c r="K237">
        <v>9</v>
      </c>
      <c r="L237">
        <v>10</v>
      </c>
      <c r="M237" t="s">
        <v>59</v>
      </c>
      <c r="N237" t="s">
        <v>91</v>
      </c>
      <c r="O237" t="s">
        <v>26</v>
      </c>
      <c r="P237">
        <v>1</v>
      </c>
    </row>
    <row r="238" spans="1:16" x14ac:dyDescent="0.25">
      <c r="A238" t="s">
        <v>721</v>
      </c>
      <c r="B238" t="s">
        <v>722</v>
      </c>
      <c r="C238" t="s">
        <v>723</v>
      </c>
      <c r="D238" t="s">
        <v>19</v>
      </c>
      <c r="E238" t="s">
        <v>20</v>
      </c>
      <c r="F238">
        <v>50</v>
      </c>
      <c r="G238" t="s">
        <v>86</v>
      </c>
      <c r="H238" t="s">
        <v>39</v>
      </c>
      <c r="I238" t="s">
        <v>40</v>
      </c>
      <c r="J238">
        <v>437.51</v>
      </c>
      <c r="K238">
        <v>-2</v>
      </c>
      <c r="L238">
        <v>5</v>
      </c>
      <c r="M238" t="s">
        <v>59</v>
      </c>
      <c r="N238" t="s">
        <v>81</v>
      </c>
      <c r="O238" t="s">
        <v>33</v>
      </c>
    </row>
    <row r="239" spans="1:16" x14ac:dyDescent="0.25">
      <c r="A239" t="s">
        <v>724</v>
      </c>
      <c r="B239" t="s">
        <v>725</v>
      </c>
      <c r="C239" t="s">
        <v>726</v>
      </c>
      <c r="D239" t="s">
        <v>45</v>
      </c>
      <c r="E239" t="s">
        <v>46</v>
      </c>
      <c r="F239">
        <v>51</v>
      </c>
      <c r="G239" t="s">
        <v>30</v>
      </c>
      <c r="H239" t="s">
        <v>22</v>
      </c>
      <c r="I239" t="s">
        <v>23</v>
      </c>
      <c r="J239">
        <v>197.02</v>
      </c>
      <c r="K239">
        <v>6</v>
      </c>
      <c r="L239">
        <v>120</v>
      </c>
      <c r="M239" t="s">
        <v>77</v>
      </c>
      <c r="N239" t="s">
        <v>25</v>
      </c>
      <c r="O239" t="s">
        <v>65</v>
      </c>
      <c r="P239">
        <v>4</v>
      </c>
    </row>
    <row r="240" spans="1:16" x14ac:dyDescent="0.25">
      <c r="A240" t="s">
        <v>727</v>
      </c>
      <c r="B240" t="s">
        <v>728</v>
      </c>
      <c r="C240" t="s">
        <v>729</v>
      </c>
      <c r="E240" t="s">
        <v>20</v>
      </c>
      <c r="F240">
        <v>59</v>
      </c>
      <c r="G240" t="s">
        <v>86</v>
      </c>
      <c r="H240" t="s">
        <v>54</v>
      </c>
      <c r="I240" t="s">
        <v>55</v>
      </c>
      <c r="J240">
        <v>228.79</v>
      </c>
      <c r="K240">
        <v>4</v>
      </c>
      <c r="L240">
        <v>15</v>
      </c>
      <c r="N240" t="s">
        <v>81</v>
      </c>
      <c r="O240" t="s">
        <v>82</v>
      </c>
      <c r="P240">
        <v>5</v>
      </c>
    </row>
    <row r="241" spans="1:16" x14ac:dyDescent="0.25">
      <c r="A241" t="s">
        <v>730</v>
      </c>
      <c r="B241" t="s">
        <v>267</v>
      </c>
      <c r="C241" t="s">
        <v>731</v>
      </c>
      <c r="D241" t="s">
        <v>101</v>
      </c>
      <c r="E241" t="s">
        <v>20</v>
      </c>
      <c r="F241">
        <v>55</v>
      </c>
      <c r="G241" t="s">
        <v>53</v>
      </c>
      <c r="H241" t="s">
        <v>39</v>
      </c>
      <c r="I241" t="s">
        <v>40</v>
      </c>
      <c r="J241">
        <v>220.66</v>
      </c>
      <c r="K241">
        <v>-2</v>
      </c>
      <c r="L241">
        <v>5</v>
      </c>
      <c r="M241" t="s">
        <v>59</v>
      </c>
      <c r="N241" t="s">
        <v>81</v>
      </c>
      <c r="O241" t="s">
        <v>26</v>
      </c>
      <c r="P241">
        <v>2</v>
      </c>
    </row>
    <row r="242" spans="1:16" x14ac:dyDescent="0.25">
      <c r="A242" t="s">
        <v>732</v>
      </c>
      <c r="B242" t="s">
        <v>733</v>
      </c>
      <c r="C242" t="s">
        <v>734</v>
      </c>
      <c r="D242" t="s">
        <v>37</v>
      </c>
      <c r="E242" t="s">
        <v>20</v>
      </c>
      <c r="F242">
        <v>8</v>
      </c>
      <c r="G242" t="s">
        <v>30</v>
      </c>
      <c r="H242" t="s">
        <v>22</v>
      </c>
      <c r="I242" t="s">
        <v>23</v>
      </c>
      <c r="J242">
        <v>364.31</v>
      </c>
      <c r="K242">
        <v>-2</v>
      </c>
      <c r="L242">
        <v>0</v>
      </c>
      <c r="M242" t="s">
        <v>59</v>
      </c>
      <c r="N242" t="s">
        <v>41</v>
      </c>
      <c r="O242" t="s">
        <v>26</v>
      </c>
      <c r="P242">
        <v>1</v>
      </c>
    </row>
    <row r="243" spans="1:16" x14ac:dyDescent="0.25">
      <c r="A243" t="s">
        <v>735</v>
      </c>
      <c r="B243" t="s">
        <v>736</v>
      </c>
      <c r="C243" t="s">
        <v>737</v>
      </c>
      <c r="D243" t="s">
        <v>69</v>
      </c>
      <c r="E243" t="s">
        <v>20</v>
      </c>
      <c r="F243">
        <v>44</v>
      </c>
      <c r="G243" t="s">
        <v>70</v>
      </c>
      <c r="H243" t="s">
        <v>87</v>
      </c>
      <c r="I243" t="s">
        <v>49</v>
      </c>
      <c r="J243">
        <v>347.88</v>
      </c>
      <c r="K243">
        <v>6</v>
      </c>
      <c r="L243">
        <v>15</v>
      </c>
      <c r="N243" t="s">
        <v>41</v>
      </c>
      <c r="O243" t="s">
        <v>65</v>
      </c>
      <c r="P243">
        <v>3</v>
      </c>
    </row>
    <row r="244" spans="1:16" x14ac:dyDescent="0.25">
      <c r="A244" t="s">
        <v>738</v>
      </c>
      <c r="B244" t="s">
        <v>309</v>
      </c>
      <c r="C244" t="s">
        <v>739</v>
      </c>
      <c r="E244" t="s">
        <v>46</v>
      </c>
      <c r="F244">
        <v>8</v>
      </c>
      <c r="G244" t="s">
        <v>21</v>
      </c>
      <c r="H244" t="s">
        <v>31</v>
      </c>
      <c r="I244" t="s">
        <v>32</v>
      </c>
      <c r="J244">
        <v>171.06</v>
      </c>
      <c r="K244">
        <v>5</v>
      </c>
      <c r="L244">
        <v>120</v>
      </c>
      <c r="M244" t="s">
        <v>64</v>
      </c>
      <c r="N244" t="s">
        <v>41</v>
      </c>
      <c r="O244" t="s">
        <v>65</v>
      </c>
      <c r="P244">
        <v>1</v>
      </c>
    </row>
    <row r="245" spans="1:16" x14ac:dyDescent="0.25">
      <c r="A245" t="s">
        <v>740</v>
      </c>
      <c r="B245" t="s">
        <v>741</v>
      </c>
      <c r="C245" t="s">
        <v>742</v>
      </c>
      <c r="D245" t="s">
        <v>19</v>
      </c>
      <c r="E245" t="s">
        <v>46</v>
      </c>
      <c r="F245">
        <v>130</v>
      </c>
      <c r="G245" t="s">
        <v>47</v>
      </c>
      <c r="H245" t="s">
        <v>87</v>
      </c>
      <c r="I245" t="s">
        <v>49</v>
      </c>
      <c r="J245">
        <v>454.71</v>
      </c>
      <c r="K245">
        <v>-2</v>
      </c>
      <c r="L245">
        <v>10</v>
      </c>
      <c r="M245" t="s">
        <v>59</v>
      </c>
      <c r="N245" t="s">
        <v>41</v>
      </c>
      <c r="O245" t="s">
        <v>33</v>
      </c>
      <c r="P245">
        <v>2</v>
      </c>
    </row>
    <row r="246" spans="1:16" x14ac:dyDescent="0.25">
      <c r="A246" t="s">
        <v>743</v>
      </c>
      <c r="B246" t="s">
        <v>744</v>
      </c>
      <c r="C246" t="s">
        <v>745</v>
      </c>
      <c r="D246" t="s">
        <v>69</v>
      </c>
      <c r="E246" t="s">
        <v>20</v>
      </c>
      <c r="F246">
        <v>130</v>
      </c>
      <c r="G246" t="s">
        <v>38</v>
      </c>
      <c r="H246" t="s">
        <v>87</v>
      </c>
      <c r="I246" t="s">
        <v>49</v>
      </c>
      <c r="J246">
        <v>77.11</v>
      </c>
      <c r="K246">
        <v>-2</v>
      </c>
      <c r="L246">
        <v>10</v>
      </c>
      <c r="M246" t="s">
        <v>59</v>
      </c>
      <c r="N246" t="s">
        <v>41</v>
      </c>
      <c r="O246" t="s">
        <v>65</v>
      </c>
    </row>
    <row r="247" spans="1:16" x14ac:dyDescent="0.25">
      <c r="A247" t="s">
        <v>746</v>
      </c>
      <c r="B247" t="s">
        <v>412</v>
      </c>
      <c r="C247" t="s">
        <v>747</v>
      </c>
      <c r="D247" t="s">
        <v>117</v>
      </c>
      <c r="E247" t="s">
        <v>46</v>
      </c>
      <c r="F247">
        <v>130</v>
      </c>
      <c r="G247" t="s">
        <v>86</v>
      </c>
      <c r="H247" t="s">
        <v>39</v>
      </c>
      <c r="I247" t="s">
        <v>40</v>
      </c>
      <c r="J247">
        <v>165.99</v>
      </c>
      <c r="K247">
        <v>-2</v>
      </c>
      <c r="L247">
        <v>15</v>
      </c>
      <c r="N247" t="s">
        <v>91</v>
      </c>
      <c r="O247" t="s">
        <v>65</v>
      </c>
    </row>
    <row r="248" spans="1:16" x14ac:dyDescent="0.25">
      <c r="A248" t="s">
        <v>748</v>
      </c>
      <c r="B248" t="s">
        <v>749</v>
      </c>
      <c r="C248" t="s">
        <v>750</v>
      </c>
      <c r="D248" t="s">
        <v>101</v>
      </c>
      <c r="E248" t="s">
        <v>46</v>
      </c>
      <c r="F248">
        <v>52</v>
      </c>
      <c r="G248" t="s">
        <v>86</v>
      </c>
      <c r="H248" t="s">
        <v>22</v>
      </c>
      <c r="I248" t="s">
        <v>23</v>
      </c>
      <c r="J248">
        <v>305.92</v>
      </c>
      <c r="K248">
        <v>4</v>
      </c>
      <c r="L248">
        <v>15</v>
      </c>
      <c r="M248" t="s">
        <v>77</v>
      </c>
      <c r="N248" t="s">
        <v>91</v>
      </c>
      <c r="O248" t="s">
        <v>82</v>
      </c>
      <c r="P248">
        <v>3</v>
      </c>
    </row>
    <row r="249" spans="1:16" x14ac:dyDescent="0.25">
      <c r="A249" t="s">
        <v>751</v>
      </c>
      <c r="B249" t="s">
        <v>752</v>
      </c>
      <c r="C249" t="s">
        <v>753</v>
      </c>
      <c r="D249" t="s">
        <v>45</v>
      </c>
      <c r="E249" t="s">
        <v>20</v>
      </c>
      <c r="F249">
        <v>8</v>
      </c>
      <c r="G249" t="s">
        <v>86</v>
      </c>
      <c r="H249" t="s">
        <v>31</v>
      </c>
      <c r="I249" t="s">
        <v>32</v>
      </c>
      <c r="J249">
        <v>451.34</v>
      </c>
      <c r="K249">
        <v>8</v>
      </c>
      <c r="L249">
        <v>15</v>
      </c>
      <c r="M249" t="s">
        <v>59</v>
      </c>
      <c r="N249" t="s">
        <v>81</v>
      </c>
      <c r="O249" t="s">
        <v>65</v>
      </c>
    </row>
    <row r="250" spans="1:16" x14ac:dyDescent="0.25">
      <c r="A250" t="s">
        <v>343</v>
      </c>
      <c r="B250" t="s">
        <v>754</v>
      </c>
      <c r="C250" t="s">
        <v>755</v>
      </c>
      <c r="D250" t="s">
        <v>19</v>
      </c>
      <c r="E250" t="s">
        <v>20</v>
      </c>
      <c r="F250">
        <v>26</v>
      </c>
      <c r="G250" t="s">
        <v>70</v>
      </c>
      <c r="H250" t="s">
        <v>87</v>
      </c>
      <c r="I250" t="s">
        <v>49</v>
      </c>
      <c r="J250">
        <v>205.76</v>
      </c>
      <c r="K250">
        <v>-2</v>
      </c>
      <c r="L250">
        <v>5</v>
      </c>
      <c r="N250" t="s">
        <v>41</v>
      </c>
      <c r="O250" t="s">
        <v>33</v>
      </c>
      <c r="P250">
        <v>2</v>
      </c>
    </row>
    <row r="251" spans="1:16" x14ac:dyDescent="0.25">
      <c r="A251" t="s">
        <v>756</v>
      </c>
      <c r="B251" t="s">
        <v>757</v>
      </c>
      <c r="C251" t="s">
        <v>758</v>
      </c>
      <c r="D251" t="s">
        <v>117</v>
      </c>
      <c r="E251" t="s">
        <v>20</v>
      </c>
      <c r="F251">
        <v>8</v>
      </c>
      <c r="G251" t="s">
        <v>30</v>
      </c>
      <c r="H251" t="s">
        <v>54</v>
      </c>
      <c r="I251" t="s">
        <v>55</v>
      </c>
      <c r="J251">
        <v>300.24</v>
      </c>
      <c r="K251">
        <v>7</v>
      </c>
      <c r="L251">
        <v>5</v>
      </c>
      <c r="M251" t="s">
        <v>59</v>
      </c>
      <c r="N251" t="s">
        <v>91</v>
      </c>
      <c r="O251" t="s">
        <v>33</v>
      </c>
      <c r="P251">
        <v>3</v>
      </c>
    </row>
    <row r="252" spans="1:16" x14ac:dyDescent="0.25">
      <c r="A252" t="s">
        <v>759</v>
      </c>
      <c r="B252" t="s">
        <v>760</v>
      </c>
      <c r="C252" t="s">
        <v>761</v>
      </c>
      <c r="E252" t="s">
        <v>46</v>
      </c>
      <c r="F252">
        <v>130</v>
      </c>
      <c r="G252" t="s">
        <v>21</v>
      </c>
      <c r="H252" t="s">
        <v>22</v>
      </c>
      <c r="I252" t="s">
        <v>23</v>
      </c>
      <c r="J252">
        <v>194.88</v>
      </c>
      <c r="K252">
        <v>3</v>
      </c>
      <c r="L252">
        <v>-10</v>
      </c>
      <c r="M252" t="s">
        <v>77</v>
      </c>
      <c r="N252" t="s">
        <v>91</v>
      </c>
      <c r="O252" t="s">
        <v>65</v>
      </c>
      <c r="P252">
        <v>5</v>
      </c>
    </row>
    <row r="253" spans="1:16" x14ac:dyDescent="0.25">
      <c r="A253" t="s">
        <v>762</v>
      </c>
      <c r="B253" t="s">
        <v>763</v>
      </c>
      <c r="C253" t="s">
        <v>764</v>
      </c>
      <c r="D253" t="s">
        <v>69</v>
      </c>
      <c r="E253" t="s">
        <v>46</v>
      </c>
      <c r="F253">
        <v>130</v>
      </c>
      <c r="G253" t="s">
        <v>70</v>
      </c>
      <c r="H253" t="s">
        <v>87</v>
      </c>
      <c r="I253" t="s">
        <v>49</v>
      </c>
      <c r="J253">
        <v>125.84</v>
      </c>
      <c r="K253">
        <v>5</v>
      </c>
      <c r="L253">
        <v>-10</v>
      </c>
      <c r="M253" t="s">
        <v>24</v>
      </c>
      <c r="N253" t="s">
        <v>25</v>
      </c>
      <c r="O253" t="s">
        <v>65</v>
      </c>
      <c r="P253">
        <v>2</v>
      </c>
    </row>
    <row r="254" spans="1:16" x14ac:dyDescent="0.25">
      <c r="A254" t="s">
        <v>765</v>
      </c>
      <c r="B254" t="s">
        <v>455</v>
      </c>
      <c r="C254" t="s">
        <v>766</v>
      </c>
      <c r="D254" t="s">
        <v>19</v>
      </c>
      <c r="E254" t="s">
        <v>46</v>
      </c>
      <c r="F254">
        <v>8</v>
      </c>
      <c r="G254" t="s">
        <v>30</v>
      </c>
      <c r="H254" t="s">
        <v>48</v>
      </c>
      <c r="I254" t="s">
        <v>49</v>
      </c>
      <c r="J254">
        <v>50.18</v>
      </c>
      <c r="K254">
        <v>-2</v>
      </c>
      <c r="L254">
        <v>0</v>
      </c>
      <c r="M254" t="s">
        <v>59</v>
      </c>
      <c r="N254" t="s">
        <v>81</v>
      </c>
      <c r="O254" t="s">
        <v>82</v>
      </c>
    </row>
    <row r="255" spans="1:16" x14ac:dyDescent="0.25">
      <c r="A255" t="s">
        <v>767</v>
      </c>
      <c r="B255" t="s">
        <v>768</v>
      </c>
      <c r="C255" t="s">
        <v>769</v>
      </c>
      <c r="D255" t="s">
        <v>117</v>
      </c>
      <c r="E255" t="s">
        <v>20</v>
      </c>
      <c r="F255">
        <v>8</v>
      </c>
      <c r="G255" t="s">
        <v>38</v>
      </c>
      <c r="H255" t="s">
        <v>39</v>
      </c>
      <c r="I255" t="s">
        <v>40</v>
      </c>
      <c r="J255">
        <v>229.48</v>
      </c>
      <c r="K255">
        <v>-2</v>
      </c>
      <c r="L255">
        <v>10</v>
      </c>
      <c r="M255" t="s">
        <v>24</v>
      </c>
      <c r="N255" t="s">
        <v>25</v>
      </c>
      <c r="O255" t="s">
        <v>82</v>
      </c>
      <c r="P255">
        <v>2</v>
      </c>
    </row>
    <row r="256" spans="1:16" x14ac:dyDescent="0.25">
      <c r="A256" t="s">
        <v>770</v>
      </c>
      <c r="B256" t="s">
        <v>771</v>
      </c>
      <c r="C256" t="s">
        <v>772</v>
      </c>
      <c r="E256" t="s">
        <v>20</v>
      </c>
      <c r="F256">
        <v>130</v>
      </c>
      <c r="G256" t="s">
        <v>47</v>
      </c>
      <c r="H256" t="s">
        <v>121</v>
      </c>
      <c r="I256" t="s">
        <v>122</v>
      </c>
      <c r="J256">
        <v>397.89</v>
      </c>
      <c r="K256">
        <v>-2</v>
      </c>
      <c r="L256">
        <v>-10</v>
      </c>
      <c r="M256" t="s">
        <v>24</v>
      </c>
      <c r="N256" t="s">
        <v>25</v>
      </c>
      <c r="O256" t="s">
        <v>33</v>
      </c>
      <c r="P256">
        <v>2</v>
      </c>
    </row>
    <row r="257" spans="1:16" x14ac:dyDescent="0.25">
      <c r="A257" t="s">
        <v>773</v>
      </c>
      <c r="B257" t="s">
        <v>774</v>
      </c>
      <c r="C257" t="s">
        <v>775</v>
      </c>
      <c r="D257" t="s">
        <v>37</v>
      </c>
      <c r="E257" t="s">
        <v>20</v>
      </c>
      <c r="F257">
        <v>130</v>
      </c>
      <c r="G257" t="s">
        <v>47</v>
      </c>
      <c r="H257" t="s">
        <v>39</v>
      </c>
      <c r="I257" t="s">
        <v>40</v>
      </c>
      <c r="J257">
        <v>162.24</v>
      </c>
      <c r="K257">
        <v>-2</v>
      </c>
      <c r="L257">
        <v>10</v>
      </c>
      <c r="M257" t="s">
        <v>77</v>
      </c>
      <c r="N257" t="s">
        <v>91</v>
      </c>
      <c r="O257" t="s">
        <v>33</v>
      </c>
      <c r="P257">
        <v>2</v>
      </c>
    </row>
    <row r="258" spans="1:16" x14ac:dyDescent="0.25">
      <c r="A258" t="s">
        <v>776</v>
      </c>
      <c r="B258" t="s">
        <v>777</v>
      </c>
      <c r="C258" t="s">
        <v>778</v>
      </c>
      <c r="D258" t="s">
        <v>37</v>
      </c>
      <c r="E258" t="s">
        <v>20</v>
      </c>
      <c r="F258">
        <v>130</v>
      </c>
      <c r="G258" t="s">
        <v>38</v>
      </c>
      <c r="H258" t="s">
        <v>39</v>
      </c>
      <c r="I258" t="s">
        <v>40</v>
      </c>
      <c r="J258">
        <v>139.97999999999999</v>
      </c>
      <c r="K258">
        <v>10</v>
      </c>
      <c r="L258">
        <v>0</v>
      </c>
      <c r="M258" t="s">
        <v>59</v>
      </c>
      <c r="N258" t="s">
        <v>25</v>
      </c>
      <c r="O258" t="s">
        <v>33</v>
      </c>
      <c r="P258">
        <v>3</v>
      </c>
    </row>
    <row r="259" spans="1:16" x14ac:dyDescent="0.25">
      <c r="A259" t="s">
        <v>779</v>
      </c>
      <c r="B259" t="s">
        <v>780</v>
      </c>
      <c r="C259" t="s">
        <v>781</v>
      </c>
      <c r="D259" t="s">
        <v>63</v>
      </c>
      <c r="E259" t="s">
        <v>46</v>
      </c>
      <c r="F259">
        <v>36</v>
      </c>
      <c r="G259" t="s">
        <v>47</v>
      </c>
      <c r="H259" t="s">
        <v>54</v>
      </c>
      <c r="I259" t="s">
        <v>55</v>
      </c>
      <c r="J259">
        <v>261.94</v>
      </c>
      <c r="K259">
        <v>6</v>
      </c>
      <c r="L259">
        <v>10</v>
      </c>
      <c r="M259" t="s">
        <v>77</v>
      </c>
      <c r="N259" t="s">
        <v>25</v>
      </c>
      <c r="O259" t="s">
        <v>65</v>
      </c>
      <c r="P259">
        <v>4</v>
      </c>
    </row>
    <row r="260" spans="1:16" x14ac:dyDescent="0.25">
      <c r="A260" t="s">
        <v>782</v>
      </c>
      <c r="B260" t="s">
        <v>783</v>
      </c>
      <c r="C260" t="s">
        <v>699</v>
      </c>
      <c r="D260" t="s">
        <v>101</v>
      </c>
      <c r="E260" t="s">
        <v>20</v>
      </c>
      <c r="F260">
        <v>8</v>
      </c>
      <c r="G260" t="s">
        <v>47</v>
      </c>
      <c r="H260" t="s">
        <v>121</v>
      </c>
      <c r="I260" t="s">
        <v>122</v>
      </c>
      <c r="J260">
        <v>487.03</v>
      </c>
      <c r="K260">
        <v>-2</v>
      </c>
      <c r="L260">
        <v>10</v>
      </c>
      <c r="M260" t="s">
        <v>59</v>
      </c>
      <c r="N260" t="s">
        <v>91</v>
      </c>
      <c r="O260" t="s">
        <v>82</v>
      </c>
      <c r="P260">
        <v>1</v>
      </c>
    </row>
    <row r="261" spans="1:16" x14ac:dyDescent="0.25">
      <c r="A261" t="s">
        <v>784</v>
      </c>
      <c r="B261" t="s">
        <v>785</v>
      </c>
      <c r="C261" t="s">
        <v>786</v>
      </c>
      <c r="D261" t="s">
        <v>117</v>
      </c>
      <c r="E261" t="s">
        <v>46</v>
      </c>
      <c r="F261">
        <v>47</v>
      </c>
      <c r="G261" t="s">
        <v>21</v>
      </c>
      <c r="H261" t="s">
        <v>22</v>
      </c>
      <c r="I261" t="s">
        <v>23</v>
      </c>
      <c r="J261">
        <v>222.18</v>
      </c>
      <c r="K261">
        <v>-2</v>
      </c>
      <c r="L261">
        <v>-10</v>
      </c>
      <c r="N261" t="s">
        <v>81</v>
      </c>
      <c r="O261" t="s">
        <v>26</v>
      </c>
      <c r="P261">
        <v>3</v>
      </c>
    </row>
    <row r="262" spans="1:16" x14ac:dyDescent="0.25">
      <c r="A262" t="s">
        <v>787</v>
      </c>
      <c r="B262" t="s">
        <v>788</v>
      </c>
      <c r="C262" t="s">
        <v>789</v>
      </c>
      <c r="D262" t="s">
        <v>45</v>
      </c>
      <c r="E262" t="s">
        <v>46</v>
      </c>
      <c r="F262">
        <v>49</v>
      </c>
      <c r="G262" t="s">
        <v>38</v>
      </c>
      <c r="H262" t="s">
        <v>121</v>
      </c>
      <c r="I262" t="s">
        <v>122</v>
      </c>
      <c r="J262">
        <v>198.37</v>
      </c>
      <c r="K262">
        <v>2</v>
      </c>
      <c r="L262">
        <v>-10</v>
      </c>
      <c r="M262" t="s">
        <v>24</v>
      </c>
      <c r="N262" t="s">
        <v>25</v>
      </c>
      <c r="O262" t="s">
        <v>26</v>
      </c>
      <c r="P262">
        <v>4</v>
      </c>
    </row>
    <row r="263" spans="1:16" x14ac:dyDescent="0.25">
      <c r="A263" t="s">
        <v>790</v>
      </c>
      <c r="B263" t="s">
        <v>791</v>
      </c>
      <c r="C263" t="s">
        <v>792</v>
      </c>
      <c r="D263" t="s">
        <v>19</v>
      </c>
      <c r="E263" t="s">
        <v>20</v>
      </c>
      <c r="F263">
        <v>38</v>
      </c>
      <c r="G263" t="s">
        <v>47</v>
      </c>
      <c r="H263" t="s">
        <v>39</v>
      </c>
      <c r="I263" t="s">
        <v>40</v>
      </c>
      <c r="J263">
        <v>463.54</v>
      </c>
      <c r="K263">
        <v>10</v>
      </c>
      <c r="L263">
        <v>15</v>
      </c>
      <c r="M263" t="s">
        <v>77</v>
      </c>
      <c r="N263" t="s">
        <v>41</v>
      </c>
      <c r="O263" t="s">
        <v>65</v>
      </c>
      <c r="P263">
        <v>2</v>
      </c>
    </row>
    <row r="264" spans="1:16" x14ac:dyDescent="0.25">
      <c r="A264" t="s">
        <v>793</v>
      </c>
      <c r="B264" t="s">
        <v>794</v>
      </c>
      <c r="C264" t="s">
        <v>795</v>
      </c>
      <c r="D264" t="s">
        <v>19</v>
      </c>
      <c r="E264" t="s">
        <v>46</v>
      </c>
      <c r="F264">
        <v>130</v>
      </c>
      <c r="G264" t="s">
        <v>30</v>
      </c>
      <c r="H264" t="s">
        <v>87</v>
      </c>
      <c r="I264" t="s">
        <v>49</v>
      </c>
      <c r="J264">
        <v>149.38</v>
      </c>
      <c r="K264">
        <v>-2</v>
      </c>
      <c r="L264">
        <v>15</v>
      </c>
      <c r="M264" t="s">
        <v>64</v>
      </c>
      <c r="N264" t="s">
        <v>25</v>
      </c>
      <c r="O264" t="s">
        <v>26</v>
      </c>
      <c r="P264">
        <v>5</v>
      </c>
    </row>
    <row r="265" spans="1:16" x14ac:dyDescent="0.25">
      <c r="A265" t="s">
        <v>796</v>
      </c>
      <c r="B265" t="s">
        <v>130</v>
      </c>
      <c r="C265" t="s">
        <v>797</v>
      </c>
      <c r="D265" t="s">
        <v>101</v>
      </c>
      <c r="E265" t="s">
        <v>46</v>
      </c>
      <c r="F265">
        <v>8</v>
      </c>
      <c r="G265" t="s">
        <v>38</v>
      </c>
      <c r="H265" t="s">
        <v>31</v>
      </c>
      <c r="I265" t="s">
        <v>32</v>
      </c>
      <c r="J265">
        <v>420.97</v>
      </c>
      <c r="K265">
        <v>-2</v>
      </c>
      <c r="L265">
        <v>120</v>
      </c>
      <c r="N265" t="s">
        <v>91</v>
      </c>
      <c r="O265" t="s">
        <v>26</v>
      </c>
      <c r="P265">
        <v>2</v>
      </c>
    </row>
    <row r="266" spans="1:16" x14ac:dyDescent="0.25">
      <c r="A266" t="s">
        <v>798</v>
      </c>
      <c r="B266" t="s">
        <v>799</v>
      </c>
      <c r="C266" t="s">
        <v>800</v>
      </c>
      <c r="D266" t="s">
        <v>69</v>
      </c>
      <c r="E266" t="s">
        <v>20</v>
      </c>
      <c r="F266">
        <v>8</v>
      </c>
      <c r="G266" t="s">
        <v>53</v>
      </c>
      <c r="H266" t="s">
        <v>31</v>
      </c>
      <c r="I266" t="s">
        <v>32</v>
      </c>
      <c r="J266">
        <v>250.35</v>
      </c>
      <c r="K266">
        <v>6</v>
      </c>
      <c r="L266">
        <v>15</v>
      </c>
      <c r="M266" t="s">
        <v>77</v>
      </c>
      <c r="N266" t="s">
        <v>91</v>
      </c>
      <c r="O266" t="s">
        <v>26</v>
      </c>
      <c r="P266">
        <v>5</v>
      </c>
    </row>
    <row r="267" spans="1:16" x14ac:dyDescent="0.25">
      <c r="A267" t="s">
        <v>801</v>
      </c>
      <c r="B267" t="s">
        <v>802</v>
      </c>
      <c r="C267" t="s">
        <v>803</v>
      </c>
      <c r="E267" t="s">
        <v>46</v>
      </c>
      <c r="F267">
        <v>8</v>
      </c>
      <c r="G267" t="s">
        <v>70</v>
      </c>
      <c r="H267" t="s">
        <v>39</v>
      </c>
      <c r="I267" t="s">
        <v>40</v>
      </c>
      <c r="J267">
        <v>259.60000000000002</v>
      </c>
      <c r="K267">
        <v>5</v>
      </c>
      <c r="L267">
        <v>120</v>
      </c>
      <c r="M267" t="s">
        <v>24</v>
      </c>
      <c r="N267" t="s">
        <v>41</v>
      </c>
      <c r="O267" t="s">
        <v>65</v>
      </c>
      <c r="P267">
        <v>2</v>
      </c>
    </row>
    <row r="268" spans="1:16" x14ac:dyDescent="0.25">
      <c r="A268" t="s">
        <v>804</v>
      </c>
      <c r="B268" t="s">
        <v>403</v>
      </c>
      <c r="C268" t="s">
        <v>805</v>
      </c>
      <c r="D268" t="s">
        <v>101</v>
      </c>
      <c r="E268" t="s">
        <v>20</v>
      </c>
      <c r="F268">
        <v>130</v>
      </c>
      <c r="G268" t="s">
        <v>86</v>
      </c>
      <c r="H268" t="s">
        <v>121</v>
      </c>
      <c r="I268" t="s">
        <v>122</v>
      </c>
      <c r="J268">
        <v>120.62</v>
      </c>
      <c r="K268">
        <v>-2</v>
      </c>
      <c r="L268">
        <v>-10</v>
      </c>
      <c r="N268" t="s">
        <v>25</v>
      </c>
      <c r="O268" t="s">
        <v>26</v>
      </c>
      <c r="P268">
        <v>2</v>
      </c>
    </row>
    <row r="269" spans="1:16" x14ac:dyDescent="0.25">
      <c r="A269" t="s">
        <v>806</v>
      </c>
      <c r="B269" t="s">
        <v>807</v>
      </c>
      <c r="C269" t="s">
        <v>808</v>
      </c>
      <c r="D269" t="s">
        <v>19</v>
      </c>
      <c r="E269" t="s">
        <v>46</v>
      </c>
      <c r="F269">
        <v>130</v>
      </c>
      <c r="G269" t="s">
        <v>38</v>
      </c>
      <c r="H269" t="s">
        <v>121</v>
      </c>
      <c r="I269" t="s">
        <v>122</v>
      </c>
      <c r="J269">
        <v>314.72000000000003</v>
      </c>
      <c r="K269">
        <v>5</v>
      </c>
      <c r="L269">
        <v>10</v>
      </c>
      <c r="N269" t="s">
        <v>91</v>
      </c>
      <c r="O269" t="s">
        <v>82</v>
      </c>
      <c r="P269">
        <v>2</v>
      </c>
    </row>
    <row r="270" spans="1:16" x14ac:dyDescent="0.25">
      <c r="A270" t="s">
        <v>809</v>
      </c>
      <c r="B270" t="s">
        <v>810</v>
      </c>
      <c r="C270" t="s">
        <v>811</v>
      </c>
      <c r="D270" t="s">
        <v>19</v>
      </c>
      <c r="E270" t="s">
        <v>20</v>
      </c>
      <c r="F270">
        <v>130</v>
      </c>
      <c r="G270" t="s">
        <v>30</v>
      </c>
      <c r="H270" t="s">
        <v>121</v>
      </c>
      <c r="I270" t="s">
        <v>122</v>
      </c>
      <c r="J270">
        <v>363.06</v>
      </c>
      <c r="K270">
        <v>-2</v>
      </c>
      <c r="L270">
        <v>10</v>
      </c>
      <c r="M270" t="s">
        <v>24</v>
      </c>
      <c r="N270" t="s">
        <v>81</v>
      </c>
      <c r="O270" t="s">
        <v>33</v>
      </c>
      <c r="P270">
        <v>5</v>
      </c>
    </row>
    <row r="271" spans="1:16" x14ac:dyDescent="0.25">
      <c r="A271" t="s">
        <v>812</v>
      </c>
      <c r="B271" t="s">
        <v>229</v>
      </c>
      <c r="C271" t="s">
        <v>813</v>
      </c>
      <c r="D271" t="s">
        <v>37</v>
      </c>
      <c r="E271" t="s">
        <v>46</v>
      </c>
      <c r="F271">
        <v>8</v>
      </c>
      <c r="G271" t="s">
        <v>70</v>
      </c>
      <c r="H271" t="s">
        <v>87</v>
      </c>
      <c r="I271" t="s">
        <v>49</v>
      </c>
      <c r="J271">
        <v>234.27</v>
      </c>
      <c r="K271">
        <v>6</v>
      </c>
      <c r="L271">
        <v>120</v>
      </c>
      <c r="M271" t="s">
        <v>77</v>
      </c>
      <c r="N271" t="s">
        <v>25</v>
      </c>
      <c r="O271" t="s">
        <v>26</v>
      </c>
      <c r="P271">
        <v>5</v>
      </c>
    </row>
    <row r="272" spans="1:16" x14ac:dyDescent="0.25">
      <c r="A272" t="s">
        <v>814</v>
      </c>
      <c r="B272" t="s">
        <v>708</v>
      </c>
      <c r="C272" t="s">
        <v>815</v>
      </c>
      <c r="D272" t="s">
        <v>69</v>
      </c>
      <c r="E272" t="s">
        <v>20</v>
      </c>
      <c r="F272">
        <v>8</v>
      </c>
      <c r="G272" t="s">
        <v>86</v>
      </c>
      <c r="H272" t="s">
        <v>22</v>
      </c>
      <c r="I272" t="s">
        <v>23</v>
      </c>
      <c r="J272">
        <v>114.87</v>
      </c>
      <c r="K272">
        <v>2</v>
      </c>
      <c r="L272">
        <v>-10</v>
      </c>
      <c r="M272" t="s">
        <v>77</v>
      </c>
      <c r="N272" t="s">
        <v>81</v>
      </c>
      <c r="O272" t="s">
        <v>26</v>
      </c>
      <c r="P272">
        <v>5</v>
      </c>
    </row>
    <row r="273" spans="1:16" x14ac:dyDescent="0.25">
      <c r="A273" t="s">
        <v>816</v>
      </c>
      <c r="B273" t="s">
        <v>817</v>
      </c>
      <c r="C273" t="s">
        <v>818</v>
      </c>
      <c r="D273" t="s">
        <v>117</v>
      </c>
      <c r="E273" t="s">
        <v>46</v>
      </c>
      <c r="F273">
        <v>130</v>
      </c>
      <c r="G273" t="s">
        <v>53</v>
      </c>
      <c r="H273" t="s">
        <v>87</v>
      </c>
      <c r="I273" t="s">
        <v>49</v>
      </c>
      <c r="J273">
        <v>251.75</v>
      </c>
      <c r="K273">
        <v>3</v>
      </c>
      <c r="L273">
        <v>0</v>
      </c>
      <c r="M273" t="s">
        <v>59</v>
      </c>
      <c r="N273" t="s">
        <v>91</v>
      </c>
      <c r="O273" t="s">
        <v>26</v>
      </c>
      <c r="P273">
        <v>2</v>
      </c>
    </row>
    <row r="274" spans="1:16" x14ac:dyDescent="0.25">
      <c r="A274" t="s">
        <v>819</v>
      </c>
      <c r="B274" t="s">
        <v>820</v>
      </c>
      <c r="C274" t="s">
        <v>821</v>
      </c>
      <c r="D274" t="s">
        <v>63</v>
      </c>
      <c r="E274" t="s">
        <v>46</v>
      </c>
      <c r="F274">
        <v>130</v>
      </c>
      <c r="G274" t="s">
        <v>70</v>
      </c>
      <c r="H274" t="s">
        <v>121</v>
      </c>
      <c r="I274" t="s">
        <v>122</v>
      </c>
      <c r="J274">
        <v>291.39999999999998</v>
      </c>
      <c r="K274">
        <v>-2</v>
      </c>
      <c r="L274">
        <v>15</v>
      </c>
      <c r="M274" t="s">
        <v>77</v>
      </c>
      <c r="N274" t="s">
        <v>41</v>
      </c>
      <c r="O274" t="s">
        <v>65</v>
      </c>
    </row>
    <row r="275" spans="1:16" x14ac:dyDescent="0.25">
      <c r="A275" t="s">
        <v>822</v>
      </c>
      <c r="B275" t="s">
        <v>61</v>
      </c>
      <c r="C275" t="s">
        <v>823</v>
      </c>
      <c r="D275" t="s">
        <v>37</v>
      </c>
      <c r="E275" t="s">
        <v>20</v>
      </c>
      <c r="F275">
        <v>8</v>
      </c>
      <c r="G275" t="s">
        <v>30</v>
      </c>
      <c r="H275" t="s">
        <v>22</v>
      </c>
      <c r="I275" t="s">
        <v>23</v>
      </c>
      <c r="J275">
        <v>377.27</v>
      </c>
      <c r="K275">
        <v>-2</v>
      </c>
      <c r="L275">
        <v>120</v>
      </c>
      <c r="M275" t="s">
        <v>77</v>
      </c>
      <c r="N275" t="s">
        <v>81</v>
      </c>
      <c r="O275" t="s">
        <v>65</v>
      </c>
      <c r="P275">
        <v>4</v>
      </c>
    </row>
    <row r="276" spans="1:16" x14ac:dyDescent="0.25">
      <c r="A276" t="s">
        <v>824</v>
      </c>
      <c r="B276" t="s">
        <v>825</v>
      </c>
      <c r="C276" t="s">
        <v>826</v>
      </c>
      <c r="D276" t="s">
        <v>63</v>
      </c>
      <c r="E276" t="s">
        <v>20</v>
      </c>
      <c r="F276">
        <v>64</v>
      </c>
      <c r="G276" t="s">
        <v>53</v>
      </c>
      <c r="H276" t="s">
        <v>87</v>
      </c>
      <c r="I276" t="s">
        <v>49</v>
      </c>
      <c r="J276">
        <v>421.9</v>
      </c>
      <c r="K276">
        <v>8</v>
      </c>
      <c r="L276">
        <v>-10</v>
      </c>
      <c r="M276" t="s">
        <v>59</v>
      </c>
      <c r="N276" t="s">
        <v>81</v>
      </c>
      <c r="O276" t="s">
        <v>33</v>
      </c>
      <c r="P276">
        <v>4</v>
      </c>
    </row>
    <row r="277" spans="1:16" x14ac:dyDescent="0.25">
      <c r="A277" t="s">
        <v>827</v>
      </c>
      <c r="B277" t="s">
        <v>828</v>
      </c>
      <c r="C277" t="s">
        <v>829</v>
      </c>
      <c r="E277" t="s">
        <v>20</v>
      </c>
      <c r="F277">
        <v>130</v>
      </c>
      <c r="G277" t="s">
        <v>47</v>
      </c>
      <c r="H277" t="s">
        <v>22</v>
      </c>
      <c r="I277" t="s">
        <v>23</v>
      </c>
      <c r="J277">
        <v>463.7</v>
      </c>
      <c r="K277">
        <v>-2</v>
      </c>
      <c r="L277">
        <v>10</v>
      </c>
      <c r="M277" t="s">
        <v>24</v>
      </c>
      <c r="N277" t="s">
        <v>25</v>
      </c>
      <c r="O277" t="s">
        <v>82</v>
      </c>
      <c r="P277">
        <v>2</v>
      </c>
    </row>
    <row r="278" spans="1:16" x14ac:dyDescent="0.25">
      <c r="A278" t="s">
        <v>830</v>
      </c>
      <c r="B278" t="s">
        <v>831</v>
      </c>
      <c r="C278" t="s">
        <v>832</v>
      </c>
      <c r="D278" t="s">
        <v>117</v>
      </c>
      <c r="E278" t="s">
        <v>20</v>
      </c>
      <c r="F278">
        <v>8</v>
      </c>
      <c r="G278" t="s">
        <v>38</v>
      </c>
      <c r="H278" t="s">
        <v>48</v>
      </c>
      <c r="I278" t="s">
        <v>49</v>
      </c>
      <c r="J278">
        <v>311.81</v>
      </c>
      <c r="K278">
        <v>-2</v>
      </c>
      <c r="L278">
        <v>5</v>
      </c>
      <c r="N278" t="s">
        <v>25</v>
      </c>
      <c r="O278" t="s">
        <v>26</v>
      </c>
      <c r="P278">
        <v>2</v>
      </c>
    </row>
    <row r="279" spans="1:16" x14ac:dyDescent="0.25">
      <c r="A279" t="s">
        <v>833</v>
      </c>
      <c r="B279" t="s">
        <v>587</v>
      </c>
      <c r="C279" t="s">
        <v>834</v>
      </c>
      <c r="D279" t="s">
        <v>37</v>
      </c>
      <c r="E279" t="s">
        <v>20</v>
      </c>
      <c r="F279">
        <v>58</v>
      </c>
      <c r="G279" t="s">
        <v>53</v>
      </c>
      <c r="H279" t="s">
        <v>48</v>
      </c>
      <c r="I279" t="s">
        <v>49</v>
      </c>
      <c r="J279">
        <v>126.95</v>
      </c>
      <c r="K279">
        <v>9</v>
      </c>
      <c r="L279">
        <v>-10</v>
      </c>
      <c r="M279" t="s">
        <v>59</v>
      </c>
      <c r="N279" t="s">
        <v>91</v>
      </c>
      <c r="O279" t="s">
        <v>82</v>
      </c>
      <c r="P279">
        <v>1</v>
      </c>
    </row>
    <row r="280" spans="1:16" x14ac:dyDescent="0.25">
      <c r="A280" t="s">
        <v>835</v>
      </c>
      <c r="B280" t="s">
        <v>836</v>
      </c>
      <c r="C280" t="s">
        <v>837</v>
      </c>
      <c r="D280" t="s">
        <v>19</v>
      </c>
      <c r="E280" t="s">
        <v>20</v>
      </c>
      <c r="F280">
        <v>8</v>
      </c>
      <c r="G280" t="s">
        <v>38</v>
      </c>
      <c r="H280" t="s">
        <v>54</v>
      </c>
      <c r="I280" t="s">
        <v>55</v>
      </c>
      <c r="J280">
        <v>255.74</v>
      </c>
      <c r="K280">
        <v>-2</v>
      </c>
      <c r="L280">
        <v>120</v>
      </c>
      <c r="M280" t="s">
        <v>24</v>
      </c>
      <c r="N280" t="s">
        <v>91</v>
      </c>
      <c r="O280" t="s">
        <v>26</v>
      </c>
      <c r="P280">
        <v>4</v>
      </c>
    </row>
    <row r="281" spans="1:16" x14ac:dyDescent="0.25">
      <c r="A281" t="s">
        <v>838</v>
      </c>
      <c r="B281" t="s">
        <v>315</v>
      </c>
      <c r="C281" t="s">
        <v>839</v>
      </c>
      <c r="D281" t="s">
        <v>19</v>
      </c>
      <c r="E281" t="s">
        <v>46</v>
      </c>
      <c r="F281">
        <v>130</v>
      </c>
      <c r="G281" t="s">
        <v>21</v>
      </c>
      <c r="H281" t="s">
        <v>31</v>
      </c>
      <c r="I281" t="s">
        <v>32</v>
      </c>
      <c r="J281">
        <v>449.44</v>
      </c>
      <c r="K281">
        <v>-2</v>
      </c>
      <c r="L281">
        <v>10</v>
      </c>
      <c r="M281" t="s">
        <v>64</v>
      </c>
      <c r="N281" t="s">
        <v>81</v>
      </c>
      <c r="O281" t="s">
        <v>26</v>
      </c>
      <c r="P281">
        <v>5</v>
      </c>
    </row>
    <row r="282" spans="1:16" x14ac:dyDescent="0.25">
      <c r="A282" t="s">
        <v>840</v>
      </c>
      <c r="B282" t="s">
        <v>841</v>
      </c>
      <c r="C282" t="s">
        <v>842</v>
      </c>
      <c r="E282" t="s">
        <v>20</v>
      </c>
      <c r="F282">
        <v>130</v>
      </c>
      <c r="G282" t="s">
        <v>38</v>
      </c>
      <c r="H282" t="s">
        <v>31</v>
      </c>
      <c r="I282" t="s">
        <v>32</v>
      </c>
      <c r="J282">
        <v>28.4</v>
      </c>
      <c r="K282">
        <v>-2</v>
      </c>
      <c r="L282">
        <v>-10</v>
      </c>
      <c r="M282" t="s">
        <v>24</v>
      </c>
      <c r="N282" t="s">
        <v>41</v>
      </c>
      <c r="O282" t="s">
        <v>82</v>
      </c>
      <c r="P282">
        <v>3</v>
      </c>
    </row>
    <row r="283" spans="1:16" x14ac:dyDescent="0.25">
      <c r="A283" t="s">
        <v>843</v>
      </c>
      <c r="B283" t="s">
        <v>844</v>
      </c>
      <c r="C283" t="s">
        <v>845</v>
      </c>
      <c r="D283" t="s">
        <v>117</v>
      </c>
      <c r="E283" t="s">
        <v>46</v>
      </c>
      <c r="F283">
        <v>130</v>
      </c>
      <c r="G283" t="s">
        <v>30</v>
      </c>
      <c r="H283" t="s">
        <v>121</v>
      </c>
      <c r="I283" t="s">
        <v>122</v>
      </c>
      <c r="J283">
        <v>68.55</v>
      </c>
      <c r="K283">
        <v>10</v>
      </c>
      <c r="L283">
        <v>10</v>
      </c>
      <c r="N283" t="s">
        <v>41</v>
      </c>
      <c r="O283" t="s">
        <v>33</v>
      </c>
    </row>
    <row r="284" spans="1:16" x14ac:dyDescent="0.25">
      <c r="A284" t="s">
        <v>846</v>
      </c>
      <c r="B284" t="s">
        <v>810</v>
      </c>
      <c r="C284" t="s">
        <v>847</v>
      </c>
      <c r="D284" t="s">
        <v>45</v>
      </c>
      <c r="E284" t="s">
        <v>46</v>
      </c>
      <c r="F284">
        <v>130</v>
      </c>
      <c r="G284" t="s">
        <v>30</v>
      </c>
      <c r="H284" t="s">
        <v>31</v>
      </c>
      <c r="I284" t="s">
        <v>32</v>
      </c>
      <c r="J284">
        <v>157.43</v>
      </c>
      <c r="K284">
        <v>-2</v>
      </c>
      <c r="L284">
        <v>0</v>
      </c>
      <c r="M284" t="s">
        <v>24</v>
      </c>
      <c r="N284" t="s">
        <v>91</v>
      </c>
      <c r="O284" t="s">
        <v>33</v>
      </c>
      <c r="P284">
        <v>2</v>
      </c>
    </row>
    <row r="285" spans="1:16" x14ac:dyDescent="0.25">
      <c r="A285" t="s">
        <v>848</v>
      </c>
      <c r="B285" t="s">
        <v>849</v>
      </c>
      <c r="C285" t="s">
        <v>850</v>
      </c>
      <c r="D285" t="s">
        <v>19</v>
      </c>
      <c r="E285" t="s">
        <v>20</v>
      </c>
      <c r="F285">
        <v>33</v>
      </c>
      <c r="G285" t="s">
        <v>47</v>
      </c>
      <c r="H285" t="s">
        <v>48</v>
      </c>
      <c r="I285" t="s">
        <v>49</v>
      </c>
      <c r="J285">
        <v>261.36</v>
      </c>
      <c r="K285">
        <v>9</v>
      </c>
      <c r="L285">
        <v>5</v>
      </c>
      <c r="M285" t="s">
        <v>77</v>
      </c>
      <c r="N285" t="s">
        <v>41</v>
      </c>
      <c r="O285" t="s">
        <v>82</v>
      </c>
      <c r="P285">
        <v>1</v>
      </c>
    </row>
    <row r="286" spans="1:16" x14ac:dyDescent="0.25">
      <c r="A286" t="s">
        <v>851</v>
      </c>
      <c r="B286" t="s">
        <v>852</v>
      </c>
      <c r="C286" t="s">
        <v>853</v>
      </c>
      <c r="D286" t="s">
        <v>101</v>
      </c>
      <c r="E286" t="s">
        <v>46</v>
      </c>
      <c r="F286">
        <v>45</v>
      </c>
      <c r="G286" t="s">
        <v>86</v>
      </c>
      <c r="H286" t="s">
        <v>31</v>
      </c>
      <c r="I286" t="s">
        <v>32</v>
      </c>
      <c r="J286">
        <v>447.81</v>
      </c>
      <c r="K286">
        <v>-2</v>
      </c>
      <c r="L286">
        <v>5</v>
      </c>
      <c r="M286" t="s">
        <v>59</v>
      </c>
      <c r="N286" t="s">
        <v>41</v>
      </c>
      <c r="O286" t="s">
        <v>65</v>
      </c>
      <c r="P286">
        <v>4</v>
      </c>
    </row>
    <row r="287" spans="1:16" x14ac:dyDescent="0.25">
      <c r="A287" t="s">
        <v>854</v>
      </c>
      <c r="B287" t="s">
        <v>855</v>
      </c>
      <c r="C287" t="s">
        <v>856</v>
      </c>
      <c r="D287" t="s">
        <v>117</v>
      </c>
      <c r="E287" t="s">
        <v>20</v>
      </c>
      <c r="F287">
        <v>33</v>
      </c>
      <c r="G287" t="s">
        <v>30</v>
      </c>
      <c r="H287" t="s">
        <v>121</v>
      </c>
      <c r="I287" t="s">
        <v>122</v>
      </c>
      <c r="J287">
        <v>130.33000000000001</v>
      </c>
      <c r="K287">
        <v>-2</v>
      </c>
      <c r="L287">
        <v>5</v>
      </c>
      <c r="M287" t="s">
        <v>77</v>
      </c>
      <c r="N287" t="s">
        <v>81</v>
      </c>
      <c r="O287" t="s">
        <v>82</v>
      </c>
      <c r="P287">
        <v>3</v>
      </c>
    </row>
    <row r="288" spans="1:16" x14ac:dyDescent="0.25">
      <c r="A288" t="s">
        <v>857</v>
      </c>
      <c r="B288" t="s">
        <v>523</v>
      </c>
      <c r="C288" t="s">
        <v>858</v>
      </c>
      <c r="D288" t="s">
        <v>63</v>
      </c>
      <c r="E288" t="s">
        <v>46</v>
      </c>
      <c r="F288">
        <v>8</v>
      </c>
      <c r="G288" t="s">
        <v>53</v>
      </c>
      <c r="H288" t="s">
        <v>31</v>
      </c>
      <c r="I288" t="s">
        <v>32</v>
      </c>
      <c r="J288">
        <v>377.74</v>
      </c>
      <c r="K288">
        <v>8</v>
      </c>
      <c r="L288">
        <v>10</v>
      </c>
      <c r="N288" t="s">
        <v>81</v>
      </c>
      <c r="O288" t="s">
        <v>82</v>
      </c>
      <c r="P288">
        <v>5</v>
      </c>
    </row>
    <row r="289" spans="1:16" x14ac:dyDescent="0.25">
      <c r="A289" t="s">
        <v>859</v>
      </c>
      <c r="B289" t="s">
        <v>297</v>
      </c>
      <c r="C289" t="s">
        <v>860</v>
      </c>
      <c r="D289" t="s">
        <v>45</v>
      </c>
      <c r="E289" t="s">
        <v>20</v>
      </c>
      <c r="F289">
        <v>8</v>
      </c>
      <c r="G289" t="s">
        <v>47</v>
      </c>
      <c r="H289" t="s">
        <v>54</v>
      </c>
      <c r="I289" t="s">
        <v>55</v>
      </c>
      <c r="J289">
        <v>230.19</v>
      </c>
      <c r="K289">
        <v>-2</v>
      </c>
      <c r="L289">
        <v>0</v>
      </c>
      <c r="M289" t="s">
        <v>24</v>
      </c>
      <c r="N289" t="s">
        <v>25</v>
      </c>
      <c r="O289" t="s">
        <v>26</v>
      </c>
      <c r="P289">
        <v>3</v>
      </c>
    </row>
    <row r="290" spans="1:16" x14ac:dyDescent="0.25">
      <c r="A290" t="s">
        <v>861</v>
      </c>
      <c r="B290" t="s">
        <v>446</v>
      </c>
      <c r="C290" t="s">
        <v>862</v>
      </c>
      <c r="D290" t="s">
        <v>101</v>
      </c>
      <c r="E290" t="s">
        <v>46</v>
      </c>
      <c r="F290">
        <v>130</v>
      </c>
      <c r="G290" t="s">
        <v>30</v>
      </c>
      <c r="H290" t="s">
        <v>121</v>
      </c>
      <c r="I290" t="s">
        <v>122</v>
      </c>
      <c r="J290">
        <v>85.95</v>
      </c>
      <c r="K290">
        <v>10</v>
      </c>
      <c r="L290">
        <v>10</v>
      </c>
      <c r="M290" t="s">
        <v>24</v>
      </c>
      <c r="N290" t="s">
        <v>81</v>
      </c>
      <c r="O290" t="s">
        <v>65</v>
      </c>
      <c r="P290">
        <v>1</v>
      </c>
    </row>
    <row r="291" spans="1:16" x14ac:dyDescent="0.25">
      <c r="A291" t="s">
        <v>863</v>
      </c>
      <c r="B291" t="s">
        <v>864</v>
      </c>
      <c r="C291" t="s">
        <v>113</v>
      </c>
      <c r="D291" t="s">
        <v>19</v>
      </c>
      <c r="E291" t="s">
        <v>46</v>
      </c>
      <c r="F291">
        <v>130</v>
      </c>
      <c r="G291" t="s">
        <v>38</v>
      </c>
      <c r="H291" t="s">
        <v>121</v>
      </c>
      <c r="I291" t="s">
        <v>122</v>
      </c>
      <c r="J291">
        <v>83.81</v>
      </c>
      <c r="K291">
        <v>-2</v>
      </c>
      <c r="L291">
        <v>15</v>
      </c>
      <c r="N291" t="s">
        <v>25</v>
      </c>
      <c r="O291" t="s">
        <v>82</v>
      </c>
      <c r="P291">
        <v>3</v>
      </c>
    </row>
    <row r="292" spans="1:16" x14ac:dyDescent="0.25">
      <c r="A292" t="s">
        <v>865</v>
      </c>
      <c r="B292" t="s">
        <v>866</v>
      </c>
      <c r="C292" t="s">
        <v>867</v>
      </c>
      <c r="D292" t="s">
        <v>63</v>
      </c>
      <c r="E292" t="s">
        <v>46</v>
      </c>
      <c r="F292">
        <v>8</v>
      </c>
      <c r="G292" t="s">
        <v>21</v>
      </c>
      <c r="H292" t="s">
        <v>87</v>
      </c>
      <c r="I292" t="s">
        <v>49</v>
      </c>
      <c r="J292">
        <v>250.46</v>
      </c>
      <c r="K292">
        <v>3</v>
      </c>
      <c r="L292">
        <v>15</v>
      </c>
      <c r="M292" t="s">
        <v>24</v>
      </c>
      <c r="N292" t="s">
        <v>91</v>
      </c>
      <c r="O292" t="s">
        <v>26</v>
      </c>
    </row>
    <row r="293" spans="1:16" x14ac:dyDescent="0.25">
      <c r="A293" t="s">
        <v>868</v>
      </c>
      <c r="B293" t="s">
        <v>28</v>
      </c>
      <c r="C293" t="s">
        <v>869</v>
      </c>
      <c r="D293" t="s">
        <v>117</v>
      </c>
      <c r="E293" t="s">
        <v>20</v>
      </c>
      <c r="F293">
        <v>130</v>
      </c>
      <c r="G293" t="s">
        <v>30</v>
      </c>
      <c r="H293" t="s">
        <v>48</v>
      </c>
      <c r="I293" t="s">
        <v>49</v>
      </c>
      <c r="J293">
        <v>21.28</v>
      </c>
      <c r="K293">
        <v>-2</v>
      </c>
      <c r="L293">
        <v>5</v>
      </c>
      <c r="M293" t="s">
        <v>24</v>
      </c>
      <c r="N293" t="s">
        <v>25</v>
      </c>
      <c r="O293" t="s">
        <v>65</v>
      </c>
      <c r="P293">
        <v>2</v>
      </c>
    </row>
    <row r="294" spans="1:16" x14ac:dyDescent="0.25">
      <c r="A294" t="s">
        <v>870</v>
      </c>
      <c r="B294" t="s">
        <v>871</v>
      </c>
      <c r="C294" t="s">
        <v>872</v>
      </c>
      <c r="D294" t="s">
        <v>19</v>
      </c>
      <c r="E294" t="s">
        <v>20</v>
      </c>
      <c r="F294">
        <v>130</v>
      </c>
      <c r="G294" t="s">
        <v>38</v>
      </c>
      <c r="H294" t="s">
        <v>121</v>
      </c>
      <c r="I294" t="s">
        <v>122</v>
      </c>
      <c r="J294">
        <v>396.87</v>
      </c>
      <c r="K294">
        <v>10</v>
      </c>
      <c r="L294">
        <v>10</v>
      </c>
      <c r="M294" t="s">
        <v>24</v>
      </c>
      <c r="N294" t="s">
        <v>41</v>
      </c>
      <c r="O294" t="s">
        <v>65</v>
      </c>
    </row>
    <row r="295" spans="1:16" x14ac:dyDescent="0.25">
      <c r="A295" t="s">
        <v>873</v>
      </c>
      <c r="B295" t="s">
        <v>874</v>
      </c>
      <c r="C295" t="s">
        <v>875</v>
      </c>
      <c r="D295" t="s">
        <v>63</v>
      </c>
      <c r="E295" t="s">
        <v>46</v>
      </c>
      <c r="F295">
        <v>20</v>
      </c>
      <c r="G295" t="s">
        <v>30</v>
      </c>
      <c r="H295" t="s">
        <v>48</v>
      </c>
      <c r="I295" t="s">
        <v>49</v>
      </c>
      <c r="J295">
        <v>214.85</v>
      </c>
      <c r="K295">
        <v>-2</v>
      </c>
      <c r="L295">
        <v>120</v>
      </c>
      <c r="M295" t="s">
        <v>77</v>
      </c>
      <c r="N295" t="s">
        <v>25</v>
      </c>
      <c r="O295" t="s">
        <v>26</v>
      </c>
      <c r="P295">
        <v>1</v>
      </c>
    </row>
    <row r="296" spans="1:16" x14ac:dyDescent="0.25">
      <c r="A296" t="s">
        <v>876</v>
      </c>
      <c r="B296" t="s">
        <v>659</v>
      </c>
      <c r="C296" t="s">
        <v>877</v>
      </c>
      <c r="D296" t="s">
        <v>117</v>
      </c>
      <c r="E296" t="s">
        <v>20</v>
      </c>
      <c r="F296">
        <v>43</v>
      </c>
      <c r="G296" t="s">
        <v>21</v>
      </c>
      <c r="H296" t="s">
        <v>48</v>
      </c>
      <c r="I296" t="s">
        <v>49</v>
      </c>
      <c r="J296">
        <v>16.579999999999998</v>
      </c>
      <c r="K296">
        <v>-2</v>
      </c>
      <c r="L296">
        <v>0</v>
      </c>
      <c r="M296" t="s">
        <v>77</v>
      </c>
      <c r="N296" t="s">
        <v>25</v>
      </c>
      <c r="O296" t="s">
        <v>26</v>
      </c>
    </row>
    <row r="297" spans="1:16" x14ac:dyDescent="0.25">
      <c r="A297" t="s">
        <v>878</v>
      </c>
      <c r="B297" t="s">
        <v>879</v>
      </c>
      <c r="C297" t="s">
        <v>880</v>
      </c>
      <c r="D297" t="s">
        <v>63</v>
      </c>
      <c r="E297" t="s">
        <v>20</v>
      </c>
      <c r="F297">
        <v>8</v>
      </c>
      <c r="G297" t="s">
        <v>53</v>
      </c>
      <c r="H297" t="s">
        <v>54</v>
      </c>
      <c r="I297" t="s">
        <v>55</v>
      </c>
      <c r="J297">
        <v>328.87</v>
      </c>
      <c r="K297">
        <v>-2</v>
      </c>
      <c r="L297">
        <v>120</v>
      </c>
      <c r="M297" t="s">
        <v>77</v>
      </c>
      <c r="N297" t="s">
        <v>25</v>
      </c>
      <c r="O297" t="s">
        <v>65</v>
      </c>
      <c r="P297">
        <v>3</v>
      </c>
    </row>
    <row r="298" spans="1:16" x14ac:dyDescent="0.25">
      <c r="A298" t="s">
        <v>881</v>
      </c>
      <c r="B298" t="s">
        <v>164</v>
      </c>
      <c r="C298" t="s">
        <v>882</v>
      </c>
      <c r="D298" t="s">
        <v>19</v>
      </c>
      <c r="E298" t="s">
        <v>20</v>
      </c>
      <c r="F298">
        <v>8</v>
      </c>
      <c r="G298" t="s">
        <v>70</v>
      </c>
      <c r="H298" t="s">
        <v>31</v>
      </c>
      <c r="I298" t="s">
        <v>32</v>
      </c>
      <c r="J298">
        <v>409.21</v>
      </c>
      <c r="K298">
        <v>8</v>
      </c>
      <c r="L298">
        <v>15</v>
      </c>
      <c r="M298" t="s">
        <v>64</v>
      </c>
      <c r="N298" t="s">
        <v>25</v>
      </c>
      <c r="O298" t="s">
        <v>26</v>
      </c>
      <c r="P298">
        <v>5</v>
      </c>
    </row>
    <row r="299" spans="1:16" x14ac:dyDescent="0.25">
      <c r="A299" t="s">
        <v>883</v>
      </c>
      <c r="B299" t="s">
        <v>884</v>
      </c>
      <c r="C299" t="s">
        <v>885</v>
      </c>
      <c r="D299" t="s">
        <v>19</v>
      </c>
      <c r="E299" t="s">
        <v>20</v>
      </c>
      <c r="F299">
        <v>8</v>
      </c>
      <c r="G299" t="s">
        <v>53</v>
      </c>
      <c r="H299" t="s">
        <v>31</v>
      </c>
      <c r="I299" t="s">
        <v>32</v>
      </c>
      <c r="J299">
        <v>91.17</v>
      </c>
      <c r="K299">
        <v>-2</v>
      </c>
      <c r="L299">
        <v>0</v>
      </c>
      <c r="M299" t="s">
        <v>77</v>
      </c>
      <c r="N299" t="s">
        <v>41</v>
      </c>
      <c r="O299" t="s">
        <v>26</v>
      </c>
      <c r="P299">
        <v>2</v>
      </c>
    </row>
    <row r="300" spans="1:16" x14ac:dyDescent="0.25">
      <c r="A300" t="s">
        <v>886</v>
      </c>
      <c r="B300" t="s">
        <v>887</v>
      </c>
      <c r="C300" t="s">
        <v>888</v>
      </c>
      <c r="D300" t="s">
        <v>101</v>
      </c>
      <c r="E300" t="s">
        <v>46</v>
      </c>
      <c r="F300">
        <v>8</v>
      </c>
      <c r="G300" t="s">
        <v>70</v>
      </c>
      <c r="H300" t="s">
        <v>48</v>
      </c>
      <c r="I300" t="s">
        <v>49</v>
      </c>
      <c r="J300">
        <v>212.85</v>
      </c>
      <c r="K300">
        <v>10</v>
      </c>
      <c r="L300">
        <v>5</v>
      </c>
      <c r="N300" t="s">
        <v>81</v>
      </c>
      <c r="O300" t="s">
        <v>26</v>
      </c>
    </row>
    <row r="301" spans="1:16" x14ac:dyDescent="0.25">
      <c r="A301" t="s">
        <v>889</v>
      </c>
      <c r="B301" t="s">
        <v>890</v>
      </c>
      <c r="C301" t="s">
        <v>891</v>
      </c>
      <c r="D301" t="s">
        <v>117</v>
      </c>
      <c r="E301" t="s">
        <v>46</v>
      </c>
      <c r="F301">
        <v>130</v>
      </c>
      <c r="G301" t="s">
        <v>86</v>
      </c>
      <c r="H301" t="s">
        <v>121</v>
      </c>
      <c r="I301" t="s">
        <v>122</v>
      </c>
      <c r="J301">
        <v>31.83</v>
      </c>
      <c r="K301">
        <v>9</v>
      </c>
      <c r="L301">
        <v>10</v>
      </c>
      <c r="M301" t="s">
        <v>64</v>
      </c>
      <c r="N301" t="s">
        <v>91</v>
      </c>
      <c r="O301" t="s">
        <v>26</v>
      </c>
      <c r="P301">
        <v>2</v>
      </c>
    </row>
    <row r="302" spans="1:16" x14ac:dyDescent="0.25">
      <c r="A302" t="s">
        <v>892</v>
      </c>
      <c r="B302" t="s">
        <v>893</v>
      </c>
      <c r="C302" t="s">
        <v>894</v>
      </c>
      <c r="E302" t="s">
        <v>46</v>
      </c>
      <c r="F302">
        <v>19</v>
      </c>
      <c r="G302" t="s">
        <v>30</v>
      </c>
      <c r="H302" t="s">
        <v>48</v>
      </c>
      <c r="I302" t="s">
        <v>49</v>
      </c>
      <c r="J302">
        <v>196.21</v>
      </c>
      <c r="K302">
        <v>7</v>
      </c>
      <c r="L302">
        <v>10</v>
      </c>
      <c r="M302" t="s">
        <v>59</v>
      </c>
      <c r="N302" t="s">
        <v>81</v>
      </c>
      <c r="O302" t="s">
        <v>65</v>
      </c>
    </row>
    <row r="303" spans="1:16" x14ac:dyDescent="0.25">
      <c r="A303" t="s">
        <v>895</v>
      </c>
      <c r="B303" t="s">
        <v>896</v>
      </c>
      <c r="C303" t="s">
        <v>897</v>
      </c>
      <c r="D303" t="s">
        <v>63</v>
      </c>
      <c r="E303" t="s">
        <v>20</v>
      </c>
      <c r="F303">
        <v>49</v>
      </c>
      <c r="G303" t="s">
        <v>47</v>
      </c>
      <c r="H303" t="s">
        <v>87</v>
      </c>
      <c r="I303" t="s">
        <v>49</v>
      </c>
      <c r="J303">
        <v>23.75</v>
      </c>
      <c r="K303">
        <v>-2</v>
      </c>
      <c r="L303">
        <v>10</v>
      </c>
      <c r="N303" t="s">
        <v>41</v>
      </c>
      <c r="O303" t="s">
        <v>65</v>
      </c>
      <c r="P303">
        <v>1</v>
      </c>
    </row>
    <row r="304" spans="1:16" x14ac:dyDescent="0.25">
      <c r="A304" t="s">
        <v>898</v>
      </c>
      <c r="B304" t="s">
        <v>158</v>
      </c>
      <c r="C304" t="s">
        <v>899</v>
      </c>
      <c r="D304" t="s">
        <v>19</v>
      </c>
      <c r="E304" t="s">
        <v>46</v>
      </c>
      <c r="F304">
        <v>61</v>
      </c>
      <c r="G304" t="s">
        <v>38</v>
      </c>
      <c r="H304" t="s">
        <v>54</v>
      </c>
      <c r="I304" t="s">
        <v>55</v>
      </c>
      <c r="J304">
        <v>451.17</v>
      </c>
      <c r="K304">
        <v>-2</v>
      </c>
      <c r="L304">
        <v>120</v>
      </c>
      <c r="M304" t="s">
        <v>77</v>
      </c>
      <c r="N304" t="s">
        <v>41</v>
      </c>
      <c r="O304" t="s">
        <v>33</v>
      </c>
      <c r="P304">
        <v>2</v>
      </c>
    </row>
    <row r="305" spans="1:16" x14ac:dyDescent="0.25">
      <c r="A305" t="s">
        <v>900</v>
      </c>
      <c r="B305" t="s">
        <v>124</v>
      </c>
      <c r="C305" t="s">
        <v>901</v>
      </c>
      <c r="D305" t="s">
        <v>45</v>
      </c>
      <c r="E305" t="s">
        <v>20</v>
      </c>
      <c r="F305">
        <v>8</v>
      </c>
      <c r="G305" t="s">
        <v>70</v>
      </c>
      <c r="H305" t="s">
        <v>121</v>
      </c>
      <c r="I305" t="s">
        <v>122</v>
      </c>
      <c r="J305">
        <v>345.09</v>
      </c>
      <c r="K305">
        <v>-2</v>
      </c>
      <c r="L305">
        <v>15</v>
      </c>
      <c r="M305" t="s">
        <v>77</v>
      </c>
      <c r="N305" t="s">
        <v>41</v>
      </c>
      <c r="O305" t="s">
        <v>33</v>
      </c>
      <c r="P305">
        <v>2</v>
      </c>
    </row>
    <row r="306" spans="1:16" x14ac:dyDescent="0.25">
      <c r="A306" t="s">
        <v>902</v>
      </c>
      <c r="B306" t="s">
        <v>903</v>
      </c>
      <c r="C306" t="s">
        <v>904</v>
      </c>
      <c r="D306" t="s">
        <v>45</v>
      </c>
      <c r="E306" t="s">
        <v>46</v>
      </c>
      <c r="F306">
        <v>130</v>
      </c>
      <c r="G306" t="s">
        <v>21</v>
      </c>
      <c r="H306" t="s">
        <v>87</v>
      </c>
      <c r="I306" t="s">
        <v>49</v>
      </c>
      <c r="J306">
        <v>426.5</v>
      </c>
      <c r="K306">
        <v>-2</v>
      </c>
      <c r="L306">
        <v>0</v>
      </c>
      <c r="M306" t="s">
        <v>77</v>
      </c>
      <c r="N306" t="s">
        <v>25</v>
      </c>
      <c r="O306" t="s">
        <v>82</v>
      </c>
      <c r="P306">
        <v>3</v>
      </c>
    </row>
    <row r="307" spans="1:16" x14ac:dyDescent="0.25">
      <c r="A307" t="s">
        <v>905</v>
      </c>
      <c r="B307" t="s">
        <v>543</v>
      </c>
      <c r="C307" t="s">
        <v>906</v>
      </c>
      <c r="D307" t="s">
        <v>37</v>
      </c>
      <c r="E307" t="s">
        <v>46</v>
      </c>
      <c r="F307">
        <v>130</v>
      </c>
      <c r="G307" t="s">
        <v>47</v>
      </c>
      <c r="H307" t="s">
        <v>39</v>
      </c>
      <c r="I307" t="s">
        <v>40</v>
      </c>
      <c r="J307">
        <v>371.71</v>
      </c>
      <c r="K307">
        <v>10</v>
      </c>
      <c r="L307">
        <v>120</v>
      </c>
      <c r="M307" t="s">
        <v>59</v>
      </c>
      <c r="N307" t="s">
        <v>25</v>
      </c>
      <c r="O307" t="s">
        <v>82</v>
      </c>
      <c r="P307">
        <v>1</v>
      </c>
    </row>
    <row r="308" spans="1:16" x14ac:dyDescent="0.25">
      <c r="A308" t="s">
        <v>907</v>
      </c>
      <c r="B308" t="s">
        <v>908</v>
      </c>
      <c r="C308" t="s">
        <v>909</v>
      </c>
      <c r="D308" t="s">
        <v>69</v>
      </c>
      <c r="E308" t="s">
        <v>20</v>
      </c>
      <c r="F308">
        <v>59</v>
      </c>
      <c r="G308" t="s">
        <v>30</v>
      </c>
      <c r="H308" t="s">
        <v>121</v>
      </c>
      <c r="I308" t="s">
        <v>122</v>
      </c>
      <c r="J308">
        <v>167.16</v>
      </c>
      <c r="K308">
        <v>-2</v>
      </c>
      <c r="L308">
        <v>15</v>
      </c>
      <c r="M308" t="s">
        <v>64</v>
      </c>
      <c r="N308" t="s">
        <v>41</v>
      </c>
      <c r="O308" t="s">
        <v>26</v>
      </c>
    </row>
    <row r="309" spans="1:16" x14ac:dyDescent="0.25">
      <c r="A309" t="s">
        <v>910</v>
      </c>
      <c r="B309" t="s">
        <v>911</v>
      </c>
      <c r="C309" t="s">
        <v>912</v>
      </c>
      <c r="D309" t="s">
        <v>37</v>
      </c>
      <c r="E309" t="s">
        <v>46</v>
      </c>
      <c r="F309">
        <v>130</v>
      </c>
      <c r="G309" t="s">
        <v>53</v>
      </c>
      <c r="H309" t="s">
        <v>39</v>
      </c>
      <c r="I309" t="s">
        <v>40</v>
      </c>
      <c r="J309">
        <v>54.4</v>
      </c>
      <c r="K309">
        <v>-2</v>
      </c>
      <c r="L309">
        <v>5</v>
      </c>
      <c r="M309" t="s">
        <v>64</v>
      </c>
      <c r="N309" t="s">
        <v>25</v>
      </c>
      <c r="O309" t="s">
        <v>33</v>
      </c>
      <c r="P309">
        <v>1</v>
      </c>
    </row>
    <row r="310" spans="1:16" x14ac:dyDescent="0.25">
      <c r="A310" t="s">
        <v>913</v>
      </c>
      <c r="B310" t="s">
        <v>914</v>
      </c>
      <c r="C310" t="s">
        <v>915</v>
      </c>
      <c r="D310" t="s">
        <v>69</v>
      </c>
      <c r="E310" t="s">
        <v>46</v>
      </c>
      <c r="F310">
        <v>52</v>
      </c>
      <c r="G310" t="s">
        <v>47</v>
      </c>
      <c r="H310" t="s">
        <v>87</v>
      </c>
      <c r="I310" t="s">
        <v>49</v>
      </c>
      <c r="J310">
        <v>150.86000000000001</v>
      </c>
      <c r="K310">
        <v>2</v>
      </c>
      <c r="L310">
        <v>-10</v>
      </c>
      <c r="M310" t="s">
        <v>59</v>
      </c>
      <c r="N310" t="s">
        <v>25</v>
      </c>
      <c r="O310" t="s">
        <v>33</v>
      </c>
      <c r="P310">
        <v>4</v>
      </c>
    </row>
    <row r="311" spans="1:16" x14ac:dyDescent="0.25">
      <c r="A311" t="s">
        <v>916</v>
      </c>
      <c r="B311" t="s">
        <v>917</v>
      </c>
      <c r="C311" t="s">
        <v>918</v>
      </c>
      <c r="E311" t="s">
        <v>46</v>
      </c>
      <c r="F311">
        <v>130</v>
      </c>
      <c r="G311" t="s">
        <v>70</v>
      </c>
      <c r="H311" t="s">
        <v>54</v>
      </c>
      <c r="I311" t="s">
        <v>55</v>
      </c>
      <c r="J311">
        <v>134.79</v>
      </c>
      <c r="K311">
        <v>10</v>
      </c>
      <c r="L311">
        <v>-10</v>
      </c>
      <c r="M311" t="s">
        <v>24</v>
      </c>
      <c r="N311" t="s">
        <v>91</v>
      </c>
      <c r="O311" t="s">
        <v>26</v>
      </c>
      <c r="P311">
        <v>2</v>
      </c>
    </row>
    <row r="312" spans="1:16" x14ac:dyDescent="0.25">
      <c r="A312" t="s">
        <v>919</v>
      </c>
      <c r="B312" t="s">
        <v>270</v>
      </c>
      <c r="C312" t="s">
        <v>920</v>
      </c>
      <c r="D312" t="s">
        <v>101</v>
      </c>
      <c r="E312" t="s">
        <v>20</v>
      </c>
      <c r="F312">
        <v>130</v>
      </c>
      <c r="G312" t="s">
        <v>70</v>
      </c>
      <c r="H312" t="s">
        <v>31</v>
      </c>
      <c r="I312" t="s">
        <v>32</v>
      </c>
      <c r="J312">
        <v>351.41</v>
      </c>
      <c r="K312">
        <v>-2</v>
      </c>
      <c r="L312">
        <v>10</v>
      </c>
      <c r="M312" t="s">
        <v>64</v>
      </c>
      <c r="N312" t="s">
        <v>81</v>
      </c>
      <c r="O312" t="s">
        <v>82</v>
      </c>
      <c r="P312">
        <v>1</v>
      </c>
    </row>
    <row r="313" spans="1:16" x14ac:dyDescent="0.25">
      <c r="A313" t="s">
        <v>921</v>
      </c>
      <c r="B313" t="s">
        <v>400</v>
      </c>
      <c r="C313" t="s">
        <v>922</v>
      </c>
      <c r="D313" t="s">
        <v>19</v>
      </c>
      <c r="E313" t="s">
        <v>46</v>
      </c>
      <c r="F313">
        <v>63</v>
      </c>
      <c r="G313" t="s">
        <v>47</v>
      </c>
      <c r="H313" t="s">
        <v>48</v>
      </c>
      <c r="I313" t="s">
        <v>49</v>
      </c>
      <c r="J313">
        <v>310.12</v>
      </c>
      <c r="K313">
        <v>-2</v>
      </c>
      <c r="L313">
        <v>120</v>
      </c>
      <c r="M313" t="s">
        <v>64</v>
      </c>
      <c r="N313" t="s">
        <v>81</v>
      </c>
      <c r="O313" t="s">
        <v>26</v>
      </c>
      <c r="P313">
        <v>1</v>
      </c>
    </row>
    <row r="314" spans="1:16" x14ac:dyDescent="0.25">
      <c r="A314" t="s">
        <v>923</v>
      </c>
      <c r="B314" t="s">
        <v>246</v>
      </c>
      <c r="C314" t="s">
        <v>924</v>
      </c>
      <c r="D314" t="s">
        <v>69</v>
      </c>
      <c r="E314" t="s">
        <v>20</v>
      </c>
      <c r="F314">
        <v>23</v>
      </c>
      <c r="G314" t="s">
        <v>30</v>
      </c>
      <c r="H314" t="s">
        <v>48</v>
      </c>
      <c r="I314" t="s">
        <v>49</v>
      </c>
      <c r="J314">
        <v>244.18</v>
      </c>
      <c r="K314">
        <v>10</v>
      </c>
      <c r="L314">
        <v>0</v>
      </c>
      <c r="M314" t="s">
        <v>64</v>
      </c>
      <c r="N314" t="s">
        <v>25</v>
      </c>
      <c r="O314" t="s">
        <v>26</v>
      </c>
      <c r="P314">
        <v>5</v>
      </c>
    </row>
    <row r="315" spans="1:16" x14ac:dyDescent="0.25">
      <c r="A315" t="s">
        <v>925</v>
      </c>
      <c r="B315" t="s">
        <v>926</v>
      </c>
      <c r="C315" t="s">
        <v>927</v>
      </c>
      <c r="D315" t="s">
        <v>69</v>
      </c>
      <c r="E315" t="s">
        <v>46</v>
      </c>
      <c r="F315">
        <v>130</v>
      </c>
      <c r="G315" t="s">
        <v>70</v>
      </c>
      <c r="H315" t="s">
        <v>22</v>
      </c>
      <c r="I315" t="s">
        <v>23</v>
      </c>
      <c r="J315">
        <v>49.73</v>
      </c>
      <c r="K315">
        <v>2</v>
      </c>
      <c r="L315">
        <v>15</v>
      </c>
      <c r="M315" t="s">
        <v>77</v>
      </c>
      <c r="N315" t="s">
        <v>91</v>
      </c>
      <c r="O315" t="s">
        <v>65</v>
      </c>
      <c r="P315">
        <v>1</v>
      </c>
    </row>
    <row r="316" spans="1:16" x14ac:dyDescent="0.25">
      <c r="A316" t="s">
        <v>928</v>
      </c>
      <c r="B316" t="s">
        <v>929</v>
      </c>
      <c r="C316" t="s">
        <v>930</v>
      </c>
      <c r="D316" t="s">
        <v>63</v>
      </c>
      <c r="E316" t="s">
        <v>20</v>
      </c>
      <c r="F316">
        <v>130</v>
      </c>
      <c r="G316" t="s">
        <v>21</v>
      </c>
      <c r="H316" t="s">
        <v>39</v>
      </c>
      <c r="I316" t="s">
        <v>40</v>
      </c>
      <c r="J316">
        <v>488.31</v>
      </c>
      <c r="K316">
        <v>7</v>
      </c>
      <c r="L316">
        <v>15</v>
      </c>
      <c r="M316" t="s">
        <v>59</v>
      </c>
      <c r="N316" t="s">
        <v>91</v>
      </c>
      <c r="O316" t="s">
        <v>65</v>
      </c>
    </row>
    <row r="317" spans="1:16" x14ac:dyDescent="0.25">
      <c r="A317" t="s">
        <v>931</v>
      </c>
      <c r="B317" t="s">
        <v>932</v>
      </c>
      <c r="C317" t="s">
        <v>933</v>
      </c>
      <c r="E317" t="s">
        <v>46</v>
      </c>
      <c r="F317">
        <v>130</v>
      </c>
      <c r="G317" t="s">
        <v>86</v>
      </c>
      <c r="H317" t="s">
        <v>48</v>
      </c>
      <c r="I317" t="s">
        <v>49</v>
      </c>
      <c r="J317">
        <v>487.54</v>
      </c>
      <c r="K317">
        <v>2</v>
      </c>
      <c r="L317">
        <v>10</v>
      </c>
      <c r="M317" t="s">
        <v>59</v>
      </c>
      <c r="N317" t="s">
        <v>25</v>
      </c>
      <c r="O317" t="s">
        <v>26</v>
      </c>
    </row>
    <row r="318" spans="1:16" x14ac:dyDescent="0.25">
      <c r="A318" t="s">
        <v>934</v>
      </c>
      <c r="B318" t="s">
        <v>935</v>
      </c>
      <c r="C318" t="s">
        <v>936</v>
      </c>
      <c r="E318" t="s">
        <v>46</v>
      </c>
      <c r="F318">
        <v>8</v>
      </c>
      <c r="G318" t="s">
        <v>86</v>
      </c>
      <c r="H318" t="s">
        <v>87</v>
      </c>
      <c r="I318" t="s">
        <v>49</v>
      </c>
      <c r="J318">
        <v>316.06</v>
      </c>
      <c r="K318">
        <v>-2</v>
      </c>
      <c r="L318">
        <v>15</v>
      </c>
      <c r="M318" t="s">
        <v>59</v>
      </c>
      <c r="N318" t="s">
        <v>91</v>
      </c>
      <c r="O318" t="s">
        <v>82</v>
      </c>
      <c r="P318">
        <v>3</v>
      </c>
    </row>
    <row r="319" spans="1:16" x14ac:dyDescent="0.25">
      <c r="A319" t="s">
        <v>937</v>
      </c>
      <c r="B319" t="s">
        <v>938</v>
      </c>
      <c r="C319" t="s">
        <v>939</v>
      </c>
      <c r="D319" t="s">
        <v>19</v>
      </c>
      <c r="E319" t="s">
        <v>20</v>
      </c>
      <c r="F319">
        <v>130</v>
      </c>
      <c r="G319" t="s">
        <v>70</v>
      </c>
      <c r="H319" t="s">
        <v>22</v>
      </c>
      <c r="I319" t="s">
        <v>23</v>
      </c>
      <c r="J319">
        <v>339.48</v>
      </c>
      <c r="K319">
        <v>4</v>
      </c>
      <c r="L319">
        <v>0</v>
      </c>
      <c r="M319" t="s">
        <v>64</v>
      </c>
      <c r="N319" t="s">
        <v>41</v>
      </c>
      <c r="O319" t="s">
        <v>65</v>
      </c>
      <c r="P319">
        <v>1</v>
      </c>
    </row>
    <row r="320" spans="1:16" x14ac:dyDescent="0.25">
      <c r="A320" t="s">
        <v>940</v>
      </c>
      <c r="B320" t="s">
        <v>303</v>
      </c>
      <c r="C320" t="s">
        <v>941</v>
      </c>
      <c r="E320" t="s">
        <v>20</v>
      </c>
      <c r="F320">
        <v>8</v>
      </c>
      <c r="G320" t="s">
        <v>86</v>
      </c>
      <c r="H320" t="s">
        <v>48</v>
      </c>
      <c r="I320" t="s">
        <v>49</v>
      </c>
      <c r="J320">
        <v>455.27</v>
      </c>
      <c r="K320">
        <v>1</v>
      </c>
      <c r="L320">
        <v>120</v>
      </c>
      <c r="N320" t="s">
        <v>25</v>
      </c>
      <c r="O320" t="s">
        <v>65</v>
      </c>
      <c r="P320">
        <v>1</v>
      </c>
    </row>
    <row r="321" spans="1:16" x14ac:dyDescent="0.25">
      <c r="A321" t="s">
        <v>942</v>
      </c>
      <c r="B321" t="s">
        <v>943</v>
      </c>
      <c r="C321" t="s">
        <v>944</v>
      </c>
      <c r="D321" t="s">
        <v>19</v>
      </c>
      <c r="E321" t="s">
        <v>46</v>
      </c>
      <c r="F321">
        <v>8</v>
      </c>
      <c r="G321" t="s">
        <v>30</v>
      </c>
      <c r="H321" t="s">
        <v>121</v>
      </c>
      <c r="I321" t="s">
        <v>122</v>
      </c>
      <c r="J321">
        <v>369.06</v>
      </c>
      <c r="K321">
        <v>-2</v>
      </c>
      <c r="L321">
        <v>10</v>
      </c>
      <c r="M321" t="s">
        <v>64</v>
      </c>
      <c r="N321" t="s">
        <v>91</v>
      </c>
      <c r="O321" t="s">
        <v>82</v>
      </c>
      <c r="P321">
        <v>2</v>
      </c>
    </row>
    <row r="322" spans="1:16" x14ac:dyDescent="0.25">
      <c r="A322" t="s">
        <v>945</v>
      </c>
      <c r="B322" t="s">
        <v>590</v>
      </c>
      <c r="C322" t="s">
        <v>946</v>
      </c>
      <c r="D322" t="s">
        <v>69</v>
      </c>
      <c r="E322" t="s">
        <v>46</v>
      </c>
      <c r="F322">
        <v>130</v>
      </c>
      <c r="G322" t="s">
        <v>86</v>
      </c>
      <c r="H322" t="s">
        <v>22</v>
      </c>
      <c r="I322" t="s">
        <v>23</v>
      </c>
      <c r="J322">
        <v>66.59</v>
      </c>
      <c r="K322">
        <v>-2</v>
      </c>
      <c r="L322">
        <v>15</v>
      </c>
      <c r="M322" t="s">
        <v>24</v>
      </c>
      <c r="N322" t="s">
        <v>81</v>
      </c>
      <c r="O322" t="s">
        <v>82</v>
      </c>
      <c r="P322">
        <v>1</v>
      </c>
    </row>
    <row r="323" spans="1:16" x14ac:dyDescent="0.25">
      <c r="A323" t="s">
        <v>947</v>
      </c>
      <c r="B323" t="s">
        <v>948</v>
      </c>
      <c r="C323" t="s">
        <v>949</v>
      </c>
      <c r="D323" t="s">
        <v>101</v>
      </c>
      <c r="E323" t="s">
        <v>46</v>
      </c>
      <c r="F323">
        <v>130</v>
      </c>
      <c r="G323" t="s">
        <v>21</v>
      </c>
      <c r="H323" t="s">
        <v>39</v>
      </c>
      <c r="I323" t="s">
        <v>40</v>
      </c>
      <c r="J323">
        <v>27.39</v>
      </c>
      <c r="K323">
        <v>-2</v>
      </c>
      <c r="L323">
        <v>5</v>
      </c>
      <c r="M323" t="s">
        <v>24</v>
      </c>
      <c r="N323" t="s">
        <v>41</v>
      </c>
      <c r="O323" t="s">
        <v>82</v>
      </c>
      <c r="P323">
        <v>1</v>
      </c>
    </row>
    <row r="324" spans="1:16" x14ac:dyDescent="0.25">
      <c r="A324" t="s">
        <v>950</v>
      </c>
      <c r="B324" t="s">
        <v>951</v>
      </c>
      <c r="C324" t="s">
        <v>952</v>
      </c>
      <c r="D324" t="s">
        <v>69</v>
      </c>
      <c r="E324" t="s">
        <v>46</v>
      </c>
      <c r="F324">
        <v>130</v>
      </c>
      <c r="G324" t="s">
        <v>53</v>
      </c>
      <c r="H324" t="s">
        <v>87</v>
      </c>
      <c r="I324" t="s">
        <v>49</v>
      </c>
      <c r="J324">
        <v>37.28</v>
      </c>
      <c r="K324">
        <v>8</v>
      </c>
      <c r="L324">
        <v>-10</v>
      </c>
      <c r="N324" t="s">
        <v>41</v>
      </c>
      <c r="O324" t="s">
        <v>33</v>
      </c>
      <c r="P324">
        <v>3</v>
      </c>
    </row>
    <row r="325" spans="1:16" x14ac:dyDescent="0.25">
      <c r="A325" t="s">
        <v>953</v>
      </c>
      <c r="B325" t="s">
        <v>938</v>
      </c>
      <c r="C325" t="s">
        <v>954</v>
      </c>
      <c r="D325" t="s">
        <v>45</v>
      </c>
      <c r="E325" t="s">
        <v>20</v>
      </c>
      <c r="F325">
        <v>49</v>
      </c>
      <c r="G325" t="s">
        <v>70</v>
      </c>
      <c r="H325" t="s">
        <v>39</v>
      </c>
      <c r="I325" t="s">
        <v>40</v>
      </c>
      <c r="J325">
        <v>256.01</v>
      </c>
      <c r="K325">
        <v>-2</v>
      </c>
      <c r="L325">
        <v>-10</v>
      </c>
      <c r="M325" t="s">
        <v>59</v>
      </c>
      <c r="N325" t="s">
        <v>25</v>
      </c>
      <c r="O325" t="s">
        <v>82</v>
      </c>
      <c r="P325">
        <v>1</v>
      </c>
    </row>
    <row r="326" spans="1:16" x14ac:dyDescent="0.25">
      <c r="A326" t="s">
        <v>955</v>
      </c>
      <c r="B326" t="s">
        <v>956</v>
      </c>
      <c r="C326" t="s">
        <v>957</v>
      </c>
      <c r="D326" t="s">
        <v>37</v>
      </c>
      <c r="E326" t="s">
        <v>20</v>
      </c>
      <c r="F326">
        <v>45</v>
      </c>
      <c r="G326" t="s">
        <v>86</v>
      </c>
      <c r="H326" t="s">
        <v>54</v>
      </c>
      <c r="I326" t="s">
        <v>55</v>
      </c>
      <c r="J326">
        <v>346.31</v>
      </c>
      <c r="K326">
        <v>-2</v>
      </c>
      <c r="L326">
        <v>0</v>
      </c>
      <c r="M326" t="s">
        <v>64</v>
      </c>
      <c r="N326" t="s">
        <v>41</v>
      </c>
      <c r="O326" t="s">
        <v>65</v>
      </c>
      <c r="P326">
        <v>2</v>
      </c>
    </row>
    <row r="327" spans="1:16" x14ac:dyDescent="0.25">
      <c r="A327" t="s">
        <v>958</v>
      </c>
      <c r="B327" t="s">
        <v>208</v>
      </c>
      <c r="C327" t="s">
        <v>959</v>
      </c>
      <c r="D327" t="s">
        <v>63</v>
      </c>
      <c r="E327" t="s">
        <v>46</v>
      </c>
      <c r="F327">
        <v>8</v>
      </c>
      <c r="G327" t="s">
        <v>21</v>
      </c>
      <c r="H327" t="s">
        <v>121</v>
      </c>
      <c r="I327" t="s">
        <v>122</v>
      </c>
      <c r="J327">
        <v>223.75</v>
      </c>
      <c r="K327">
        <v>-2</v>
      </c>
      <c r="L327">
        <v>0</v>
      </c>
      <c r="M327" t="s">
        <v>64</v>
      </c>
      <c r="N327" t="s">
        <v>25</v>
      </c>
      <c r="O327" t="s">
        <v>33</v>
      </c>
      <c r="P327">
        <v>3</v>
      </c>
    </row>
    <row r="328" spans="1:16" x14ac:dyDescent="0.25">
      <c r="A328" t="s">
        <v>960</v>
      </c>
      <c r="B328" t="s">
        <v>961</v>
      </c>
      <c r="C328" t="s">
        <v>962</v>
      </c>
      <c r="E328" t="s">
        <v>20</v>
      </c>
      <c r="F328">
        <v>130</v>
      </c>
      <c r="G328" t="s">
        <v>53</v>
      </c>
      <c r="H328" t="s">
        <v>54</v>
      </c>
      <c r="I328" t="s">
        <v>55</v>
      </c>
      <c r="J328">
        <v>60.96</v>
      </c>
      <c r="K328">
        <v>10</v>
      </c>
      <c r="L328">
        <v>10</v>
      </c>
      <c r="M328" t="s">
        <v>77</v>
      </c>
      <c r="N328" t="s">
        <v>25</v>
      </c>
      <c r="O328" t="s">
        <v>26</v>
      </c>
      <c r="P328">
        <v>2</v>
      </c>
    </row>
    <row r="329" spans="1:16" x14ac:dyDescent="0.25">
      <c r="A329" t="s">
        <v>963</v>
      </c>
      <c r="B329" t="s">
        <v>964</v>
      </c>
      <c r="C329" t="s">
        <v>965</v>
      </c>
      <c r="D329" t="s">
        <v>101</v>
      </c>
      <c r="E329" t="s">
        <v>20</v>
      </c>
      <c r="F329">
        <v>130</v>
      </c>
      <c r="G329" t="s">
        <v>38</v>
      </c>
      <c r="H329" t="s">
        <v>31</v>
      </c>
      <c r="I329" t="s">
        <v>32</v>
      </c>
      <c r="J329">
        <v>325.37</v>
      </c>
      <c r="K329">
        <v>2</v>
      </c>
      <c r="L329">
        <v>5</v>
      </c>
      <c r="M329" t="s">
        <v>64</v>
      </c>
      <c r="N329" t="s">
        <v>25</v>
      </c>
      <c r="O329" t="s">
        <v>82</v>
      </c>
      <c r="P329">
        <v>2</v>
      </c>
    </row>
    <row r="330" spans="1:16" x14ac:dyDescent="0.25">
      <c r="A330" t="s">
        <v>966</v>
      </c>
      <c r="B330" t="s">
        <v>967</v>
      </c>
      <c r="C330" t="s">
        <v>968</v>
      </c>
      <c r="E330" t="s">
        <v>20</v>
      </c>
      <c r="F330">
        <v>8</v>
      </c>
      <c r="G330" t="s">
        <v>30</v>
      </c>
      <c r="H330" t="s">
        <v>54</v>
      </c>
      <c r="I330" t="s">
        <v>55</v>
      </c>
      <c r="J330">
        <v>178.63</v>
      </c>
      <c r="K330">
        <v>-2</v>
      </c>
      <c r="L330">
        <v>0</v>
      </c>
      <c r="M330" t="s">
        <v>24</v>
      </c>
      <c r="N330" t="s">
        <v>81</v>
      </c>
      <c r="O330" t="s">
        <v>26</v>
      </c>
    </row>
    <row r="331" spans="1:16" x14ac:dyDescent="0.25">
      <c r="A331" t="s">
        <v>969</v>
      </c>
      <c r="B331" t="s">
        <v>665</v>
      </c>
      <c r="C331" t="s">
        <v>970</v>
      </c>
      <c r="D331" t="s">
        <v>117</v>
      </c>
      <c r="E331" t="s">
        <v>46</v>
      </c>
      <c r="F331">
        <v>41</v>
      </c>
      <c r="G331" t="s">
        <v>47</v>
      </c>
      <c r="H331" t="s">
        <v>54</v>
      </c>
      <c r="I331" t="s">
        <v>55</v>
      </c>
      <c r="J331">
        <v>299.02999999999997</v>
      </c>
      <c r="K331">
        <v>-2</v>
      </c>
      <c r="L331">
        <v>120</v>
      </c>
      <c r="M331" t="s">
        <v>64</v>
      </c>
      <c r="N331" t="s">
        <v>91</v>
      </c>
      <c r="O331" t="s">
        <v>82</v>
      </c>
      <c r="P331">
        <v>3</v>
      </c>
    </row>
    <row r="332" spans="1:16" x14ac:dyDescent="0.25">
      <c r="A332" t="s">
        <v>971</v>
      </c>
      <c r="B332" t="s">
        <v>674</v>
      </c>
      <c r="C332" t="s">
        <v>972</v>
      </c>
      <c r="D332" t="s">
        <v>63</v>
      </c>
      <c r="E332" t="s">
        <v>20</v>
      </c>
      <c r="F332">
        <v>8</v>
      </c>
      <c r="G332" t="s">
        <v>21</v>
      </c>
      <c r="H332" t="s">
        <v>39</v>
      </c>
      <c r="I332" t="s">
        <v>40</v>
      </c>
      <c r="J332">
        <v>291.27</v>
      </c>
      <c r="K332">
        <v>7</v>
      </c>
      <c r="L332">
        <v>120</v>
      </c>
      <c r="M332" t="s">
        <v>64</v>
      </c>
      <c r="N332" t="s">
        <v>91</v>
      </c>
      <c r="O332" t="s">
        <v>26</v>
      </c>
    </row>
    <row r="333" spans="1:16" x14ac:dyDescent="0.25">
      <c r="A333" t="s">
        <v>973</v>
      </c>
      <c r="B333" t="s">
        <v>974</v>
      </c>
      <c r="C333" t="s">
        <v>975</v>
      </c>
      <c r="D333" t="s">
        <v>63</v>
      </c>
      <c r="E333" t="s">
        <v>20</v>
      </c>
      <c r="F333">
        <v>18</v>
      </c>
      <c r="G333" t="s">
        <v>70</v>
      </c>
      <c r="H333" t="s">
        <v>54</v>
      </c>
      <c r="I333" t="s">
        <v>55</v>
      </c>
      <c r="J333">
        <v>326.33</v>
      </c>
      <c r="K333">
        <v>-2</v>
      </c>
      <c r="L333">
        <v>120</v>
      </c>
      <c r="M333" t="s">
        <v>59</v>
      </c>
      <c r="N333" t="s">
        <v>25</v>
      </c>
      <c r="O333" t="s">
        <v>26</v>
      </c>
      <c r="P333">
        <v>1</v>
      </c>
    </row>
    <row r="334" spans="1:16" x14ac:dyDescent="0.25">
      <c r="A334" t="s">
        <v>976</v>
      </c>
      <c r="B334" t="s">
        <v>604</v>
      </c>
      <c r="C334" t="s">
        <v>977</v>
      </c>
      <c r="D334" t="s">
        <v>69</v>
      </c>
      <c r="E334" t="s">
        <v>20</v>
      </c>
      <c r="F334">
        <v>8</v>
      </c>
      <c r="G334" t="s">
        <v>30</v>
      </c>
      <c r="H334" t="s">
        <v>22</v>
      </c>
      <c r="I334" t="s">
        <v>23</v>
      </c>
      <c r="J334">
        <v>35.03</v>
      </c>
      <c r="K334">
        <v>4</v>
      </c>
      <c r="L334">
        <v>10</v>
      </c>
      <c r="M334" t="s">
        <v>64</v>
      </c>
      <c r="N334" t="s">
        <v>41</v>
      </c>
      <c r="O334" t="s">
        <v>82</v>
      </c>
      <c r="P334">
        <v>5</v>
      </c>
    </row>
    <row r="335" spans="1:16" x14ac:dyDescent="0.25">
      <c r="A335" t="s">
        <v>978</v>
      </c>
      <c r="B335" t="s">
        <v>979</v>
      </c>
      <c r="C335" t="s">
        <v>980</v>
      </c>
      <c r="D335" t="s">
        <v>37</v>
      </c>
      <c r="E335" t="s">
        <v>20</v>
      </c>
      <c r="F335">
        <v>130</v>
      </c>
      <c r="G335" t="s">
        <v>30</v>
      </c>
      <c r="H335" t="s">
        <v>39</v>
      </c>
      <c r="I335" t="s">
        <v>40</v>
      </c>
      <c r="J335">
        <v>276.02999999999997</v>
      </c>
      <c r="K335">
        <v>5</v>
      </c>
      <c r="L335">
        <v>120</v>
      </c>
      <c r="M335" t="s">
        <v>59</v>
      </c>
      <c r="N335" t="s">
        <v>91</v>
      </c>
      <c r="O335" t="s">
        <v>26</v>
      </c>
      <c r="P335">
        <v>4</v>
      </c>
    </row>
    <row r="336" spans="1:16" x14ac:dyDescent="0.25">
      <c r="A336" t="s">
        <v>981</v>
      </c>
      <c r="B336" t="s">
        <v>982</v>
      </c>
      <c r="C336" t="s">
        <v>983</v>
      </c>
      <c r="D336" t="s">
        <v>63</v>
      </c>
      <c r="E336" t="s">
        <v>46</v>
      </c>
      <c r="F336">
        <v>130</v>
      </c>
      <c r="G336" t="s">
        <v>53</v>
      </c>
      <c r="H336" t="s">
        <v>121</v>
      </c>
      <c r="I336" t="s">
        <v>122</v>
      </c>
      <c r="J336">
        <v>331.43</v>
      </c>
      <c r="K336">
        <v>4</v>
      </c>
      <c r="L336">
        <v>-10</v>
      </c>
      <c r="M336" t="s">
        <v>24</v>
      </c>
      <c r="N336" t="s">
        <v>91</v>
      </c>
      <c r="O336" t="s">
        <v>26</v>
      </c>
      <c r="P336">
        <v>3</v>
      </c>
    </row>
    <row r="337" spans="1:16" x14ac:dyDescent="0.25">
      <c r="A337" t="s">
        <v>984</v>
      </c>
      <c r="B337" t="s">
        <v>985</v>
      </c>
      <c r="C337" t="s">
        <v>986</v>
      </c>
      <c r="D337" t="s">
        <v>101</v>
      </c>
      <c r="E337" t="s">
        <v>46</v>
      </c>
      <c r="F337">
        <v>130</v>
      </c>
      <c r="G337" t="s">
        <v>30</v>
      </c>
      <c r="H337" t="s">
        <v>22</v>
      </c>
      <c r="I337" t="s">
        <v>23</v>
      </c>
      <c r="J337">
        <v>381.65</v>
      </c>
      <c r="K337">
        <v>7</v>
      </c>
      <c r="L337">
        <v>5</v>
      </c>
      <c r="M337" t="s">
        <v>64</v>
      </c>
      <c r="N337" t="s">
        <v>91</v>
      </c>
      <c r="O337" t="s">
        <v>65</v>
      </c>
    </row>
    <row r="338" spans="1:16" x14ac:dyDescent="0.25">
      <c r="A338" t="s">
        <v>987</v>
      </c>
      <c r="B338" t="s">
        <v>988</v>
      </c>
      <c r="C338" t="s">
        <v>989</v>
      </c>
      <c r="D338" t="s">
        <v>69</v>
      </c>
      <c r="E338" t="s">
        <v>20</v>
      </c>
      <c r="F338">
        <v>130</v>
      </c>
      <c r="G338" t="s">
        <v>21</v>
      </c>
      <c r="H338" t="s">
        <v>31</v>
      </c>
      <c r="I338" t="s">
        <v>32</v>
      </c>
      <c r="J338">
        <v>422.15</v>
      </c>
      <c r="K338">
        <v>-2</v>
      </c>
      <c r="L338">
        <v>120</v>
      </c>
      <c r="M338" t="s">
        <v>77</v>
      </c>
      <c r="N338" t="s">
        <v>25</v>
      </c>
      <c r="O338" t="s">
        <v>82</v>
      </c>
      <c r="P338">
        <v>3</v>
      </c>
    </row>
    <row r="339" spans="1:16" x14ac:dyDescent="0.25">
      <c r="A339" t="s">
        <v>990</v>
      </c>
      <c r="B339" t="s">
        <v>991</v>
      </c>
      <c r="C339" t="s">
        <v>992</v>
      </c>
      <c r="D339" t="s">
        <v>101</v>
      </c>
      <c r="E339" t="s">
        <v>46</v>
      </c>
      <c r="F339">
        <v>34</v>
      </c>
      <c r="G339" t="s">
        <v>86</v>
      </c>
      <c r="H339" t="s">
        <v>39</v>
      </c>
      <c r="I339" t="s">
        <v>40</v>
      </c>
      <c r="J339">
        <v>393.72</v>
      </c>
      <c r="K339">
        <v>3</v>
      </c>
      <c r="L339">
        <v>10</v>
      </c>
      <c r="M339" t="s">
        <v>64</v>
      </c>
      <c r="N339" t="s">
        <v>81</v>
      </c>
      <c r="O339" t="s">
        <v>26</v>
      </c>
      <c r="P339">
        <v>1</v>
      </c>
    </row>
    <row r="340" spans="1:16" x14ac:dyDescent="0.25">
      <c r="A340" t="s">
        <v>993</v>
      </c>
      <c r="B340" t="s">
        <v>246</v>
      </c>
      <c r="C340" t="s">
        <v>994</v>
      </c>
      <c r="D340" t="s">
        <v>101</v>
      </c>
      <c r="E340" t="s">
        <v>20</v>
      </c>
      <c r="F340">
        <v>130</v>
      </c>
      <c r="G340" t="s">
        <v>47</v>
      </c>
      <c r="H340" t="s">
        <v>48</v>
      </c>
      <c r="I340" t="s">
        <v>49</v>
      </c>
      <c r="J340">
        <v>381.15</v>
      </c>
      <c r="K340">
        <v>10</v>
      </c>
      <c r="L340">
        <v>0</v>
      </c>
      <c r="M340" t="s">
        <v>64</v>
      </c>
      <c r="N340" t="s">
        <v>41</v>
      </c>
      <c r="O340" t="s">
        <v>65</v>
      </c>
      <c r="P340">
        <v>5</v>
      </c>
    </row>
    <row r="341" spans="1:16" x14ac:dyDescent="0.25">
      <c r="A341" t="s">
        <v>995</v>
      </c>
      <c r="B341" t="s">
        <v>752</v>
      </c>
      <c r="C341" t="s">
        <v>996</v>
      </c>
      <c r="D341" t="s">
        <v>45</v>
      </c>
      <c r="E341" t="s">
        <v>46</v>
      </c>
      <c r="F341">
        <v>8</v>
      </c>
      <c r="G341" t="s">
        <v>21</v>
      </c>
      <c r="H341" t="s">
        <v>31</v>
      </c>
      <c r="I341" t="s">
        <v>32</v>
      </c>
      <c r="J341">
        <v>236.19</v>
      </c>
      <c r="K341">
        <v>-2</v>
      </c>
      <c r="L341">
        <v>10</v>
      </c>
      <c r="N341" t="s">
        <v>81</v>
      </c>
      <c r="O341" t="s">
        <v>26</v>
      </c>
      <c r="P341">
        <v>3</v>
      </c>
    </row>
    <row r="342" spans="1:16" x14ac:dyDescent="0.25">
      <c r="A342" t="s">
        <v>997</v>
      </c>
      <c r="B342" t="s">
        <v>662</v>
      </c>
      <c r="C342" t="s">
        <v>236</v>
      </c>
      <c r="D342" t="s">
        <v>63</v>
      </c>
      <c r="E342" t="s">
        <v>46</v>
      </c>
      <c r="F342">
        <v>8</v>
      </c>
      <c r="G342" t="s">
        <v>38</v>
      </c>
      <c r="H342" t="s">
        <v>87</v>
      </c>
      <c r="I342" t="s">
        <v>49</v>
      </c>
      <c r="J342">
        <v>308.89999999999998</v>
      </c>
      <c r="K342">
        <v>5</v>
      </c>
      <c r="L342">
        <v>5</v>
      </c>
      <c r="M342" t="s">
        <v>59</v>
      </c>
      <c r="N342" t="s">
        <v>91</v>
      </c>
      <c r="O342" t="s">
        <v>65</v>
      </c>
      <c r="P342">
        <v>3</v>
      </c>
    </row>
    <row r="343" spans="1:16" x14ac:dyDescent="0.25">
      <c r="A343" t="s">
        <v>998</v>
      </c>
      <c r="B343" t="s">
        <v>999</v>
      </c>
      <c r="C343" t="s">
        <v>922</v>
      </c>
      <c r="D343" t="s">
        <v>37</v>
      </c>
      <c r="E343" t="s">
        <v>46</v>
      </c>
      <c r="F343">
        <v>46</v>
      </c>
      <c r="G343" t="s">
        <v>21</v>
      </c>
      <c r="H343" t="s">
        <v>48</v>
      </c>
      <c r="I343" t="s">
        <v>49</v>
      </c>
      <c r="J343">
        <v>309.08</v>
      </c>
      <c r="K343">
        <v>-2</v>
      </c>
      <c r="L343">
        <v>15</v>
      </c>
      <c r="M343" t="s">
        <v>64</v>
      </c>
      <c r="N343" t="s">
        <v>91</v>
      </c>
      <c r="O343" t="s">
        <v>82</v>
      </c>
    </row>
    <row r="344" spans="1:16" x14ac:dyDescent="0.25">
      <c r="A344" t="s">
        <v>1000</v>
      </c>
      <c r="B344" t="s">
        <v>1001</v>
      </c>
      <c r="C344" t="s">
        <v>1002</v>
      </c>
      <c r="E344" t="s">
        <v>46</v>
      </c>
      <c r="F344">
        <v>130</v>
      </c>
      <c r="G344" t="s">
        <v>70</v>
      </c>
      <c r="H344" t="s">
        <v>31</v>
      </c>
      <c r="I344" t="s">
        <v>32</v>
      </c>
      <c r="J344">
        <v>496.22</v>
      </c>
      <c r="K344">
        <v>-2</v>
      </c>
      <c r="L344">
        <v>-10</v>
      </c>
      <c r="M344" t="s">
        <v>24</v>
      </c>
      <c r="N344" t="s">
        <v>91</v>
      </c>
      <c r="O344" t="s">
        <v>26</v>
      </c>
      <c r="P344">
        <v>4</v>
      </c>
    </row>
    <row r="345" spans="1:16" x14ac:dyDescent="0.25">
      <c r="A345" t="s">
        <v>1003</v>
      </c>
      <c r="B345" t="s">
        <v>1004</v>
      </c>
      <c r="C345" t="s">
        <v>1005</v>
      </c>
      <c r="D345" t="s">
        <v>19</v>
      </c>
      <c r="E345" t="s">
        <v>46</v>
      </c>
      <c r="F345">
        <v>20</v>
      </c>
      <c r="G345" t="s">
        <v>53</v>
      </c>
      <c r="H345" t="s">
        <v>22</v>
      </c>
      <c r="I345" t="s">
        <v>23</v>
      </c>
      <c r="J345">
        <v>13.53</v>
      </c>
      <c r="K345">
        <v>-2</v>
      </c>
      <c r="L345">
        <v>-10</v>
      </c>
      <c r="M345" t="s">
        <v>24</v>
      </c>
      <c r="N345" t="s">
        <v>41</v>
      </c>
      <c r="O345" t="s">
        <v>82</v>
      </c>
      <c r="P345">
        <v>3</v>
      </c>
    </row>
    <row r="346" spans="1:16" x14ac:dyDescent="0.25">
      <c r="A346" t="s">
        <v>1006</v>
      </c>
      <c r="B346" t="s">
        <v>303</v>
      </c>
      <c r="C346" t="s">
        <v>1007</v>
      </c>
      <c r="D346" t="s">
        <v>19</v>
      </c>
      <c r="E346" t="s">
        <v>46</v>
      </c>
      <c r="F346">
        <v>21</v>
      </c>
      <c r="G346" t="s">
        <v>47</v>
      </c>
      <c r="H346" t="s">
        <v>39</v>
      </c>
      <c r="I346" t="s">
        <v>40</v>
      </c>
      <c r="J346">
        <v>297.92</v>
      </c>
      <c r="K346">
        <v>-2</v>
      </c>
      <c r="L346">
        <v>120</v>
      </c>
      <c r="N346" t="s">
        <v>25</v>
      </c>
      <c r="O346" t="s">
        <v>65</v>
      </c>
      <c r="P346">
        <v>4</v>
      </c>
    </row>
    <row r="347" spans="1:16" x14ac:dyDescent="0.25">
      <c r="A347" t="s">
        <v>1008</v>
      </c>
      <c r="B347" t="s">
        <v>1009</v>
      </c>
      <c r="C347" t="s">
        <v>1010</v>
      </c>
      <c r="D347" t="s">
        <v>37</v>
      </c>
      <c r="E347" t="s">
        <v>20</v>
      </c>
      <c r="F347">
        <v>8</v>
      </c>
      <c r="G347" t="s">
        <v>38</v>
      </c>
      <c r="H347" t="s">
        <v>48</v>
      </c>
      <c r="I347" t="s">
        <v>49</v>
      </c>
      <c r="J347">
        <v>321</v>
      </c>
      <c r="K347">
        <v>4</v>
      </c>
      <c r="L347">
        <v>0</v>
      </c>
      <c r="M347" t="s">
        <v>77</v>
      </c>
      <c r="N347" t="s">
        <v>91</v>
      </c>
      <c r="O347" t="s">
        <v>33</v>
      </c>
      <c r="P347">
        <v>2</v>
      </c>
    </row>
    <row r="348" spans="1:16" x14ac:dyDescent="0.25">
      <c r="A348" t="s">
        <v>1011</v>
      </c>
      <c r="B348" t="s">
        <v>1012</v>
      </c>
      <c r="C348" t="s">
        <v>1013</v>
      </c>
      <c r="D348" t="s">
        <v>117</v>
      </c>
      <c r="E348" t="s">
        <v>46</v>
      </c>
      <c r="F348">
        <v>30</v>
      </c>
      <c r="G348" t="s">
        <v>70</v>
      </c>
      <c r="H348" t="s">
        <v>22</v>
      </c>
      <c r="I348" t="s">
        <v>23</v>
      </c>
      <c r="J348">
        <v>277.77</v>
      </c>
      <c r="K348">
        <v>-2</v>
      </c>
      <c r="L348">
        <v>5</v>
      </c>
      <c r="M348" t="s">
        <v>77</v>
      </c>
      <c r="N348" t="s">
        <v>91</v>
      </c>
      <c r="O348" t="s">
        <v>33</v>
      </c>
    </row>
    <row r="349" spans="1:16" x14ac:dyDescent="0.25">
      <c r="A349" t="s">
        <v>1014</v>
      </c>
      <c r="B349" t="s">
        <v>879</v>
      </c>
      <c r="C349" t="s">
        <v>1015</v>
      </c>
      <c r="E349" t="s">
        <v>46</v>
      </c>
      <c r="F349">
        <v>130</v>
      </c>
      <c r="G349" t="s">
        <v>21</v>
      </c>
      <c r="H349" t="s">
        <v>22</v>
      </c>
      <c r="I349" t="s">
        <v>23</v>
      </c>
      <c r="J349">
        <v>175.87</v>
      </c>
      <c r="K349">
        <v>-2</v>
      </c>
      <c r="L349">
        <v>5</v>
      </c>
      <c r="M349" t="s">
        <v>24</v>
      </c>
      <c r="N349" t="s">
        <v>25</v>
      </c>
      <c r="O349" t="s">
        <v>65</v>
      </c>
    </row>
    <row r="350" spans="1:16" x14ac:dyDescent="0.25">
      <c r="A350" t="s">
        <v>1016</v>
      </c>
      <c r="B350" t="s">
        <v>1017</v>
      </c>
      <c r="C350" t="s">
        <v>1018</v>
      </c>
      <c r="D350" t="s">
        <v>37</v>
      </c>
      <c r="E350" t="s">
        <v>46</v>
      </c>
      <c r="F350">
        <v>8</v>
      </c>
      <c r="G350" t="s">
        <v>70</v>
      </c>
      <c r="H350" t="s">
        <v>121</v>
      </c>
      <c r="I350" t="s">
        <v>122</v>
      </c>
      <c r="J350">
        <v>51.27</v>
      </c>
      <c r="K350">
        <v>-2</v>
      </c>
      <c r="L350">
        <v>-10</v>
      </c>
      <c r="M350" t="s">
        <v>59</v>
      </c>
      <c r="N350" t="s">
        <v>41</v>
      </c>
      <c r="O350" t="s">
        <v>33</v>
      </c>
      <c r="P350">
        <v>2</v>
      </c>
    </row>
    <row r="351" spans="1:16" x14ac:dyDescent="0.25">
      <c r="A351" t="s">
        <v>1019</v>
      </c>
      <c r="B351" t="s">
        <v>1020</v>
      </c>
      <c r="C351" t="s">
        <v>1021</v>
      </c>
      <c r="D351" t="s">
        <v>19</v>
      </c>
      <c r="E351" t="s">
        <v>20</v>
      </c>
      <c r="F351">
        <v>8</v>
      </c>
      <c r="G351" t="s">
        <v>86</v>
      </c>
      <c r="H351" t="s">
        <v>22</v>
      </c>
      <c r="I351" t="s">
        <v>23</v>
      </c>
      <c r="J351">
        <v>460.11</v>
      </c>
      <c r="K351">
        <v>7</v>
      </c>
      <c r="L351">
        <v>-10</v>
      </c>
      <c r="M351" t="s">
        <v>24</v>
      </c>
      <c r="N351" t="s">
        <v>81</v>
      </c>
      <c r="O351" t="s">
        <v>82</v>
      </c>
      <c r="P351">
        <v>4</v>
      </c>
    </row>
    <row r="352" spans="1:16" x14ac:dyDescent="0.25">
      <c r="A352" t="s">
        <v>1022</v>
      </c>
      <c r="B352" t="s">
        <v>831</v>
      </c>
      <c r="C352" t="s">
        <v>1023</v>
      </c>
      <c r="D352" t="s">
        <v>117</v>
      </c>
      <c r="E352" t="s">
        <v>46</v>
      </c>
      <c r="F352">
        <v>8</v>
      </c>
      <c r="G352" t="s">
        <v>47</v>
      </c>
      <c r="H352" t="s">
        <v>121</v>
      </c>
      <c r="I352" t="s">
        <v>122</v>
      </c>
      <c r="J352">
        <v>440.16</v>
      </c>
      <c r="K352">
        <v>6</v>
      </c>
      <c r="L352">
        <v>0</v>
      </c>
      <c r="N352" t="s">
        <v>91</v>
      </c>
      <c r="O352" t="s">
        <v>26</v>
      </c>
      <c r="P352">
        <v>5</v>
      </c>
    </row>
    <row r="353" spans="1:16" x14ac:dyDescent="0.25">
      <c r="A353" t="s">
        <v>1024</v>
      </c>
      <c r="B353" t="s">
        <v>956</v>
      </c>
      <c r="C353" t="s">
        <v>1025</v>
      </c>
      <c r="D353" t="s">
        <v>63</v>
      </c>
      <c r="E353" t="s">
        <v>46</v>
      </c>
      <c r="F353">
        <v>130</v>
      </c>
      <c r="G353" t="s">
        <v>53</v>
      </c>
      <c r="H353" t="s">
        <v>22</v>
      </c>
      <c r="I353" t="s">
        <v>23</v>
      </c>
      <c r="J353">
        <v>52.46</v>
      </c>
      <c r="K353">
        <v>9</v>
      </c>
      <c r="L353">
        <v>120</v>
      </c>
      <c r="M353" t="s">
        <v>24</v>
      </c>
      <c r="N353" t="s">
        <v>25</v>
      </c>
      <c r="O353" t="s">
        <v>26</v>
      </c>
      <c r="P353">
        <v>2</v>
      </c>
    </row>
    <row r="354" spans="1:16" x14ac:dyDescent="0.25">
      <c r="A354" t="s">
        <v>1026</v>
      </c>
      <c r="B354" t="s">
        <v>587</v>
      </c>
      <c r="C354" t="s">
        <v>1027</v>
      </c>
      <c r="D354" t="s">
        <v>37</v>
      </c>
      <c r="E354" t="s">
        <v>20</v>
      </c>
      <c r="F354">
        <v>60</v>
      </c>
      <c r="G354" t="s">
        <v>86</v>
      </c>
      <c r="H354" t="s">
        <v>39</v>
      </c>
      <c r="I354" t="s">
        <v>40</v>
      </c>
      <c r="J354">
        <v>413.22</v>
      </c>
      <c r="K354">
        <v>-2</v>
      </c>
      <c r="L354">
        <v>10</v>
      </c>
      <c r="M354" t="s">
        <v>77</v>
      </c>
      <c r="N354" t="s">
        <v>25</v>
      </c>
      <c r="O354" t="s">
        <v>26</v>
      </c>
      <c r="P354">
        <v>2</v>
      </c>
    </row>
    <row r="355" spans="1:16" x14ac:dyDescent="0.25">
      <c r="A355" t="s">
        <v>1028</v>
      </c>
      <c r="B355" t="s">
        <v>354</v>
      </c>
      <c r="C355" t="s">
        <v>1029</v>
      </c>
      <c r="D355" t="s">
        <v>101</v>
      </c>
      <c r="E355" t="s">
        <v>20</v>
      </c>
      <c r="F355">
        <v>130</v>
      </c>
      <c r="G355" t="s">
        <v>70</v>
      </c>
      <c r="H355" t="s">
        <v>22</v>
      </c>
      <c r="I355" t="s">
        <v>23</v>
      </c>
      <c r="J355">
        <v>281.83999999999997</v>
      </c>
      <c r="K355">
        <v>7</v>
      </c>
      <c r="L355">
        <v>120</v>
      </c>
      <c r="N355" t="s">
        <v>81</v>
      </c>
      <c r="O355" t="s">
        <v>65</v>
      </c>
      <c r="P355">
        <v>3</v>
      </c>
    </row>
    <row r="356" spans="1:16" x14ac:dyDescent="0.25">
      <c r="A356" t="s">
        <v>1030</v>
      </c>
      <c r="B356" t="s">
        <v>79</v>
      </c>
      <c r="C356" t="s">
        <v>1031</v>
      </c>
      <c r="D356" t="s">
        <v>69</v>
      </c>
      <c r="E356" t="s">
        <v>20</v>
      </c>
      <c r="F356">
        <v>130</v>
      </c>
      <c r="G356" t="s">
        <v>21</v>
      </c>
      <c r="H356" t="s">
        <v>54</v>
      </c>
      <c r="I356" t="s">
        <v>55</v>
      </c>
      <c r="J356">
        <v>108.81</v>
      </c>
      <c r="K356">
        <v>-2</v>
      </c>
      <c r="L356">
        <v>5</v>
      </c>
      <c r="M356" t="s">
        <v>77</v>
      </c>
      <c r="N356" t="s">
        <v>41</v>
      </c>
      <c r="O356" t="s">
        <v>82</v>
      </c>
      <c r="P356">
        <v>2</v>
      </c>
    </row>
    <row r="357" spans="1:16" x14ac:dyDescent="0.25">
      <c r="A357" t="s">
        <v>1032</v>
      </c>
      <c r="B357" t="s">
        <v>155</v>
      </c>
      <c r="C357" t="s">
        <v>1033</v>
      </c>
      <c r="D357" t="s">
        <v>63</v>
      </c>
      <c r="E357" t="s">
        <v>46</v>
      </c>
      <c r="F357">
        <v>30</v>
      </c>
      <c r="G357" t="s">
        <v>30</v>
      </c>
      <c r="H357" t="s">
        <v>48</v>
      </c>
      <c r="I357" t="s">
        <v>49</v>
      </c>
      <c r="J357">
        <v>359.28</v>
      </c>
      <c r="K357">
        <v>3</v>
      </c>
      <c r="L357">
        <v>10</v>
      </c>
      <c r="N357" t="s">
        <v>25</v>
      </c>
      <c r="O357" t="s">
        <v>65</v>
      </c>
      <c r="P357">
        <v>4</v>
      </c>
    </row>
    <row r="358" spans="1:16" x14ac:dyDescent="0.25">
      <c r="A358" t="s">
        <v>1034</v>
      </c>
      <c r="B358" t="s">
        <v>181</v>
      </c>
      <c r="C358" t="s">
        <v>1035</v>
      </c>
      <c r="D358" t="s">
        <v>45</v>
      </c>
      <c r="E358" t="s">
        <v>46</v>
      </c>
      <c r="F358">
        <v>27</v>
      </c>
      <c r="G358" t="s">
        <v>21</v>
      </c>
      <c r="H358" t="s">
        <v>48</v>
      </c>
      <c r="I358" t="s">
        <v>49</v>
      </c>
      <c r="J358">
        <v>156.76</v>
      </c>
      <c r="K358">
        <v>-2</v>
      </c>
      <c r="L358">
        <v>15</v>
      </c>
      <c r="M358" t="s">
        <v>59</v>
      </c>
      <c r="N358" t="s">
        <v>81</v>
      </c>
      <c r="O358" t="s">
        <v>82</v>
      </c>
      <c r="P358">
        <v>1</v>
      </c>
    </row>
    <row r="359" spans="1:16" x14ac:dyDescent="0.25">
      <c r="A359" t="s">
        <v>1036</v>
      </c>
      <c r="B359" t="s">
        <v>866</v>
      </c>
      <c r="C359" t="s">
        <v>1037</v>
      </c>
      <c r="D359" t="s">
        <v>19</v>
      </c>
      <c r="E359" t="s">
        <v>20</v>
      </c>
      <c r="F359">
        <v>8</v>
      </c>
      <c r="G359" t="s">
        <v>86</v>
      </c>
      <c r="H359" t="s">
        <v>87</v>
      </c>
      <c r="I359" t="s">
        <v>49</v>
      </c>
      <c r="J359">
        <v>382.92</v>
      </c>
      <c r="K359">
        <v>-2</v>
      </c>
      <c r="L359">
        <v>15</v>
      </c>
      <c r="M359" t="s">
        <v>77</v>
      </c>
      <c r="N359" t="s">
        <v>41</v>
      </c>
      <c r="O359" t="s">
        <v>26</v>
      </c>
      <c r="P359">
        <v>4</v>
      </c>
    </row>
    <row r="360" spans="1:16" x14ac:dyDescent="0.25">
      <c r="A360" t="s">
        <v>1038</v>
      </c>
      <c r="B360" t="s">
        <v>1039</v>
      </c>
      <c r="C360" t="s">
        <v>1040</v>
      </c>
      <c r="D360" t="s">
        <v>117</v>
      </c>
      <c r="E360" t="s">
        <v>46</v>
      </c>
      <c r="F360">
        <v>18</v>
      </c>
      <c r="G360" t="s">
        <v>53</v>
      </c>
      <c r="H360" t="s">
        <v>31</v>
      </c>
      <c r="I360" t="s">
        <v>32</v>
      </c>
      <c r="J360">
        <v>438.5</v>
      </c>
      <c r="K360">
        <v>-2</v>
      </c>
      <c r="L360">
        <v>0</v>
      </c>
      <c r="M360" t="s">
        <v>24</v>
      </c>
      <c r="N360" t="s">
        <v>81</v>
      </c>
      <c r="O360" t="s">
        <v>26</v>
      </c>
      <c r="P360">
        <v>4</v>
      </c>
    </row>
    <row r="361" spans="1:16" x14ac:dyDescent="0.25">
      <c r="A361" t="s">
        <v>1041</v>
      </c>
      <c r="B361" t="s">
        <v>1042</v>
      </c>
      <c r="C361" t="s">
        <v>904</v>
      </c>
      <c r="D361" t="s">
        <v>37</v>
      </c>
      <c r="E361" t="s">
        <v>46</v>
      </c>
      <c r="F361">
        <v>8</v>
      </c>
      <c r="G361" t="s">
        <v>53</v>
      </c>
      <c r="H361" t="s">
        <v>22</v>
      </c>
      <c r="I361" t="s">
        <v>23</v>
      </c>
      <c r="J361">
        <v>416.74</v>
      </c>
      <c r="K361">
        <v>-2</v>
      </c>
      <c r="L361">
        <v>5</v>
      </c>
      <c r="M361" t="s">
        <v>59</v>
      </c>
      <c r="N361" t="s">
        <v>81</v>
      </c>
      <c r="O361" t="s">
        <v>33</v>
      </c>
      <c r="P361">
        <v>5</v>
      </c>
    </row>
    <row r="362" spans="1:16" x14ac:dyDescent="0.25">
      <c r="A362" t="s">
        <v>1043</v>
      </c>
      <c r="B362" t="s">
        <v>711</v>
      </c>
      <c r="C362" t="s">
        <v>1044</v>
      </c>
      <c r="D362" t="s">
        <v>101</v>
      </c>
      <c r="E362" t="s">
        <v>20</v>
      </c>
      <c r="F362">
        <v>130</v>
      </c>
      <c r="G362" t="s">
        <v>70</v>
      </c>
      <c r="H362" t="s">
        <v>39</v>
      </c>
      <c r="I362" t="s">
        <v>40</v>
      </c>
      <c r="J362">
        <v>36.94</v>
      </c>
      <c r="K362">
        <v>-2</v>
      </c>
      <c r="L362">
        <v>-10</v>
      </c>
      <c r="N362" t="s">
        <v>25</v>
      </c>
      <c r="O362" t="s">
        <v>82</v>
      </c>
      <c r="P362">
        <v>2</v>
      </c>
    </row>
    <row r="363" spans="1:16" x14ac:dyDescent="0.25">
      <c r="A363" t="s">
        <v>1045</v>
      </c>
      <c r="B363" t="s">
        <v>1046</v>
      </c>
      <c r="C363" t="s">
        <v>1047</v>
      </c>
      <c r="D363" t="s">
        <v>117</v>
      </c>
      <c r="E363" t="s">
        <v>20</v>
      </c>
      <c r="F363">
        <v>18</v>
      </c>
      <c r="G363" t="s">
        <v>21</v>
      </c>
      <c r="H363" t="s">
        <v>31</v>
      </c>
      <c r="I363" t="s">
        <v>32</v>
      </c>
      <c r="J363">
        <v>396.39</v>
      </c>
      <c r="K363">
        <v>-2</v>
      </c>
      <c r="L363">
        <v>10</v>
      </c>
      <c r="N363" t="s">
        <v>91</v>
      </c>
      <c r="O363" t="s">
        <v>82</v>
      </c>
      <c r="P363">
        <v>2</v>
      </c>
    </row>
    <row r="364" spans="1:16" x14ac:dyDescent="0.25">
      <c r="A364" t="s">
        <v>1048</v>
      </c>
      <c r="B364" t="s">
        <v>1049</v>
      </c>
      <c r="C364" t="s">
        <v>1050</v>
      </c>
      <c r="D364" t="s">
        <v>101</v>
      </c>
      <c r="E364" t="s">
        <v>20</v>
      </c>
      <c r="F364">
        <v>130</v>
      </c>
      <c r="G364" t="s">
        <v>70</v>
      </c>
      <c r="H364" t="s">
        <v>121</v>
      </c>
      <c r="I364" t="s">
        <v>122</v>
      </c>
      <c r="J364">
        <v>12.78</v>
      </c>
      <c r="K364">
        <v>-2</v>
      </c>
      <c r="L364">
        <v>5</v>
      </c>
      <c r="M364" t="s">
        <v>59</v>
      </c>
      <c r="N364" t="s">
        <v>41</v>
      </c>
      <c r="O364" t="s">
        <v>82</v>
      </c>
    </row>
    <row r="365" spans="1:16" x14ac:dyDescent="0.25">
      <c r="A365" t="s">
        <v>1051</v>
      </c>
      <c r="B365" t="s">
        <v>178</v>
      </c>
      <c r="C365" t="s">
        <v>1052</v>
      </c>
      <c r="D365" t="s">
        <v>117</v>
      </c>
      <c r="E365" t="s">
        <v>46</v>
      </c>
      <c r="F365">
        <v>32</v>
      </c>
      <c r="G365" t="s">
        <v>47</v>
      </c>
      <c r="H365" t="s">
        <v>48</v>
      </c>
      <c r="I365" t="s">
        <v>49</v>
      </c>
      <c r="J365">
        <v>214.16</v>
      </c>
      <c r="K365">
        <v>10</v>
      </c>
      <c r="L365">
        <v>5</v>
      </c>
      <c r="M365" t="s">
        <v>24</v>
      </c>
      <c r="N365" t="s">
        <v>81</v>
      </c>
      <c r="O365" t="s">
        <v>82</v>
      </c>
      <c r="P365">
        <v>5</v>
      </c>
    </row>
    <row r="366" spans="1:16" x14ac:dyDescent="0.25">
      <c r="A366" t="s">
        <v>1053</v>
      </c>
      <c r="B366" t="s">
        <v>1054</v>
      </c>
      <c r="C366" t="s">
        <v>1055</v>
      </c>
      <c r="D366" t="s">
        <v>63</v>
      </c>
      <c r="E366" t="s">
        <v>46</v>
      </c>
      <c r="F366">
        <v>130</v>
      </c>
      <c r="G366" t="s">
        <v>30</v>
      </c>
      <c r="H366" t="s">
        <v>22</v>
      </c>
      <c r="I366" t="s">
        <v>23</v>
      </c>
      <c r="J366">
        <v>248.84</v>
      </c>
      <c r="K366">
        <v>7</v>
      </c>
      <c r="L366">
        <v>0</v>
      </c>
      <c r="M366" t="s">
        <v>64</v>
      </c>
      <c r="N366" t="s">
        <v>25</v>
      </c>
      <c r="O366" t="s">
        <v>65</v>
      </c>
      <c r="P366">
        <v>5</v>
      </c>
    </row>
    <row r="367" spans="1:16" x14ac:dyDescent="0.25">
      <c r="A367" t="s">
        <v>1056</v>
      </c>
      <c r="B367" t="s">
        <v>736</v>
      </c>
      <c r="C367" t="s">
        <v>1057</v>
      </c>
      <c r="D367" t="s">
        <v>63</v>
      </c>
      <c r="E367" t="s">
        <v>46</v>
      </c>
      <c r="F367">
        <v>8</v>
      </c>
      <c r="G367" t="s">
        <v>53</v>
      </c>
      <c r="H367" t="s">
        <v>121</v>
      </c>
      <c r="I367" t="s">
        <v>122</v>
      </c>
      <c r="J367">
        <v>60.65</v>
      </c>
      <c r="K367">
        <v>-2</v>
      </c>
      <c r="L367">
        <v>-10</v>
      </c>
      <c r="M367" t="s">
        <v>59</v>
      </c>
      <c r="N367" t="s">
        <v>25</v>
      </c>
      <c r="O367" t="s">
        <v>65</v>
      </c>
    </row>
    <row r="368" spans="1:16" x14ac:dyDescent="0.25">
      <c r="A368" t="s">
        <v>1058</v>
      </c>
      <c r="B368" t="s">
        <v>744</v>
      </c>
      <c r="C368" t="s">
        <v>1059</v>
      </c>
      <c r="D368" t="s">
        <v>45</v>
      </c>
      <c r="E368" t="s">
        <v>20</v>
      </c>
      <c r="F368">
        <v>8</v>
      </c>
      <c r="G368" t="s">
        <v>38</v>
      </c>
      <c r="H368" t="s">
        <v>121</v>
      </c>
      <c r="I368" t="s">
        <v>122</v>
      </c>
      <c r="J368">
        <v>24.53</v>
      </c>
      <c r="K368">
        <v>5</v>
      </c>
      <c r="L368">
        <v>15</v>
      </c>
      <c r="N368" t="s">
        <v>25</v>
      </c>
      <c r="O368" t="s">
        <v>26</v>
      </c>
      <c r="P368">
        <v>4</v>
      </c>
    </row>
    <row r="369" spans="1:16" x14ac:dyDescent="0.25">
      <c r="A369" t="s">
        <v>1060</v>
      </c>
      <c r="B369" t="s">
        <v>1061</v>
      </c>
      <c r="C369" t="s">
        <v>1062</v>
      </c>
      <c r="E369" t="s">
        <v>46</v>
      </c>
      <c r="F369">
        <v>130</v>
      </c>
      <c r="G369" t="s">
        <v>38</v>
      </c>
      <c r="H369" t="s">
        <v>48</v>
      </c>
      <c r="I369" t="s">
        <v>49</v>
      </c>
      <c r="J369">
        <v>80.97</v>
      </c>
      <c r="K369">
        <v>7</v>
      </c>
      <c r="L369">
        <v>5</v>
      </c>
      <c r="M369" t="s">
        <v>64</v>
      </c>
      <c r="N369" t="s">
        <v>25</v>
      </c>
      <c r="O369" t="s">
        <v>33</v>
      </c>
      <c r="P369">
        <v>5</v>
      </c>
    </row>
    <row r="370" spans="1:16" x14ac:dyDescent="0.25">
      <c r="A370" t="s">
        <v>1063</v>
      </c>
      <c r="B370" t="s">
        <v>1064</v>
      </c>
      <c r="C370" t="s">
        <v>332</v>
      </c>
      <c r="D370" t="s">
        <v>101</v>
      </c>
      <c r="E370" t="s">
        <v>46</v>
      </c>
      <c r="F370">
        <v>8</v>
      </c>
      <c r="G370" t="s">
        <v>30</v>
      </c>
      <c r="H370" t="s">
        <v>39</v>
      </c>
      <c r="I370" t="s">
        <v>40</v>
      </c>
      <c r="J370">
        <v>208.32</v>
      </c>
      <c r="K370">
        <v>3</v>
      </c>
      <c r="L370">
        <v>15</v>
      </c>
      <c r="M370" t="s">
        <v>64</v>
      </c>
      <c r="N370" t="s">
        <v>41</v>
      </c>
      <c r="O370" t="s">
        <v>33</v>
      </c>
      <c r="P370">
        <v>1</v>
      </c>
    </row>
    <row r="371" spans="1:16" x14ac:dyDescent="0.25">
      <c r="A371" t="s">
        <v>1065</v>
      </c>
      <c r="B371" t="s">
        <v>1066</v>
      </c>
      <c r="C371" t="s">
        <v>1067</v>
      </c>
      <c r="D371" t="s">
        <v>37</v>
      </c>
      <c r="E371" t="s">
        <v>20</v>
      </c>
      <c r="F371">
        <v>50</v>
      </c>
      <c r="G371" t="s">
        <v>47</v>
      </c>
      <c r="H371" t="s">
        <v>121</v>
      </c>
      <c r="I371" t="s">
        <v>122</v>
      </c>
      <c r="J371">
        <v>460.32</v>
      </c>
      <c r="K371">
        <v>-2</v>
      </c>
      <c r="L371">
        <v>120</v>
      </c>
      <c r="M371" t="s">
        <v>59</v>
      </c>
      <c r="N371" t="s">
        <v>41</v>
      </c>
      <c r="O371" t="s">
        <v>26</v>
      </c>
      <c r="P371">
        <v>5</v>
      </c>
    </row>
    <row r="372" spans="1:16" x14ac:dyDescent="0.25">
      <c r="A372" t="s">
        <v>1068</v>
      </c>
      <c r="B372" t="s">
        <v>887</v>
      </c>
      <c r="C372" t="s">
        <v>1069</v>
      </c>
      <c r="E372" t="s">
        <v>20</v>
      </c>
      <c r="F372">
        <v>8</v>
      </c>
      <c r="G372" t="s">
        <v>86</v>
      </c>
      <c r="H372" t="s">
        <v>121</v>
      </c>
      <c r="I372" t="s">
        <v>122</v>
      </c>
      <c r="J372">
        <v>289.43</v>
      </c>
      <c r="K372">
        <v>1</v>
      </c>
      <c r="L372">
        <v>0</v>
      </c>
      <c r="M372" t="s">
        <v>64</v>
      </c>
      <c r="N372" t="s">
        <v>25</v>
      </c>
      <c r="O372" t="s">
        <v>26</v>
      </c>
      <c r="P372">
        <v>4</v>
      </c>
    </row>
    <row r="373" spans="1:16" x14ac:dyDescent="0.25">
      <c r="A373" t="s">
        <v>1070</v>
      </c>
      <c r="B373" t="s">
        <v>807</v>
      </c>
      <c r="C373" t="s">
        <v>1071</v>
      </c>
      <c r="D373" t="s">
        <v>117</v>
      </c>
      <c r="E373" t="s">
        <v>20</v>
      </c>
      <c r="F373">
        <v>8</v>
      </c>
      <c r="G373" t="s">
        <v>47</v>
      </c>
      <c r="H373" t="s">
        <v>54</v>
      </c>
      <c r="I373" t="s">
        <v>55</v>
      </c>
      <c r="J373">
        <v>310.72000000000003</v>
      </c>
      <c r="K373">
        <v>-2</v>
      </c>
      <c r="L373">
        <v>5</v>
      </c>
      <c r="M373" t="s">
        <v>24</v>
      </c>
      <c r="N373" t="s">
        <v>41</v>
      </c>
      <c r="O373" t="s">
        <v>65</v>
      </c>
    </row>
    <row r="374" spans="1:16" x14ac:dyDescent="0.25">
      <c r="A374" t="s">
        <v>1072</v>
      </c>
      <c r="B374" t="s">
        <v>1073</v>
      </c>
      <c r="C374" t="s">
        <v>1074</v>
      </c>
      <c r="D374" t="s">
        <v>63</v>
      </c>
      <c r="E374" t="s">
        <v>46</v>
      </c>
      <c r="F374">
        <v>8</v>
      </c>
      <c r="G374" t="s">
        <v>86</v>
      </c>
      <c r="H374" t="s">
        <v>87</v>
      </c>
      <c r="I374" t="s">
        <v>49</v>
      </c>
      <c r="J374">
        <v>117.3</v>
      </c>
      <c r="K374">
        <v>-2</v>
      </c>
      <c r="L374">
        <v>5</v>
      </c>
      <c r="M374" t="s">
        <v>77</v>
      </c>
      <c r="N374" t="s">
        <v>91</v>
      </c>
      <c r="O374" t="s">
        <v>26</v>
      </c>
      <c r="P374">
        <v>3</v>
      </c>
    </row>
    <row r="375" spans="1:16" x14ac:dyDescent="0.25">
      <c r="A375" t="s">
        <v>1075</v>
      </c>
      <c r="B375" t="s">
        <v>178</v>
      </c>
      <c r="C375" t="s">
        <v>1076</v>
      </c>
      <c r="E375" t="s">
        <v>20</v>
      </c>
      <c r="F375">
        <v>8</v>
      </c>
      <c r="G375" t="s">
        <v>30</v>
      </c>
      <c r="H375" t="s">
        <v>87</v>
      </c>
      <c r="I375" t="s">
        <v>49</v>
      </c>
      <c r="J375">
        <v>281</v>
      </c>
      <c r="K375">
        <v>8</v>
      </c>
      <c r="L375">
        <v>15</v>
      </c>
      <c r="M375" t="s">
        <v>77</v>
      </c>
      <c r="N375" t="s">
        <v>41</v>
      </c>
      <c r="O375" t="s">
        <v>33</v>
      </c>
      <c r="P375">
        <v>5</v>
      </c>
    </row>
    <row r="376" spans="1:16" x14ac:dyDescent="0.25">
      <c r="A376" t="s">
        <v>1077</v>
      </c>
      <c r="B376" t="s">
        <v>461</v>
      </c>
      <c r="C376" t="s">
        <v>1078</v>
      </c>
      <c r="D376" t="s">
        <v>101</v>
      </c>
      <c r="E376" t="s">
        <v>46</v>
      </c>
      <c r="F376">
        <v>130</v>
      </c>
      <c r="G376" t="s">
        <v>53</v>
      </c>
      <c r="H376" t="s">
        <v>39</v>
      </c>
      <c r="I376" t="s">
        <v>40</v>
      </c>
      <c r="J376">
        <v>376.17</v>
      </c>
      <c r="K376">
        <v>-2</v>
      </c>
      <c r="L376">
        <v>120</v>
      </c>
      <c r="M376" t="s">
        <v>77</v>
      </c>
      <c r="N376" t="s">
        <v>25</v>
      </c>
      <c r="O376" t="s">
        <v>33</v>
      </c>
      <c r="P376">
        <v>1</v>
      </c>
    </row>
    <row r="377" spans="1:16" x14ac:dyDescent="0.25">
      <c r="A377" t="s">
        <v>1079</v>
      </c>
      <c r="B377" t="s">
        <v>1080</v>
      </c>
      <c r="C377" t="s">
        <v>1081</v>
      </c>
      <c r="D377" t="s">
        <v>117</v>
      </c>
      <c r="E377" t="s">
        <v>46</v>
      </c>
      <c r="F377">
        <v>130</v>
      </c>
      <c r="G377" t="s">
        <v>38</v>
      </c>
      <c r="H377" t="s">
        <v>54</v>
      </c>
      <c r="I377" t="s">
        <v>55</v>
      </c>
      <c r="J377">
        <v>255.59</v>
      </c>
      <c r="K377">
        <v>9</v>
      </c>
      <c r="L377">
        <v>15</v>
      </c>
      <c r="N377" t="s">
        <v>91</v>
      </c>
      <c r="O377" t="s">
        <v>33</v>
      </c>
      <c r="P377">
        <v>2</v>
      </c>
    </row>
    <row r="378" spans="1:16" x14ac:dyDescent="0.25">
      <c r="A378" t="s">
        <v>1082</v>
      </c>
      <c r="B378" t="s">
        <v>1083</v>
      </c>
      <c r="C378" t="s">
        <v>1084</v>
      </c>
      <c r="D378" t="s">
        <v>37</v>
      </c>
      <c r="E378" t="s">
        <v>20</v>
      </c>
      <c r="F378">
        <v>130</v>
      </c>
      <c r="G378" t="s">
        <v>70</v>
      </c>
      <c r="H378" t="s">
        <v>121</v>
      </c>
      <c r="I378" t="s">
        <v>122</v>
      </c>
      <c r="J378">
        <v>358.19</v>
      </c>
      <c r="K378">
        <v>4</v>
      </c>
      <c r="L378">
        <v>10</v>
      </c>
      <c r="N378" t="s">
        <v>41</v>
      </c>
      <c r="O378" t="s">
        <v>82</v>
      </c>
      <c r="P378">
        <v>5</v>
      </c>
    </row>
    <row r="379" spans="1:16" x14ac:dyDescent="0.25">
      <c r="A379" t="s">
        <v>1085</v>
      </c>
      <c r="B379" t="s">
        <v>1086</v>
      </c>
      <c r="C379" t="s">
        <v>1087</v>
      </c>
      <c r="D379" t="s">
        <v>19</v>
      </c>
      <c r="E379" t="s">
        <v>46</v>
      </c>
      <c r="F379">
        <v>8</v>
      </c>
      <c r="G379" t="s">
        <v>86</v>
      </c>
      <c r="H379" t="s">
        <v>31</v>
      </c>
      <c r="I379" t="s">
        <v>32</v>
      </c>
      <c r="J379">
        <v>309.97000000000003</v>
      </c>
      <c r="K379">
        <v>-2</v>
      </c>
      <c r="L379">
        <v>5</v>
      </c>
      <c r="N379" t="s">
        <v>25</v>
      </c>
      <c r="O379" t="s">
        <v>26</v>
      </c>
    </row>
    <row r="380" spans="1:16" x14ac:dyDescent="0.25">
      <c r="A380" t="s">
        <v>1088</v>
      </c>
      <c r="B380" t="s">
        <v>1089</v>
      </c>
      <c r="C380" t="s">
        <v>1090</v>
      </c>
      <c r="D380" t="s">
        <v>101</v>
      </c>
      <c r="E380" t="s">
        <v>20</v>
      </c>
      <c r="F380">
        <v>21</v>
      </c>
      <c r="G380" t="s">
        <v>21</v>
      </c>
      <c r="H380" t="s">
        <v>22</v>
      </c>
      <c r="I380" t="s">
        <v>23</v>
      </c>
      <c r="J380">
        <v>140.69999999999999</v>
      </c>
      <c r="K380">
        <v>9</v>
      </c>
      <c r="L380">
        <v>15</v>
      </c>
      <c r="M380" t="s">
        <v>77</v>
      </c>
      <c r="N380" t="s">
        <v>25</v>
      </c>
      <c r="O380" t="s">
        <v>65</v>
      </c>
      <c r="P380">
        <v>1</v>
      </c>
    </row>
    <row r="381" spans="1:16" x14ac:dyDescent="0.25">
      <c r="A381" t="s">
        <v>1091</v>
      </c>
      <c r="B381" t="s">
        <v>1092</v>
      </c>
      <c r="C381" t="s">
        <v>1093</v>
      </c>
      <c r="D381" t="s">
        <v>63</v>
      </c>
      <c r="E381" t="s">
        <v>46</v>
      </c>
      <c r="F381">
        <v>40</v>
      </c>
      <c r="G381" t="s">
        <v>30</v>
      </c>
      <c r="H381" t="s">
        <v>31</v>
      </c>
      <c r="I381" t="s">
        <v>32</v>
      </c>
      <c r="J381">
        <v>396.08</v>
      </c>
      <c r="K381">
        <v>-2</v>
      </c>
      <c r="L381">
        <v>-10</v>
      </c>
      <c r="N381" t="s">
        <v>41</v>
      </c>
      <c r="O381" t="s">
        <v>26</v>
      </c>
      <c r="P381">
        <v>1</v>
      </c>
    </row>
    <row r="382" spans="1:16" x14ac:dyDescent="0.25">
      <c r="A382" t="s">
        <v>1094</v>
      </c>
      <c r="B382" t="s">
        <v>1095</v>
      </c>
      <c r="C382" t="s">
        <v>1096</v>
      </c>
      <c r="D382" t="s">
        <v>19</v>
      </c>
      <c r="E382" t="s">
        <v>20</v>
      </c>
      <c r="F382">
        <v>130</v>
      </c>
      <c r="G382" t="s">
        <v>38</v>
      </c>
      <c r="H382" t="s">
        <v>39</v>
      </c>
      <c r="I382" t="s">
        <v>40</v>
      </c>
      <c r="J382">
        <v>435.65</v>
      </c>
      <c r="K382">
        <v>-2</v>
      </c>
      <c r="L382">
        <v>10</v>
      </c>
      <c r="N382" t="s">
        <v>91</v>
      </c>
      <c r="O382" t="s">
        <v>26</v>
      </c>
      <c r="P382">
        <v>5</v>
      </c>
    </row>
    <row r="383" spans="1:16" x14ac:dyDescent="0.25">
      <c r="A383" t="s">
        <v>1097</v>
      </c>
      <c r="B383" t="s">
        <v>1098</v>
      </c>
      <c r="C383" t="s">
        <v>1099</v>
      </c>
      <c r="D383" t="s">
        <v>69</v>
      </c>
      <c r="E383" t="s">
        <v>46</v>
      </c>
      <c r="F383">
        <v>34</v>
      </c>
      <c r="G383" t="s">
        <v>21</v>
      </c>
      <c r="H383" t="s">
        <v>87</v>
      </c>
      <c r="I383" t="s">
        <v>49</v>
      </c>
      <c r="J383">
        <v>209</v>
      </c>
      <c r="K383">
        <v>1</v>
      </c>
      <c r="L383">
        <v>120</v>
      </c>
      <c r="N383" t="s">
        <v>41</v>
      </c>
      <c r="O383" t="s">
        <v>65</v>
      </c>
      <c r="P383">
        <v>3</v>
      </c>
    </row>
    <row r="384" spans="1:16" x14ac:dyDescent="0.25">
      <c r="A384" t="s">
        <v>1100</v>
      </c>
      <c r="B384" t="s">
        <v>943</v>
      </c>
      <c r="C384" t="s">
        <v>1101</v>
      </c>
      <c r="D384" t="s">
        <v>19</v>
      </c>
      <c r="E384" t="s">
        <v>20</v>
      </c>
      <c r="F384">
        <v>23</v>
      </c>
      <c r="G384" t="s">
        <v>38</v>
      </c>
      <c r="H384" t="s">
        <v>48</v>
      </c>
      <c r="I384" t="s">
        <v>49</v>
      </c>
      <c r="J384">
        <v>158.25</v>
      </c>
      <c r="K384">
        <v>1</v>
      </c>
      <c r="L384">
        <v>10</v>
      </c>
      <c r="N384" t="s">
        <v>81</v>
      </c>
      <c r="O384" t="s">
        <v>82</v>
      </c>
    </row>
    <row r="385" spans="1:16" x14ac:dyDescent="0.25">
      <c r="A385" t="s">
        <v>1102</v>
      </c>
      <c r="B385" t="s">
        <v>1103</v>
      </c>
      <c r="C385" t="s">
        <v>1104</v>
      </c>
      <c r="D385" t="s">
        <v>63</v>
      </c>
      <c r="E385" t="s">
        <v>20</v>
      </c>
      <c r="F385">
        <v>8</v>
      </c>
      <c r="G385" t="s">
        <v>21</v>
      </c>
      <c r="H385" t="s">
        <v>121</v>
      </c>
      <c r="I385" t="s">
        <v>122</v>
      </c>
      <c r="J385">
        <v>428.28</v>
      </c>
      <c r="K385">
        <v>-2</v>
      </c>
      <c r="L385">
        <v>120</v>
      </c>
      <c r="M385" t="s">
        <v>24</v>
      </c>
      <c r="N385" t="s">
        <v>91</v>
      </c>
      <c r="O385" t="s">
        <v>82</v>
      </c>
      <c r="P385">
        <v>3</v>
      </c>
    </row>
    <row r="386" spans="1:16" x14ac:dyDescent="0.25">
      <c r="A386" t="s">
        <v>1105</v>
      </c>
      <c r="B386" t="s">
        <v>820</v>
      </c>
      <c r="C386" t="s">
        <v>1106</v>
      </c>
      <c r="E386" t="s">
        <v>46</v>
      </c>
      <c r="F386">
        <v>26</v>
      </c>
      <c r="G386" t="s">
        <v>86</v>
      </c>
      <c r="H386" t="s">
        <v>22</v>
      </c>
      <c r="I386" t="s">
        <v>23</v>
      </c>
      <c r="J386">
        <v>254.75</v>
      </c>
      <c r="K386">
        <v>5</v>
      </c>
      <c r="L386">
        <v>-10</v>
      </c>
      <c r="M386" t="s">
        <v>77</v>
      </c>
      <c r="N386" t="s">
        <v>81</v>
      </c>
      <c r="O386" t="s">
        <v>82</v>
      </c>
      <c r="P386">
        <v>4</v>
      </c>
    </row>
    <row r="387" spans="1:16" x14ac:dyDescent="0.25">
      <c r="A387" t="s">
        <v>1107</v>
      </c>
      <c r="B387" t="s">
        <v>708</v>
      </c>
      <c r="C387" t="s">
        <v>1108</v>
      </c>
      <c r="D387" t="s">
        <v>19</v>
      </c>
      <c r="E387" t="s">
        <v>20</v>
      </c>
      <c r="F387">
        <v>130</v>
      </c>
      <c r="G387" t="s">
        <v>53</v>
      </c>
      <c r="H387" t="s">
        <v>54</v>
      </c>
      <c r="I387" t="s">
        <v>55</v>
      </c>
      <c r="J387">
        <v>312.45</v>
      </c>
      <c r="K387">
        <v>7</v>
      </c>
      <c r="L387">
        <v>0</v>
      </c>
      <c r="M387" t="s">
        <v>77</v>
      </c>
      <c r="N387" t="s">
        <v>91</v>
      </c>
      <c r="O387" t="s">
        <v>82</v>
      </c>
      <c r="P387">
        <v>4</v>
      </c>
    </row>
    <row r="388" spans="1:16" x14ac:dyDescent="0.25">
      <c r="A388" t="s">
        <v>1109</v>
      </c>
      <c r="B388" t="s">
        <v>568</v>
      </c>
      <c r="C388" t="s">
        <v>1110</v>
      </c>
      <c r="D388" t="s">
        <v>45</v>
      </c>
      <c r="E388" t="s">
        <v>20</v>
      </c>
      <c r="F388">
        <v>130</v>
      </c>
      <c r="G388" t="s">
        <v>21</v>
      </c>
      <c r="H388" t="s">
        <v>31</v>
      </c>
      <c r="I388" t="s">
        <v>32</v>
      </c>
      <c r="J388">
        <v>78.42</v>
      </c>
      <c r="K388">
        <v>9</v>
      </c>
      <c r="L388">
        <v>5</v>
      </c>
      <c r="N388" t="s">
        <v>81</v>
      </c>
      <c r="O388" t="s">
        <v>82</v>
      </c>
      <c r="P388">
        <v>1</v>
      </c>
    </row>
    <row r="389" spans="1:16" x14ac:dyDescent="0.25">
      <c r="A389" t="s">
        <v>1111</v>
      </c>
      <c r="B389" t="s">
        <v>911</v>
      </c>
      <c r="C389" t="s">
        <v>1112</v>
      </c>
      <c r="D389" t="s">
        <v>19</v>
      </c>
      <c r="E389" t="s">
        <v>46</v>
      </c>
      <c r="F389">
        <v>130</v>
      </c>
      <c r="G389" t="s">
        <v>38</v>
      </c>
      <c r="H389" t="s">
        <v>22</v>
      </c>
      <c r="I389" t="s">
        <v>23</v>
      </c>
      <c r="J389">
        <v>150.21</v>
      </c>
      <c r="K389">
        <v>-2</v>
      </c>
      <c r="L389">
        <v>5</v>
      </c>
      <c r="M389" t="s">
        <v>24</v>
      </c>
      <c r="N389" t="s">
        <v>25</v>
      </c>
      <c r="O389" t="s">
        <v>33</v>
      </c>
      <c r="P389">
        <v>3</v>
      </c>
    </row>
    <row r="390" spans="1:16" x14ac:dyDescent="0.25">
      <c r="A390" t="s">
        <v>1113</v>
      </c>
      <c r="B390" t="s">
        <v>1114</v>
      </c>
      <c r="C390" t="s">
        <v>1115</v>
      </c>
      <c r="D390" t="s">
        <v>63</v>
      </c>
      <c r="E390" t="s">
        <v>20</v>
      </c>
      <c r="F390">
        <v>130</v>
      </c>
      <c r="G390" t="s">
        <v>86</v>
      </c>
      <c r="H390" t="s">
        <v>54</v>
      </c>
      <c r="I390" t="s">
        <v>55</v>
      </c>
      <c r="J390">
        <v>205.39</v>
      </c>
      <c r="K390">
        <v>6</v>
      </c>
      <c r="L390">
        <v>10</v>
      </c>
      <c r="M390" t="s">
        <v>59</v>
      </c>
      <c r="N390" t="s">
        <v>25</v>
      </c>
      <c r="O390" t="s">
        <v>65</v>
      </c>
      <c r="P390">
        <v>3</v>
      </c>
    </row>
    <row r="391" spans="1:16" x14ac:dyDescent="0.25">
      <c r="A391" t="s">
        <v>1116</v>
      </c>
      <c r="B391" t="s">
        <v>1117</v>
      </c>
      <c r="C391" t="s">
        <v>1118</v>
      </c>
      <c r="D391" t="s">
        <v>63</v>
      </c>
      <c r="E391" t="s">
        <v>20</v>
      </c>
      <c r="F391">
        <v>130</v>
      </c>
      <c r="G391" t="s">
        <v>47</v>
      </c>
      <c r="H391" t="s">
        <v>22</v>
      </c>
      <c r="I391" t="s">
        <v>23</v>
      </c>
      <c r="J391">
        <v>145.66999999999999</v>
      </c>
      <c r="K391">
        <v>9</v>
      </c>
      <c r="L391">
        <v>15</v>
      </c>
      <c r="N391" t="s">
        <v>41</v>
      </c>
      <c r="O391" t="s">
        <v>26</v>
      </c>
    </row>
    <row r="392" spans="1:16" x14ac:dyDescent="0.25">
      <c r="A392" t="s">
        <v>1119</v>
      </c>
      <c r="B392" t="s">
        <v>1120</v>
      </c>
      <c r="C392" t="s">
        <v>1121</v>
      </c>
      <c r="D392" t="s">
        <v>117</v>
      </c>
      <c r="E392" t="s">
        <v>46</v>
      </c>
      <c r="F392">
        <v>8</v>
      </c>
      <c r="G392" t="s">
        <v>30</v>
      </c>
      <c r="H392" t="s">
        <v>48</v>
      </c>
      <c r="I392" t="s">
        <v>49</v>
      </c>
      <c r="J392">
        <v>182.22</v>
      </c>
      <c r="K392">
        <v>10</v>
      </c>
      <c r="L392">
        <v>15</v>
      </c>
      <c r="N392" t="s">
        <v>25</v>
      </c>
      <c r="O392" t="s">
        <v>26</v>
      </c>
      <c r="P392">
        <v>1</v>
      </c>
    </row>
    <row r="393" spans="1:16" x14ac:dyDescent="0.25">
      <c r="A393" t="s">
        <v>1122</v>
      </c>
      <c r="B393" t="s">
        <v>794</v>
      </c>
      <c r="C393" t="s">
        <v>1123</v>
      </c>
      <c r="D393" t="s">
        <v>63</v>
      </c>
      <c r="E393" t="s">
        <v>46</v>
      </c>
      <c r="F393">
        <v>30</v>
      </c>
      <c r="G393" t="s">
        <v>53</v>
      </c>
      <c r="H393" t="s">
        <v>48</v>
      </c>
      <c r="I393" t="s">
        <v>49</v>
      </c>
      <c r="J393">
        <v>376.62</v>
      </c>
      <c r="K393">
        <v>-2</v>
      </c>
      <c r="L393">
        <v>10</v>
      </c>
      <c r="M393" t="s">
        <v>77</v>
      </c>
      <c r="N393" t="s">
        <v>81</v>
      </c>
      <c r="O393" t="s">
        <v>82</v>
      </c>
      <c r="P393">
        <v>2</v>
      </c>
    </row>
    <row r="394" spans="1:16" x14ac:dyDescent="0.25">
      <c r="A394" t="s">
        <v>1124</v>
      </c>
      <c r="B394" t="s">
        <v>568</v>
      </c>
      <c r="C394" t="s">
        <v>1125</v>
      </c>
      <c r="D394" t="s">
        <v>37</v>
      </c>
      <c r="E394" t="s">
        <v>20</v>
      </c>
      <c r="F394">
        <v>8</v>
      </c>
      <c r="G394" t="s">
        <v>21</v>
      </c>
      <c r="H394" t="s">
        <v>31</v>
      </c>
      <c r="I394" t="s">
        <v>32</v>
      </c>
      <c r="J394">
        <v>141.85</v>
      </c>
      <c r="K394">
        <v>6</v>
      </c>
      <c r="L394">
        <v>120</v>
      </c>
      <c r="M394" t="s">
        <v>24</v>
      </c>
      <c r="N394" t="s">
        <v>91</v>
      </c>
      <c r="O394" t="s">
        <v>65</v>
      </c>
      <c r="P394">
        <v>4</v>
      </c>
    </row>
    <row r="395" spans="1:16" x14ac:dyDescent="0.25">
      <c r="A395" t="s">
        <v>1126</v>
      </c>
      <c r="B395" t="s">
        <v>1127</v>
      </c>
      <c r="C395" t="s">
        <v>1128</v>
      </c>
      <c r="D395" t="s">
        <v>19</v>
      </c>
      <c r="E395" t="s">
        <v>20</v>
      </c>
      <c r="F395">
        <v>48</v>
      </c>
      <c r="G395" t="s">
        <v>53</v>
      </c>
      <c r="H395" t="s">
        <v>87</v>
      </c>
      <c r="I395" t="s">
        <v>49</v>
      </c>
      <c r="J395">
        <v>462.99</v>
      </c>
      <c r="K395">
        <v>1</v>
      </c>
      <c r="L395">
        <v>120</v>
      </c>
      <c r="M395" t="s">
        <v>59</v>
      </c>
      <c r="N395" t="s">
        <v>91</v>
      </c>
      <c r="O395" t="s">
        <v>82</v>
      </c>
      <c r="P395">
        <v>2</v>
      </c>
    </row>
    <row r="396" spans="1:16" x14ac:dyDescent="0.25">
      <c r="A396" t="s">
        <v>1129</v>
      </c>
      <c r="B396" t="s">
        <v>1130</v>
      </c>
      <c r="C396" t="s">
        <v>1131</v>
      </c>
      <c r="D396" t="s">
        <v>45</v>
      </c>
      <c r="E396" t="s">
        <v>20</v>
      </c>
      <c r="F396">
        <v>25</v>
      </c>
      <c r="G396" t="s">
        <v>38</v>
      </c>
      <c r="H396" t="s">
        <v>31</v>
      </c>
      <c r="I396" t="s">
        <v>32</v>
      </c>
      <c r="J396">
        <v>211.77</v>
      </c>
      <c r="K396">
        <v>7</v>
      </c>
      <c r="L396">
        <v>-10</v>
      </c>
      <c r="M396" t="s">
        <v>64</v>
      </c>
      <c r="N396" t="s">
        <v>25</v>
      </c>
      <c r="O396" t="s">
        <v>33</v>
      </c>
      <c r="P396">
        <v>4</v>
      </c>
    </row>
    <row r="397" spans="1:16" x14ac:dyDescent="0.25">
      <c r="A397" t="s">
        <v>1132</v>
      </c>
      <c r="B397" t="s">
        <v>1117</v>
      </c>
      <c r="C397" t="s">
        <v>1133</v>
      </c>
      <c r="D397" t="s">
        <v>117</v>
      </c>
      <c r="E397" t="s">
        <v>46</v>
      </c>
      <c r="F397">
        <v>21</v>
      </c>
      <c r="G397" t="s">
        <v>53</v>
      </c>
      <c r="H397" t="s">
        <v>22</v>
      </c>
      <c r="I397" t="s">
        <v>23</v>
      </c>
      <c r="J397">
        <v>98.25</v>
      </c>
      <c r="K397">
        <v>-2</v>
      </c>
      <c r="L397">
        <v>-10</v>
      </c>
      <c r="M397" t="s">
        <v>64</v>
      </c>
      <c r="N397" t="s">
        <v>25</v>
      </c>
      <c r="O397" t="s">
        <v>26</v>
      </c>
      <c r="P397">
        <v>4</v>
      </c>
    </row>
    <row r="398" spans="1:16" x14ac:dyDescent="0.25">
      <c r="A398" t="s">
        <v>1134</v>
      </c>
      <c r="B398" t="s">
        <v>1135</v>
      </c>
      <c r="C398" t="s">
        <v>994</v>
      </c>
      <c r="D398" t="s">
        <v>37</v>
      </c>
      <c r="E398" t="s">
        <v>20</v>
      </c>
      <c r="F398">
        <v>130</v>
      </c>
      <c r="G398" t="s">
        <v>70</v>
      </c>
      <c r="H398" t="s">
        <v>39</v>
      </c>
      <c r="I398" t="s">
        <v>40</v>
      </c>
      <c r="J398">
        <v>345.05</v>
      </c>
      <c r="K398">
        <v>-2</v>
      </c>
      <c r="L398">
        <v>10</v>
      </c>
      <c r="M398" t="s">
        <v>77</v>
      </c>
      <c r="N398" t="s">
        <v>81</v>
      </c>
      <c r="O398" t="s">
        <v>65</v>
      </c>
      <c r="P398">
        <v>3</v>
      </c>
    </row>
    <row r="399" spans="1:16" x14ac:dyDescent="0.25">
      <c r="A399" t="s">
        <v>1136</v>
      </c>
      <c r="B399" t="s">
        <v>1137</v>
      </c>
      <c r="C399" t="s">
        <v>1138</v>
      </c>
      <c r="D399" t="s">
        <v>101</v>
      </c>
      <c r="E399" t="s">
        <v>20</v>
      </c>
      <c r="F399">
        <v>130</v>
      </c>
      <c r="G399" t="s">
        <v>21</v>
      </c>
      <c r="H399" t="s">
        <v>48</v>
      </c>
      <c r="I399" t="s">
        <v>49</v>
      </c>
      <c r="J399">
        <v>204.61</v>
      </c>
      <c r="K399">
        <v>6</v>
      </c>
      <c r="L399">
        <v>120</v>
      </c>
      <c r="M399" t="s">
        <v>64</v>
      </c>
      <c r="N399" t="s">
        <v>25</v>
      </c>
      <c r="O399" t="s">
        <v>26</v>
      </c>
      <c r="P399">
        <v>1</v>
      </c>
    </row>
    <row r="400" spans="1:16" x14ac:dyDescent="0.25">
      <c r="A400" t="s">
        <v>1139</v>
      </c>
      <c r="B400" t="s">
        <v>917</v>
      </c>
      <c r="C400" t="s">
        <v>1140</v>
      </c>
      <c r="E400" t="s">
        <v>46</v>
      </c>
      <c r="F400">
        <v>62</v>
      </c>
      <c r="G400" t="s">
        <v>38</v>
      </c>
      <c r="H400" t="s">
        <v>39</v>
      </c>
      <c r="I400" t="s">
        <v>40</v>
      </c>
      <c r="J400">
        <v>468.2</v>
      </c>
      <c r="K400">
        <v>-2</v>
      </c>
      <c r="L400">
        <v>120</v>
      </c>
      <c r="M400" t="s">
        <v>77</v>
      </c>
      <c r="N400" t="s">
        <v>91</v>
      </c>
      <c r="O400" t="s">
        <v>65</v>
      </c>
      <c r="P400">
        <v>4</v>
      </c>
    </row>
    <row r="401" spans="1:16" x14ac:dyDescent="0.25">
      <c r="A401" t="s">
        <v>1141</v>
      </c>
      <c r="B401" t="s">
        <v>1142</v>
      </c>
      <c r="C401" t="s">
        <v>1143</v>
      </c>
      <c r="D401" t="s">
        <v>45</v>
      </c>
      <c r="E401" t="s">
        <v>20</v>
      </c>
      <c r="F401">
        <v>8</v>
      </c>
      <c r="G401" t="s">
        <v>70</v>
      </c>
      <c r="H401" t="s">
        <v>31</v>
      </c>
      <c r="I401" t="s">
        <v>32</v>
      </c>
      <c r="J401">
        <v>75.900000000000006</v>
      </c>
      <c r="K401">
        <v>-2</v>
      </c>
      <c r="L401">
        <v>10</v>
      </c>
      <c r="N401" t="s">
        <v>91</v>
      </c>
      <c r="O401" t="s">
        <v>26</v>
      </c>
      <c r="P401">
        <v>5</v>
      </c>
    </row>
    <row r="402" spans="1:16" x14ac:dyDescent="0.25">
      <c r="A402" t="s">
        <v>1144</v>
      </c>
      <c r="B402" t="s">
        <v>581</v>
      </c>
      <c r="C402" t="s">
        <v>1145</v>
      </c>
      <c r="D402" t="s">
        <v>45</v>
      </c>
      <c r="E402" t="s">
        <v>46</v>
      </c>
      <c r="F402">
        <v>130</v>
      </c>
      <c r="G402" t="s">
        <v>21</v>
      </c>
      <c r="H402" t="s">
        <v>48</v>
      </c>
      <c r="I402" t="s">
        <v>49</v>
      </c>
      <c r="J402">
        <v>122.21</v>
      </c>
      <c r="K402">
        <v>-2</v>
      </c>
      <c r="L402">
        <v>10</v>
      </c>
      <c r="M402" t="s">
        <v>59</v>
      </c>
      <c r="N402" t="s">
        <v>41</v>
      </c>
      <c r="O402" t="s">
        <v>82</v>
      </c>
    </row>
    <row r="403" spans="1:16" x14ac:dyDescent="0.25">
      <c r="A403" t="s">
        <v>1146</v>
      </c>
      <c r="B403" t="s">
        <v>849</v>
      </c>
      <c r="C403" t="s">
        <v>1147</v>
      </c>
      <c r="E403" t="s">
        <v>46</v>
      </c>
      <c r="F403">
        <v>8</v>
      </c>
      <c r="G403" t="s">
        <v>38</v>
      </c>
      <c r="H403" t="s">
        <v>48</v>
      </c>
      <c r="I403" t="s">
        <v>49</v>
      </c>
      <c r="J403">
        <v>70.89</v>
      </c>
      <c r="K403">
        <v>-2</v>
      </c>
      <c r="L403">
        <v>-10</v>
      </c>
      <c r="M403" t="s">
        <v>64</v>
      </c>
      <c r="N403" t="s">
        <v>91</v>
      </c>
      <c r="O403" t="s">
        <v>26</v>
      </c>
      <c r="P403">
        <v>4</v>
      </c>
    </row>
    <row r="404" spans="1:16" x14ac:dyDescent="0.25">
      <c r="A404" t="s">
        <v>1148</v>
      </c>
      <c r="B404" t="s">
        <v>1149</v>
      </c>
      <c r="C404" t="s">
        <v>1150</v>
      </c>
      <c r="D404" t="s">
        <v>63</v>
      </c>
      <c r="E404" t="s">
        <v>20</v>
      </c>
      <c r="F404">
        <v>130</v>
      </c>
      <c r="G404" t="s">
        <v>21</v>
      </c>
      <c r="H404" t="s">
        <v>39</v>
      </c>
      <c r="I404" t="s">
        <v>40</v>
      </c>
      <c r="J404">
        <v>46.65</v>
      </c>
      <c r="K404">
        <v>-2</v>
      </c>
      <c r="L404">
        <v>-10</v>
      </c>
      <c r="M404" t="s">
        <v>77</v>
      </c>
      <c r="N404" t="s">
        <v>91</v>
      </c>
      <c r="O404" t="s">
        <v>65</v>
      </c>
    </row>
    <row r="405" spans="1:16" x14ac:dyDescent="0.25">
      <c r="A405" t="s">
        <v>1151</v>
      </c>
      <c r="B405" t="s">
        <v>178</v>
      </c>
      <c r="C405" t="s">
        <v>1152</v>
      </c>
      <c r="D405" t="s">
        <v>69</v>
      </c>
      <c r="E405" t="s">
        <v>46</v>
      </c>
      <c r="F405">
        <v>24</v>
      </c>
      <c r="G405" t="s">
        <v>30</v>
      </c>
      <c r="H405" t="s">
        <v>54</v>
      </c>
      <c r="I405" t="s">
        <v>55</v>
      </c>
      <c r="J405">
        <v>92.95</v>
      </c>
      <c r="K405">
        <v>1</v>
      </c>
      <c r="L405">
        <v>0</v>
      </c>
      <c r="M405" t="s">
        <v>59</v>
      </c>
      <c r="N405" t="s">
        <v>81</v>
      </c>
      <c r="O405" t="s">
        <v>65</v>
      </c>
    </row>
    <row r="406" spans="1:16" x14ac:dyDescent="0.25">
      <c r="A406" t="s">
        <v>1153</v>
      </c>
      <c r="B406" t="s">
        <v>1154</v>
      </c>
      <c r="C406" t="s">
        <v>1155</v>
      </c>
      <c r="D406" t="s">
        <v>69</v>
      </c>
      <c r="E406" t="s">
        <v>46</v>
      </c>
      <c r="F406">
        <v>25</v>
      </c>
      <c r="G406" t="s">
        <v>70</v>
      </c>
      <c r="H406" t="s">
        <v>39</v>
      </c>
      <c r="I406" t="s">
        <v>40</v>
      </c>
      <c r="J406">
        <v>358.53</v>
      </c>
      <c r="K406">
        <v>5</v>
      </c>
      <c r="L406">
        <v>5</v>
      </c>
      <c r="M406" t="s">
        <v>77</v>
      </c>
      <c r="N406" t="s">
        <v>91</v>
      </c>
      <c r="O406" t="s">
        <v>82</v>
      </c>
      <c r="P406">
        <v>4</v>
      </c>
    </row>
    <row r="407" spans="1:16" x14ac:dyDescent="0.25">
      <c r="A407" t="s">
        <v>1156</v>
      </c>
      <c r="B407" t="s">
        <v>144</v>
      </c>
      <c r="C407" t="s">
        <v>1157</v>
      </c>
      <c r="D407" t="s">
        <v>19</v>
      </c>
      <c r="E407" t="s">
        <v>20</v>
      </c>
      <c r="F407">
        <v>27</v>
      </c>
      <c r="G407" t="s">
        <v>30</v>
      </c>
      <c r="H407" t="s">
        <v>54</v>
      </c>
      <c r="I407" t="s">
        <v>55</v>
      </c>
      <c r="J407">
        <v>192.58</v>
      </c>
      <c r="K407">
        <v>-2</v>
      </c>
      <c r="L407">
        <v>0</v>
      </c>
      <c r="M407" t="s">
        <v>77</v>
      </c>
      <c r="N407" t="s">
        <v>41</v>
      </c>
      <c r="O407" t="s">
        <v>82</v>
      </c>
      <c r="P407">
        <v>4</v>
      </c>
    </row>
    <row r="408" spans="1:16" x14ac:dyDescent="0.25">
      <c r="A408" t="s">
        <v>1158</v>
      </c>
      <c r="B408" t="s">
        <v>1159</v>
      </c>
      <c r="C408" t="s">
        <v>1160</v>
      </c>
      <c r="D408" t="s">
        <v>19</v>
      </c>
      <c r="E408" t="s">
        <v>46</v>
      </c>
      <c r="F408">
        <v>130</v>
      </c>
      <c r="G408" t="s">
        <v>21</v>
      </c>
      <c r="H408" t="s">
        <v>22</v>
      </c>
      <c r="I408" t="s">
        <v>23</v>
      </c>
      <c r="J408">
        <v>190.34</v>
      </c>
      <c r="K408">
        <v>5</v>
      </c>
      <c r="L408">
        <v>10</v>
      </c>
      <c r="M408" t="s">
        <v>24</v>
      </c>
      <c r="N408" t="s">
        <v>91</v>
      </c>
      <c r="O408" t="s">
        <v>26</v>
      </c>
      <c r="P408">
        <v>4</v>
      </c>
    </row>
    <row r="409" spans="1:16" x14ac:dyDescent="0.25">
      <c r="A409" t="s">
        <v>1161</v>
      </c>
      <c r="B409" t="s">
        <v>1162</v>
      </c>
      <c r="C409" t="s">
        <v>1163</v>
      </c>
      <c r="D409" t="s">
        <v>117</v>
      </c>
      <c r="E409" t="s">
        <v>20</v>
      </c>
      <c r="F409">
        <v>26</v>
      </c>
      <c r="G409" t="s">
        <v>38</v>
      </c>
      <c r="H409" t="s">
        <v>22</v>
      </c>
      <c r="I409" t="s">
        <v>23</v>
      </c>
      <c r="J409">
        <v>238.8</v>
      </c>
      <c r="K409">
        <v>1</v>
      </c>
      <c r="L409">
        <v>5</v>
      </c>
      <c r="M409" t="s">
        <v>64</v>
      </c>
      <c r="N409" t="s">
        <v>91</v>
      </c>
      <c r="O409" t="s">
        <v>33</v>
      </c>
      <c r="P409">
        <v>3</v>
      </c>
    </row>
    <row r="410" spans="1:16" x14ac:dyDescent="0.25">
      <c r="A410" t="s">
        <v>1164</v>
      </c>
      <c r="B410" t="s">
        <v>1165</v>
      </c>
      <c r="C410" t="s">
        <v>1166</v>
      </c>
      <c r="D410" t="s">
        <v>117</v>
      </c>
      <c r="E410" t="s">
        <v>46</v>
      </c>
      <c r="F410">
        <v>130</v>
      </c>
      <c r="G410" t="s">
        <v>30</v>
      </c>
      <c r="H410" t="s">
        <v>22</v>
      </c>
      <c r="I410" t="s">
        <v>23</v>
      </c>
      <c r="J410">
        <v>332.02</v>
      </c>
      <c r="K410">
        <v>-2</v>
      </c>
      <c r="L410">
        <v>0</v>
      </c>
      <c r="M410" t="s">
        <v>24</v>
      </c>
      <c r="N410" t="s">
        <v>81</v>
      </c>
      <c r="O410" t="s">
        <v>26</v>
      </c>
      <c r="P410">
        <v>4</v>
      </c>
    </row>
    <row r="411" spans="1:16" x14ac:dyDescent="0.25">
      <c r="A411" t="s">
        <v>1167</v>
      </c>
      <c r="B411" t="s">
        <v>884</v>
      </c>
      <c r="C411" t="s">
        <v>1168</v>
      </c>
      <c r="D411" t="s">
        <v>45</v>
      </c>
      <c r="E411" t="s">
        <v>20</v>
      </c>
      <c r="F411">
        <v>8</v>
      </c>
      <c r="G411" t="s">
        <v>21</v>
      </c>
      <c r="H411" t="s">
        <v>48</v>
      </c>
      <c r="I411" t="s">
        <v>49</v>
      </c>
      <c r="J411">
        <v>61.45</v>
      </c>
      <c r="K411">
        <v>3</v>
      </c>
      <c r="L411">
        <v>0</v>
      </c>
      <c r="M411" t="s">
        <v>77</v>
      </c>
      <c r="N411" t="s">
        <v>81</v>
      </c>
      <c r="O411" t="s">
        <v>65</v>
      </c>
      <c r="P411">
        <v>5</v>
      </c>
    </row>
    <row r="412" spans="1:16" x14ac:dyDescent="0.25">
      <c r="A412" t="s">
        <v>1169</v>
      </c>
      <c r="B412" t="s">
        <v>1170</v>
      </c>
      <c r="C412" t="s">
        <v>1171</v>
      </c>
      <c r="D412" t="s">
        <v>69</v>
      </c>
      <c r="E412" t="s">
        <v>46</v>
      </c>
      <c r="F412">
        <v>43</v>
      </c>
      <c r="G412" t="s">
        <v>47</v>
      </c>
      <c r="H412" t="s">
        <v>121</v>
      </c>
      <c r="I412" t="s">
        <v>122</v>
      </c>
      <c r="J412">
        <v>194.23</v>
      </c>
      <c r="K412">
        <v>10</v>
      </c>
      <c r="L412">
        <v>10</v>
      </c>
      <c r="M412" t="s">
        <v>59</v>
      </c>
      <c r="N412" t="s">
        <v>41</v>
      </c>
      <c r="O412" t="s">
        <v>33</v>
      </c>
      <c r="P412">
        <v>2</v>
      </c>
    </row>
    <row r="413" spans="1:16" x14ac:dyDescent="0.25">
      <c r="A413" t="s">
        <v>1172</v>
      </c>
      <c r="B413" t="s">
        <v>1173</v>
      </c>
      <c r="C413" t="s">
        <v>1174</v>
      </c>
      <c r="D413" t="s">
        <v>19</v>
      </c>
      <c r="E413" t="s">
        <v>20</v>
      </c>
      <c r="F413">
        <v>58</v>
      </c>
      <c r="G413" t="s">
        <v>86</v>
      </c>
      <c r="H413" t="s">
        <v>54</v>
      </c>
      <c r="I413" t="s">
        <v>55</v>
      </c>
      <c r="J413">
        <v>45.44</v>
      </c>
      <c r="K413">
        <v>4</v>
      </c>
      <c r="L413">
        <v>5</v>
      </c>
      <c r="M413" t="s">
        <v>24</v>
      </c>
      <c r="N413" t="s">
        <v>91</v>
      </c>
      <c r="O413" t="s">
        <v>65</v>
      </c>
      <c r="P413">
        <v>5</v>
      </c>
    </row>
    <row r="414" spans="1:16" x14ac:dyDescent="0.25">
      <c r="A414" t="s">
        <v>1175</v>
      </c>
      <c r="B414" t="s">
        <v>178</v>
      </c>
      <c r="C414" t="s">
        <v>1176</v>
      </c>
      <c r="D414" t="s">
        <v>63</v>
      </c>
      <c r="E414" t="s">
        <v>46</v>
      </c>
      <c r="F414">
        <v>39</v>
      </c>
      <c r="G414" t="s">
        <v>30</v>
      </c>
      <c r="H414" t="s">
        <v>48</v>
      </c>
      <c r="I414" t="s">
        <v>49</v>
      </c>
      <c r="J414">
        <v>21.21</v>
      </c>
      <c r="K414">
        <v>-2</v>
      </c>
      <c r="L414">
        <v>-10</v>
      </c>
      <c r="M414" t="s">
        <v>64</v>
      </c>
      <c r="N414" t="s">
        <v>81</v>
      </c>
      <c r="O414" t="s">
        <v>82</v>
      </c>
      <c r="P414">
        <v>5</v>
      </c>
    </row>
    <row r="415" spans="1:16" x14ac:dyDescent="0.25">
      <c r="A415" t="s">
        <v>1177</v>
      </c>
      <c r="B415" t="s">
        <v>671</v>
      </c>
      <c r="C415" t="s">
        <v>1178</v>
      </c>
      <c r="D415" t="s">
        <v>69</v>
      </c>
      <c r="E415" t="s">
        <v>20</v>
      </c>
      <c r="F415">
        <v>130</v>
      </c>
      <c r="G415" t="s">
        <v>70</v>
      </c>
      <c r="H415" t="s">
        <v>39</v>
      </c>
      <c r="I415" t="s">
        <v>40</v>
      </c>
      <c r="J415">
        <v>429.36</v>
      </c>
      <c r="K415">
        <v>3</v>
      </c>
      <c r="L415">
        <v>0</v>
      </c>
      <c r="N415" t="s">
        <v>81</v>
      </c>
      <c r="O415" t="s">
        <v>33</v>
      </c>
      <c r="P415">
        <v>2</v>
      </c>
    </row>
    <row r="416" spans="1:16" x14ac:dyDescent="0.25">
      <c r="A416" t="s">
        <v>1179</v>
      </c>
      <c r="B416" t="s">
        <v>1114</v>
      </c>
      <c r="C416" t="s">
        <v>1180</v>
      </c>
      <c r="D416" t="s">
        <v>45</v>
      </c>
      <c r="E416" t="s">
        <v>20</v>
      </c>
      <c r="F416">
        <v>130</v>
      </c>
      <c r="G416" t="s">
        <v>47</v>
      </c>
      <c r="H416" t="s">
        <v>54</v>
      </c>
      <c r="I416" t="s">
        <v>55</v>
      </c>
      <c r="J416">
        <v>216.04</v>
      </c>
      <c r="K416">
        <v>6</v>
      </c>
      <c r="L416">
        <v>15</v>
      </c>
      <c r="N416" t="s">
        <v>91</v>
      </c>
      <c r="O416" t="s">
        <v>82</v>
      </c>
    </row>
    <row r="417" spans="1:16" x14ac:dyDescent="0.25">
      <c r="A417" t="s">
        <v>1181</v>
      </c>
      <c r="B417" t="s">
        <v>1182</v>
      </c>
      <c r="C417" t="s">
        <v>1183</v>
      </c>
      <c r="D417" t="s">
        <v>45</v>
      </c>
      <c r="E417" t="s">
        <v>46</v>
      </c>
      <c r="F417">
        <v>8</v>
      </c>
      <c r="G417" t="s">
        <v>21</v>
      </c>
      <c r="H417" t="s">
        <v>22</v>
      </c>
      <c r="I417" t="s">
        <v>23</v>
      </c>
      <c r="J417">
        <v>30.72</v>
      </c>
      <c r="K417">
        <v>-2</v>
      </c>
      <c r="L417">
        <v>0</v>
      </c>
      <c r="M417" t="s">
        <v>77</v>
      </c>
      <c r="N417" t="s">
        <v>91</v>
      </c>
      <c r="O417" t="s">
        <v>65</v>
      </c>
      <c r="P417">
        <v>1</v>
      </c>
    </row>
    <row r="418" spans="1:16" x14ac:dyDescent="0.25">
      <c r="A418" t="s">
        <v>1184</v>
      </c>
      <c r="B418" t="s">
        <v>403</v>
      </c>
      <c r="C418" t="s">
        <v>361</v>
      </c>
      <c r="D418" t="s">
        <v>69</v>
      </c>
      <c r="E418" t="s">
        <v>20</v>
      </c>
      <c r="F418">
        <v>8</v>
      </c>
      <c r="G418" t="s">
        <v>38</v>
      </c>
      <c r="H418" t="s">
        <v>54</v>
      </c>
      <c r="I418" t="s">
        <v>55</v>
      </c>
      <c r="J418">
        <v>353.56</v>
      </c>
      <c r="K418">
        <v>2</v>
      </c>
      <c r="L418">
        <v>120</v>
      </c>
      <c r="M418" t="s">
        <v>64</v>
      </c>
      <c r="N418" t="s">
        <v>25</v>
      </c>
      <c r="O418" t="s">
        <v>26</v>
      </c>
      <c r="P418">
        <v>4</v>
      </c>
    </row>
    <row r="419" spans="1:16" x14ac:dyDescent="0.25">
      <c r="A419" t="s">
        <v>1185</v>
      </c>
      <c r="B419" t="s">
        <v>1186</v>
      </c>
      <c r="C419" t="s">
        <v>805</v>
      </c>
      <c r="D419" t="s">
        <v>101</v>
      </c>
      <c r="E419" t="s">
        <v>46</v>
      </c>
      <c r="F419">
        <v>8</v>
      </c>
      <c r="G419" t="s">
        <v>47</v>
      </c>
      <c r="H419" t="s">
        <v>121</v>
      </c>
      <c r="I419" t="s">
        <v>122</v>
      </c>
      <c r="J419">
        <v>219.36</v>
      </c>
      <c r="K419">
        <v>-2</v>
      </c>
      <c r="L419">
        <v>5</v>
      </c>
      <c r="M419" t="s">
        <v>59</v>
      </c>
      <c r="N419" t="s">
        <v>25</v>
      </c>
      <c r="O419" t="s">
        <v>33</v>
      </c>
      <c r="P419">
        <v>2</v>
      </c>
    </row>
    <row r="420" spans="1:16" x14ac:dyDescent="0.25">
      <c r="A420" t="s">
        <v>1187</v>
      </c>
      <c r="B420" t="s">
        <v>1188</v>
      </c>
      <c r="C420" t="s">
        <v>1189</v>
      </c>
      <c r="D420" t="s">
        <v>19</v>
      </c>
      <c r="E420" t="s">
        <v>46</v>
      </c>
      <c r="F420">
        <v>18</v>
      </c>
      <c r="G420" t="s">
        <v>86</v>
      </c>
      <c r="H420" t="s">
        <v>121</v>
      </c>
      <c r="I420" t="s">
        <v>122</v>
      </c>
      <c r="J420">
        <v>307.70999999999998</v>
      </c>
      <c r="K420">
        <v>3</v>
      </c>
      <c r="L420">
        <v>120</v>
      </c>
      <c r="N420" t="s">
        <v>25</v>
      </c>
      <c r="O420" t="s">
        <v>65</v>
      </c>
      <c r="P420">
        <v>2</v>
      </c>
    </row>
    <row r="421" spans="1:16" x14ac:dyDescent="0.25">
      <c r="A421" t="s">
        <v>1190</v>
      </c>
      <c r="B421" t="s">
        <v>1191</v>
      </c>
      <c r="C421" t="s">
        <v>1192</v>
      </c>
      <c r="D421" t="s">
        <v>19</v>
      </c>
      <c r="E421" t="s">
        <v>46</v>
      </c>
      <c r="F421">
        <v>52</v>
      </c>
      <c r="G421" t="s">
        <v>70</v>
      </c>
      <c r="H421" t="s">
        <v>31</v>
      </c>
      <c r="I421" t="s">
        <v>32</v>
      </c>
      <c r="J421">
        <v>345.48</v>
      </c>
      <c r="K421">
        <v>1</v>
      </c>
      <c r="L421">
        <v>15</v>
      </c>
      <c r="M421" t="s">
        <v>77</v>
      </c>
      <c r="N421" t="s">
        <v>41</v>
      </c>
      <c r="O421" t="s">
        <v>82</v>
      </c>
    </row>
    <row r="422" spans="1:16" x14ac:dyDescent="0.25">
      <c r="A422" t="s">
        <v>1193</v>
      </c>
      <c r="B422" t="s">
        <v>1194</v>
      </c>
      <c r="C422" t="s">
        <v>1195</v>
      </c>
      <c r="D422" t="s">
        <v>69</v>
      </c>
      <c r="E422" t="s">
        <v>46</v>
      </c>
      <c r="F422">
        <v>8</v>
      </c>
      <c r="G422" t="s">
        <v>47</v>
      </c>
      <c r="H422" t="s">
        <v>31</v>
      </c>
      <c r="I422" t="s">
        <v>32</v>
      </c>
      <c r="J422">
        <v>71.7</v>
      </c>
      <c r="K422">
        <v>-2</v>
      </c>
      <c r="L422">
        <v>15</v>
      </c>
      <c r="M422" t="s">
        <v>59</v>
      </c>
      <c r="N422" t="s">
        <v>91</v>
      </c>
      <c r="O422" t="s">
        <v>26</v>
      </c>
      <c r="P422">
        <v>5</v>
      </c>
    </row>
    <row r="423" spans="1:16" x14ac:dyDescent="0.25">
      <c r="A423" t="s">
        <v>1196</v>
      </c>
      <c r="B423" t="s">
        <v>1073</v>
      </c>
      <c r="C423" t="s">
        <v>1197</v>
      </c>
      <c r="D423" t="s">
        <v>117</v>
      </c>
      <c r="E423" t="s">
        <v>20</v>
      </c>
      <c r="F423">
        <v>60</v>
      </c>
      <c r="G423" t="s">
        <v>47</v>
      </c>
      <c r="H423" t="s">
        <v>54</v>
      </c>
      <c r="I423" t="s">
        <v>55</v>
      </c>
      <c r="J423">
        <v>410.43</v>
      </c>
      <c r="K423">
        <v>-2</v>
      </c>
      <c r="L423">
        <v>10</v>
      </c>
      <c r="M423" t="s">
        <v>24</v>
      </c>
      <c r="N423" t="s">
        <v>91</v>
      </c>
      <c r="O423" t="s">
        <v>33</v>
      </c>
      <c r="P423">
        <v>3</v>
      </c>
    </row>
    <row r="424" spans="1:16" x14ac:dyDescent="0.25">
      <c r="A424" t="s">
        <v>1198</v>
      </c>
      <c r="B424" t="s">
        <v>1199</v>
      </c>
      <c r="C424" t="s">
        <v>1200</v>
      </c>
      <c r="D424" t="s">
        <v>37</v>
      </c>
      <c r="E424" t="s">
        <v>20</v>
      </c>
      <c r="F424">
        <v>130</v>
      </c>
      <c r="G424" t="s">
        <v>70</v>
      </c>
      <c r="H424" t="s">
        <v>39</v>
      </c>
      <c r="I424" t="s">
        <v>40</v>
      </c>
      <c r="J424">
        <v>383.71</v>
      </c>
      <c r="K424">
        <v>5</v>
      </c>
      <c r="L424">
        <v>0</v>
      </c>
      <c r="M424" t="s">
        <v>59</v>
      </c>
      <c r="N424" t="s">
        <v>41</v>
      </c>
      <c r="O424" t="s">
        <v>82</v>
      </c>
      <c r="P424">
        <v>5</v>
      </c>
    </row>
    <row r="425" spans="1:16" x14ac:dyDescent="0.25">
      <c r="A425" t="s">
        <v>1201</v>
      </c>
      <c r="B425" t="s">
        <v>1202</v>
      </c>
      <c r="C425" t="s">
        <v>1203</v>
      </c>
      <c r="D425" t="s">
        <v>19</v>
      </c>
      <c r="E425" t="s">
        <v>20</v>
      </c>
      <c r="F425">
        <v>8</v>
      </c>
      <c r="G425" t="s">
        <v>70</v>
      </c>
      <c r="H425" t="s">
        <v>87</v>
      </c>
      <c r="I425" t="s">
        <v>49</v>
      </c>
      <c r="J425">
        <v>9.83</v>
      </c>
      <c r="K425">
        <v>-2</v>
      </c>
      <c r="L425">
        <v>-10</v>
      </c>
      <c r="M425" t="s">
        <v>24</v>
      </c>
      <c r="N425" t="s">
        <v>81</v>
      </c>
      <c r="O425" t="s">
        <v>26</v>
      </c>
      <c r="P425">
        <v>2</v>
      </c>
    </row>
    <row r="426" spans="1:16" x14ac:dyDescent="0.25">
      <c r="A426" t="s">
        <v>1204</v>
      </c>
      <c r="B426" t="s">
        <v>1205</v>
      </c>
      <c r="C426" t="s">
        <v>1206</v>
      </c>
      <c r="D426" t="s">
        <v>45</v>
      </c>
      <c r="E426" t="s">
        <v>20</v>
      </c>
      <c r="F426">
        <v>130</v>
      </c>
      <c r="G426" t="s">
        <v>21</v>
      </c>
      <c r="H426" t="s">
        <v>48</v>
      </c>
      <c r="I426" t="s">
        <v>49</v>
      </c>
      <c r="J426">
        <v>48.19</v>
      </c>
      <c r="K426">
        <v>6</v>
      </c>
      <c r="L426">
        <v>5</v>
      </c>
      <c r="M426" t="s">
        <v>64</v>
      </c>
      <c r="N426" t="s">
        <v>25</v>
      </c>
      <c r="O426" t="s">
        <v>26</v>
      </c>
    </row>
    <row r="427" spans="1:16" x14ac:dyDescent="0.25">
      <c r="A427" t="s">
        <v>1207</v>
      </c>
      <c r="B427" t="s">
        <v>1208</v>
      </c>
      <c r="C427" t="s">
        <v>1209</v>
      </c>
      <c r="D427" t="s">
        <v>37</v>
      </c>
      <c r="E427" t="s">
        <v>46</v>
      </c>
      <c r="F427">
        <v>47</v>
      </c>
      <c r="G427" t="s">
        <v>21</v>
      </c>
      <c r="H427" t="s">
        <v>22</v>
      </c>
      <c r="I427" t="s">
        <v>23</v>
      </c>
      <c r="J427">
        <v>100.53</v>
      </c>
      <c r="K427">
        <v>-2</v>
      </c>
      <c r="L427">
        <v>5</v>
      </c>
      <c r="M427" t="s">
        <v>64</v>
      </c>
      <c r="N427" t="s">
        <v>41</v>
      </c>
      <c r="O427" t="s">
        <v>65</v>
      </c>
      <c r="P427">
        <v>3</v>
      </c>
    </row>
    <row r="428" spans="1:16" x14ac:dyDescent="0.25">
      <c r="A428" t="s">
        <v>1210</v>
      </c>
      <c r="B428" t="s">
        <v>1211</v>
      </c>
      <c r="C428" t="s">
        <v>1212</v>
      </c>
      <c r="D428" t="s">
        <v>63</v>
      </c>
      <c r="E428" t="s">
        <v>20</v>
      </c>
      <c r="F428">
        <v>8</v>
      </c>
      <c r="G428" t="s">
        <v>53</v>
      </c>
      <c r="H428" t="s">
        <v>39</v>
      </c>
      <c r="I428" t="s">
        <v>40</v>
      </c>
      <c r="J428">
        <v>319.33999999999997</v>
      </c>
      <c r="K428">
        <v>2</v>
      </c>
      <c r="L428">
        <v>15</v>
      </c>
      <c r="M428" t="s">
        <v>77</v>
      </c>
      <c r="N428" t="s">
        <v>81</v>
      </c>
      <c r="O428" t="s">
        <v>82</v>
      </c>
      <c r="P428">
        <v>5</v>
      </c>
    </row>
    <row r="429" spans="1:16" x14ac:dyDescent="0.25">
      <c r="A429" t="s">
        <v>1213</v>
      </c>
      <c r="B429" t="s">
        <v>1214</v>
      </c>
      <c r="C429" t="s">
        <v>1215</v>
      </c>
      <c r="E429" t="s">
        <v>20</v>
      </c>
      <c r="F429">
        <v>39</v>
      </c>
      <c r="G429" t="s">
        <v>21</v>
      </c>
      <c r="H429" t="s">
        <v>22</v>
      </c>
      <c r="I429" t="s">
        <v>23</v>
      </c>
      <c r="J429">
        <v>417.29</v>
      </c>
      <c r="K429">
        <v>7</v>
      </c>
      <c r="L429">
        <v>5</v>
      </c>
      <c r="M429" t="s">
        <v>64</v>
      </c>
      <c r="N429" t="s">
        <v>41</v>
      </c>
      <c r="O429" t="s">
        <v>82</v>
      </c>
      <c r="P429">
        <v>1</v>
      </c>
    </row>
    <row r="430" spans="1:16" x14ac:dyDescent="0.25">
      <c r="A430" t="s">
        <v>1216</v>
      </c>
      <c r="B430" t="s">
        <v>1217</v>
      </c>
      <c r="C430" t="s">
        <v>1218</v>
      </c>
      <c r="D430" t="s">
        <v>101</v>
      </c>
      <c r="E430" t="s">
        <v>20</v>
      </c>
      <c r="F430">
        <v>36</v>
      </c>
      <c r="G430" t="s">
        <v>70</v>
      </c>
      <c r="H430" t="s">
        <v>87</v>
      </c>
      <c r="I430" t="s">
        <v>49</v>
      </c>
      <c r="J430">
        <v>465.27</v>
      </c>
      <c r="K430">
        <v>6</v>
      </c>
      <c r="L430">
        <v>5</v>
      </c>
      <c r="M430" t="s">
        <v>59</v>
      </c>
      <c r="N430" t="s">
        <v>25</v>
      </c>
      <c r="O430" t="s">
        <v>65</v>
      </c>
      <c r="P430">
        <v>4</v>
      </c>
    </row>
    <row r="431" spans="1:16" x14ac:dyDescent="0.25">
      <c r="A431" t="s">
        <v>1219</v>
      </c>
      <c r="B431" t="s">
        <v>1220</v>
      </c>
      <c r="C431" t="s">
        <v>1221</v>
      </c>
      <c r="D431" t="s">
        <v>69</v>
      </c>
      <c r="E431" t="s">
        <v>20</v>
      </c>
      <c r="F431">
        <v>130</v>
      </c>
      <c r="G431" t="s">
        <v>47</v>
      </c>
      <c r="H431" t="s">
        <v>121</v>
      </c>
      <c r="I431" t="s">
        <v>122</v>
      </c>
      <c r="J431">
        <v>137.16</v>
      </c>
      <c r="K431">
        <v>-2</v>
      </c>
      <c r="L431">
        <v>0</v>
      </c>
      <c r="M431" t="s">
        <v>77</v>
      </c>
      <c r="N431" t="s">
        <v>25</v>
      </c>
      <c r="O431" t="s">
        <v>82</v>
      </c>
      <c r="P431">
        <v>2</v>
      </c>
    </row>
    <row r="432" spans="1:16" x14ac:dyDescent="0.25">
      <c r="A432" t="s">
        <v>1222</v>
      </c>
      <c r="B432" t="s">
        <v>1223</v>
      </c>
      <c r="C432" t="s">
        <v>1224</v>
      </c>
      <c r="D432" t="s">
        <v>101</v>
      </c>
      <c r="E432" t="s">
        <v>46</v>
      </c>
      <c r="F432">
        <v>130</v>
      </c>
      <c r="G432" t="s">
        <v>86</v>
      </c>
      <c r="H432" t="s">
        <v>39</v>
      </c>
      <c r="I432" t="s">
        <v>40</v>
      </c>
      <c r="J432">
        <v>337.18</v>
      </c>
      <c r="K432">
        <v>-2</v>
      </c>
      <c r="L432">
        <v>10</v>
      </c>
      <c r="M432" t="s">
        <v>64</v>
      </c>
      <c r="N432" t="s">
        <v>81</v>
      </c>
      <c r="O432" t="s">
        <v>65</v>
      </c>
      <c r="P432">
        <v>5</v>
      </c>
    </row>
    <row r="433" spans="1:16" x14ac:dyDescent="0.25">
      <c r="A433" t="s">
        <v>1225</v>
      </c>
      <c r="B433" t="s">
        <v>1226</v>
      </c>
      <c r="C433" t="s">
        <v>1227</v>
      </c>
      <c r="D433" t="s">
        <v>19</v>
      </c>
      <c r="E433" t="s">
        <v>20</v>
      </c>
      <c r="F433">
        <v>130</v>
      </c>
      <c r="G433" t="s">
        <v>21</v>
      </c>
      <c r="H433" t="s">
        <v>87</v>
      </c>
      <c r="I433" t="s">
        <v>49</v>
      </c>
      <c r="J433">
        <v>120.73</v>
      </c>
      <c r="K433">
        <v>-2</v>
      </c>
      <c r="L433">
        <v>10</v>
      </c>
      <c r="N433" t="s">
        <v>81</v>
      </c>
      <c r="O433" t="s">
        <v>82</v>
      </c>
    </row>
    <row r="434" spans="1:16" x14ac:dyDescent="0.25">
      <c r="A434" t="s">
        <v>1228</v>
      </c>
      <c r="B434" t="s">
        <v>1229</v>
      </c>
      <c r="C434" t="s">
        <v>1230</v>
      </c>
      <c r="D434" t="s">
        <v>63</v>
      </c>
      <c r="E434" t="s">
        <v>46</v>
      </c>
      <c r="F434">
        <v>65</v>
      </c>
      <c r="G434" t="s">
        <v>86</v>
      </c>
      <c r="H434" t="s">
        <v>31</v>
      </c>
      <c r="I434" t="s">
        <v>32</v>
      </c>
      <c r="J434">
        <v>186.05</v>
      </c>
      <c r="K434">
        <v>-2</v>
      </c>
      <c r="L434">
        <v>15</v>
      </c>
      <c r="M434" t="s">
        <v>24</v>
      </c>
      <c r="N434" t="s">
        <v>91</v>
      </c>
      <c r="O434" t="s">
        <v>65</v>
      </c>
      <c r="P434">
        <v>5</v>
      </c>
    </row>
    <row r="435" spans="1:16" x14ac:dyDescent="0.25">
      <c r="A435" t="s">
        <v>1231</v>
      </c>
      <c r="B435" t="s">
        <v>1117</v>
      </c>
      <c r="C435" t="s">
        <v>1232</v>
      </c>
      <c r="D435" t="s">
        <v>37</v>
      </c>
      <c r="E435" t="s">
        <v>46</v>
      </c>
      <c r="F435">
        <v>8</v>
      </c>
      <c r="G435" t="s">
        <v>53</v>
      </c>
      <c r="H435" t="s">
        <v>54</v>
      </c>
      <c r="I435" t="s">
        <v>55</v>
      </c>
      <c r="J435">
        <v>148.22</v>
      </c>
      <c r="K435">
        <v>1</v>
      </c>
      <c r="L435">
        <v>120</v>
      </c>
      <c r="M435" t="s">
        <v>24</v>
      </c>
      <c r="N435" t="s">
        <v>91</v>
      </c>
      <c r="O435" t="s">
        <v>65</v>
      </c>
      <c r="P435">
        <v>4</v>
      </c>
    </row>
    <row r="436" spans="1:16" x14ac:dyDescent="0.25">
      <c r="A436" t="s">
        <v>1233</v>
      </c>
      <c r="B436" t="s">
        <v>1234</v>
      </c>
      <c r="C436" t="s">
        <v>1235</v>
      </c>
      <c r="D436" t="s">
        <v>63</v>
      </c>
      <c r="E436" t="s">
        <v>46</v>
      </c>
      <c r="F436">
        <v>130</v>
      </c>
      <c r="G436" t="s">
        <v>53</v>
      </c>
      <c r="H436" t="s">
        <v>31</v>
      </c>
      <c r="I436" t="s">
        <v>32</v>
      </c>
      <c r="J436">
        <v>273.62</v>
      </c>
      <c r="K436">
        <v>-2</v>
      </c>
      <c r="L436">
        <v>0</v>
      </c>
      <c r="M436" t="s">
        <v>77</v>
      </c>
      <c r="N436" t="s">
        <v>41</v>
      </c>
      <c r="O436" t="s">
        <v>82</v>
      </c>
      <c r="P436">
        <v>2</v>
      </c>
    </row>
    <row r="437" spans="1:16" x14ac:dyDescent="0.25">
      <c r="A437" t="s">
        <v>1236</v>
      </c>
      <c r="B437" t="s">
        <v>406</v>
      </c>
      <c r="C437" t="s">
        <v>1237</v>
      </c>
      <c r="D437" t="s">
        <v>45</v>
      </c>
      <c r="E437" t="s">
        <v>46</v>
      </c>
      <c r="F437">
        <v>35</v>
      </c>
      <c r="G437" t="s">
        <v>21</v>
      </c>
      <c r="H437" t="s">
        <v>121</v>
      </c>
      <c r="I437" t="s">
        <v>122</v>
      </c>
      <c r="J437">
        <v>106.31</v>
      </c>
      <c r="K437">
        <v>10</v>
      </c>
      <c r="L437">
        <v>0</v>
      </c>
      <c r="N437" t="s">
        <v>91</v>
      </c>
      <c r="O437" t="s">
        <v>82</v>
      </c>
      <c r="P437">
        <v>2</v>
      </c>
    </row>
    <row r="438" spans="1:16" x14ac:dyDescent="0.25">
      <c r="A438" t="s">
        <v>1238</v>
      </c>
      <c r="B438" t="s">
        <v>415</v>
      </c>
      <c r="C438" t="s">
        <v>1239</v>
      </c>
      <c r="D438" t="s">
        <v>101</v>
      </c>
      <c r="E438" t="s">
        <v>20</v>
      </c>
      <c r="F438">
        <v>8</v>
      </c>
      <c r="G438" t="s">
        <v>53</v>
      </c>
      <c r="H438" t="s">
        <v>121</v>
      </c>
      <c r="I438" t="s">
        <v>122</v>
      </c>
      <c r="J438">
        <v>269.26</v>
      </c>
      <c r="K438">
        <v>-2</v>
      </c>
      <c r="L438">
        <v>5</v>
      </c>
      <c r="M438" t="s">
        <v>77</v>
      </c>
      <c r="N438" t="s">
        <v>81</v>
      </c>
      <c r="O438" t="s">
        <v>26</v>
      </c>
      <c r="P438">
        <v>3</v>
      </c>
    </row>
    <row r="439" spans="1:16" x14ac:dyDescent="0.25">
      <c r="A439" t="s">
        <v>1240</v>
      </c>
      <c r="B439" t="s">
        <v>879</v>
      </c>
      <c r="C439" t="s">
        <v>1241</v>
      </c>
      <c r="D439" t="s">
        <v>101</v>
      </c>
      <c r="E439" t="s">
        <v>20</v>
      </c>
      <c r="F439">
        <v>8</v>
      </c>
      <c r="G439" t="s">
        <v>53</v>
      </c>
      <c r="H439" t="s">
        <v>54</v>
      </c>
      <c r="I439" t="s">
        <v>55</v>
      </c>
      <c r="J439">
        <v>222.68</v>
      </c>
      <c r="K439">
        <v>-2</v>
      </c>
      <c r="L439">
        <v>5</v>
      </c>
      <c r="M439" t="s">
        <v>77</v>
      </c>
      <c r="N439" t="s">
        <v>81</v>
      </c>
      <c r="O439" t="s">
        <v>33</v>
      </c>
      <c r="P439">
        <v>5</v>
      </c>
    </row>
    <row r="440" spans="1:16" x14ac:dyDescent="0.25">
      <c r="A440" t="s">
        <v>1242</v>
      </c>
      <c r="B440" t="s">
        <v>240</v>
      </c>
      <c r="C440" t="s">
        <v>1243</v>
      </c>
      <c r="D440" t="s">
        <v>37</v>
      </c>
      <c r="E440" t="s">
        <v>20</v>
      </c>
      <c r="F440">
        <v>8</v>
      </c>
      <c r="G440" t="s">
        <v>30</v>
      </c>
      <c r="H440" t="s">
        <v>87</v>
      </c>
      <c r="I440" t="s">
        <v>49</v>
      </c>
      <c r="J440">
        <v>347.08</v>
      </c>
      <c r="K440">
        <v>-2</v>
      </c>
      <c r="L440">
        <v>5</v>
      </c>
      <c r="N440" t="s">
        <v>41</v>
      </c>
      <c r="O440" t="s">
        <v>65</v>
      </c>
      <c r="P440">
        <v>2</v>
      </c>
    </row>
    <row r="441" spans="1:16" x14ac:dyDescent="0.25">
      <c r="A441" t="s">
        <v>1244</v>
      </c>
      <c r="B441" t="s">
        <v>1245</v>
      </c>
      <c r="C441" t="s">
        <v>1246</v>
      </c>
      <c r="D441" t="s">
        <v>101</v>
      </c>
      <c r="E441" t="s">
        <v>46</v>
      </c>
      <c r="F441">
        <v>130</v>
      </c>
      <c r="G441" t="s">
        <v>38</v>
      </c>
      <c r="H441" t="s">
        <v>48</v>
      </c>
      <c r="I441" t="s">
        <v>49</v>
      </c>
      <c r="J441">
        <v>490.25</v>
      </c>
      <c r="K441">
        <v>-2</v>
      </c>
      <c r="L441">
        <v>120</v>
      </c>
      <c r="M441" t="s">
        <v>64</v>
      </c>
      <c r="N441" t="s">
        <v>91</v>
      </c>
      <c r="O441" t="s">
        <v>82</v>
      </c>
      <c r="P441">
        <v>2</v>
      </c>
    </row>
    <row r="442" spans="1:16" x14ac:dyDescent="0.25">
      <c r="A442" t="s">
        <v>1247</v>
      </c>
      <c r="B442" t="s">
        <v>130</v>
      </c>
      <c r="C442" t="s">
        <v>1248</v>
      </c>
      <c r="D442" t="s">
        <v>37</v>
      </c>
      <c r="E442" t="s">
        <v>46</v>
      </c>
      <c r="F442">
        <v>8</v>
      </c>
      <c r="G442" t="s">
        <v>53</v>
      </c>
      <c r="H442" t="s">
        <v>31</v>
      </c>
      <c r="I442" t="s">
        <v>32</v>
      </c>
      <c r="J442">
        <v>229.67</v>
      </c>
      <c r="K442">
        <v>9</v>
      </c>
      <c r="L442">
        <v>15</v>
      </c>
      <c r="M442" t="s">
        <v>64</v>
      </c>
      <c r="N442" t="s">
        <v>91</v>
      </c>
      <c r="O442" t="s">
        <v>82</v>
      </c>
      <c r="P442">
        <v>3</v>
      </c>
    </row>
    <row r="443" spans="1:16" x14ac:dyDescent="0.25">
      <c r="A443" t="s">
        <v>1249</v>
      </c>
      <c r="B443" t="s">
        <v>1220</v>
      </c>
      <c r="C443" t="s">
        <v>1250</v>
      </c>
      <c r="D443" t="s">
        <v>45</v>
      </c>
      <c r="E443" t="s">
        <v>46</v>
      </c>
      <c r="F443">
        <v>8</v>
      </c>
      <c r="G443" t="s">
        <v>30</v>
      </c>
      <c r="H443" t="s">
        <v>31</v>
      </c>
      <c r="I443" t="s">
        <v>32</v>
      </c>
      <c r="J443">
        <v>470.85</v>
      </c>
      <c r="K443">
        <v>-2</v>
      </c>
      <c r="L443">
        <v>0</v>
      </c>
      <c r="M443" t="s">
        <v>59</v>
      </c>
      <c r="N443" t="s">
        <v>91</v>
      </c>
      <c r="O443" t="s">
        <v>82</v>
      </c>
    </row>
    <row r="444" spans="1:16" x14ac:dyDescent="0.25">
      <c r="A444" t="s">
        <v>1251</v>
      </c>
      <c r="B444" t="s">
        <v>1252</v>
      </c>
      <c r="C444" t="s">
        <v>1253</v>
      </c>
      <c r="D444" t="s">
        <v>101</v>
      </c>
      <c r="E444" t="s">
        <v>46</v>
      </c>
      <c r="F444">
        <v>36</v>
      </c>
      <c r="G444" t="s">
        <v>70</v>
      </c>
      <c r="H444" t="s">
        <v>87</v>
      </c>
      <c r="I444" t="s">
        <v>49</v>
      </c>
      <c r="J444">
        <v>443.02</v>
      </c>
      <c r="K444">
        <v>7</v>
      </c>
      <c r="L444">
        <v>15</v>
      </c>
      <c r="M444" t="s">
        <v>24</v>
      </c>
      <c r="N444" t="s">
        <v>41</v>
      </c>
      <c r="O444" t="s">
        <v>33</v>
      </c>
      <c r="P444">
        <v>5</v>
      </c>
    </row>
    <row r="445" spans="1:16" x14ac:dyDescent="0.25">
      <c r="A445" t="s">
        <v>1254</v>
      </c>
      <c r="B445" t="s">
        <v>1255</v>
      </c>
      <c r="C445" t="s">
        <v>1256</v>
      </c>
      <c r="D445" t="s">
        <v>19</v>
      </c>
      <c r="E445" t="s">
        <v>46</v>
      </c>
      <c r="F445">
        <v>8</v>
      </c>
      <c r="G445" t="s">
        <v>21</v>
      </c>
      <c r="H445" t="s">
        <v>87</v>
      </c>
      <c r="I445" t="s">
        <v>49</v>
      </c>
      <c r="J445">
        <v>432.76</v>
      </c>
      <c r="K445">
        <v>-2</v>
      </c>
      <c r="L445">
        <v>5</v>
      </c>
      <c r="M445" t="s">
        <v>59</v>
      </c>
      <c r="N445" t="s">
        <v>91</v>
      </c>
      <c r="O445" t="s">
        <v>26</v>
      </c>
    </row>
    <row r="446" spans="1:16" x14ac:dyDescent="0.25">
      <c r="A446" t="s">
        <v>1257</v>
      </c>
      <c r="B446" t="s">
        <v>1258</v>
      </c>
      <c r="C446" t="s">
        <v>1259</v>
      </c>
      <c r="D446" t="s">
        <v>101</v>
      </c>
      <c r="E446" t="s">
        <v>46</v>
      </c>
      <c r="F446">
        <v>8</v>
      </c>
      <c r="G446" t="s">
        <v>70</v>
      </c>
      <c r="H446" t="s">
        <v>39</v>
      </c>
      <c r="I446" t="s">
        <v>40</v>
      </c>
      <c r="J446">
        <v>253.81</v>
      </c>
      <c r="K446">
        <v>10</v>
      </c>
      <c r="L446">
        <v>0</v>
      </c>
      <c r="M446" t="s">
        <v>59</v>
      </c>
      <c r="N446" t="s">
        <v>41</v>
      </c>
      <c r="O446" t="s">
        <v>33</v>
      </c>
      <c r="P446">
        <v>4</v>
      </c>
    </row>
    <row r="447" spans="1:16" x14ac:dyDescent="0.25">
      <c r="A447" t="s">
        <v>1260</v>
      </c>
      <c r="B447" t="s">
        <v>1261</v>
      </c>
      <c r="C447" t="s">
        <v>1262</v>
      </c>
      <c r="D447" t="s">
        <v>63</v>
      </c>
      <c r="E447" t="s">
        <v>20</v>
      </c>
      <c r="F447">
        <v>31</v>
      </c>
      <c r="G447" t="s">
        <v>30</v>
      </c>
      <c r="H447" t="s">
        <v>31</v>
      </c>
      <c r="I447" t="s">
        <v>32</v>
      </c>
      <c r="J447">
        <v>495.78</v>
      </c>
      <c r="K447">
        <v>8</v>
      </c>
      <c r="L447">
        <v>-10</v>
      </c>
      <c r="M447" t="s">
        <v>77</v>
      </c>
      <c r="N447" t="s">
        <v>81</v>
      </c>
      <c r="O447" t="s">
        <v>65</v>
      </c>
      <c r="P447">
        <v>2</v>
      </c>
    </row>
    <row r="448" spans="1:16" x14ac:dyDescent="0.25">
      <c r="A448" t="s">
        <v>1263</v>
      </c>
      <c r="B448" t="s">
        <v>1264</v>
      </c>
      <c r="C448" t="s">
        <v>1265</v>
      </c>
      <c r="D448" t="s">
        <v>19</v>
      </c>
      <c r="E448" t="s">
        <v>46</v>
      </c>
      <c r="F448">
        <v>130</v>
      </c>
      <c r="G448" t="s">
        <v>21</v>
      </c>
      <c r="H448" t="s">
        <v>39</v>
      </c>
      <c r="I448" t="s">
        <v>40</v>
      </c>
      <c r="J448">
        <v>288.12</v>
      </c>
      <c r="K448">
        <v>-2</v>
      </c>
      <c r="L448">
        <v>10</v>
      </c>
      <c r="M448" t="s">
        <v>59</v>
      </c>
      <c r="N448" t="s">
        <v>91</v>
      </c>
      <c r="O448" t="s">
        <v>82</v>
      </c>
    </row>
    <row r="449" spans="1:16" x14ac:dyDescent="0.25">
      <c r="A449" t="s">
        <v>1266</v>
      </c>
      <c r="B449" t="s">
        <v>323</v>
      </c>
      <c r="C449" t="s">
        <v>1267</v>
      </c>
      <c r="D449" t="s">
        <v>19</v>
      </c>
      <c r="E449" t="s">
        <v>20</v>
      </c>
      <c r="F449">
        <v>130</v>
      </c>
      <c r="G449" t="s">
        <v>47</v>
      </c>
      <c r="H449" t="s">
        <v>121</v>
      </c>
      <c r="I449" t="s">
        <v>122</v>
      </c>
      <c r="J449">
        <v>280.76</v>
      </c>
      <c r="K449">
        <v>4</v>
      </c>
      <c r="L449">
        <v>5</v>
      </c>
      <c r="M449" t="s">
        <v>64</v>
      </c>
      <c r="N449" t="s">
        <v>25</v>
      </c>
      <c r="O449" t="s">
        <v>26</v>
      </c>
      <c r="P449">
        <v>1</v>
      </c>
    </row>
    <row r="450" spans="1:16" x14ac:dyDescent="0.25">
      <c r="A450" t="s">
        <v>1268</v>
      </c>
      <c r="B450" t="s">
        <v>1269</v>
      </c>
      <c r="C450" t="s">
        <v>1270</v>
      </c>
      <c r="D450" t="s">
        <v>19</v>
      </c>
      <c r="E450" t="s">
        <v>20</v>
      </c>
      <c r="F450">
        <v>8</v>
      </c>
      <c r="G450" t="s">
        <v>21</v>
      </c>
      <c r="H450" t="s">
        <v>87</v>
      </c>
      <c r="I450" t="s">
        <v>49</v>
      </c>
      <c r="J450">
        <v>310.76</v>
      </c>
      <c r="K450">
        <v>-2</v>
      </c>
      <c r="L450">
        <v>5</v>
      </c>
      <c r="N450" t="s">
        <v>91</v>
      </c>
      <c r="O450" t="s">
        <v>65</v>
      </c>
    </row>
    <row r="451" spans="1:16" x14ac:dyDescent="0.25">
      <c r="A451" t="s">
        <v>1271</v>
      </c>
      <c r="B451" t="s">
        <v>1272</v>
      </c>
      <c r="C451" t="s">
        <v>1273</v>
      </c>
      <c r="D451" t="s">
        <v>117</v>
      </c>
      <c r="E451" t="s">
        <v>46</v>
      </c>
      <c r="F451">
        <v>34</v>
      </c>
      <c r="G451" t="s">
        <v>86</v>
      </c>
      <c r="H451" t="s">
        <v>87</v>
      </c>
      <c r="I451" t="s">
        <v>49</v>
      </c>
      <c r="J451">
        <v>196.41</v>
      </c>
      <c r="K451">
        <v>1</v>
      </c>
      <c r="L451">
        <v>-10</v>
      </c>
      <c r="M451" t="s">
        <v>59</v>
      </c>
      <c r="N451" t="s">
        <v>25</v>
      </c>
      <c r="O451" t="s">
        <v>82</v>
      </c>
      <c r="P451">
        <v>1</v>
      </c>
    </row>
    <row r="452" spans="1:16" x14ac:dyDescent="0.25">
      <c r="A452" t="s">
        <v>1274</v>
      </c>
      <c r="B452" t="s">
        <v>1234</v>
      </c>
      <c r="C452" t="s">
        <v>1275</v>
      </c>
      <c r="D452" t="s">
        <v>19</v>
      </c>
      <c r="E452" t="s">
        <v>20</v>
      </c>
      <c r="F452">
        <v>47</v>
      </c>
      <c r="G452" t="s">
        <v>86</v>
      </c>
      <c r="H452" t="s">
        <v>48</v>
      </c>
      <c r="I452" t="s">
        <v>49</v>
      </c>
      <c r="J452">
        <v>12.08</v>
      </c>
      <c r="K452">
        <v>-2</v>
      </c>
      <c r="L452">
        <v>120</v>
      </c>
      <c r="M452" t="s">
        <v>77</v>
      </c>
      <c r="N452" t="s">
        <v>91</v>
      </c>
      <c r="O452" t="s">
        <v>82</v>
      </c>
      <c r="P452">
        <v>3</v>
      </c>
    </row>
    <row r="453" spans="1:16" x14ac:dyDescent="0.25">
      <c r="A453" t="s">
        <v>1276</v>
      </c>
      <c r="B453" t="s">
        <v>1277</v>
      </c>
      <c r="C453" t="s">
        <v>1278</v>
      </c>
      <c r="D453" t="s">
        <v>63</v>
      </c>
      <c r="E453" t="s">
        <v>20</v>
      </c>
      <c r="F453">
        <v>53</v>
      </c>
      <c r="G453" t="s">
        <v>53</v>
      </c>
      <c r="H453" t="s">
        <v>87</v>
      </c>
      <c r="I453" t="s">
        <v>49</v>
      </c>
      <c r="J453">
        <v>455.51</v>
      </c>
      <c r="K453">
        <v>3</v>
      </c>
      <c r="L453">
        <v>-10</v>
      </c>
      <c r="M453" t="s">
        <v>77</v>
      </c>
      <c r="N453" t="s">
        <v>91</v>
      </c>
      <c r="O453" t="s">
        <v>33</v>
      </c>
      <c r="P453">
        <v>2</v>
      </c>
    </row>
    <row r="454" spans="1:16" x14ac:dyDescent="0.25">
      <c r="A454" t="s">
        <v>1279</v>
      </c>
      <c r="B454" t="s">
        <v>1280</v>
      </c>
      <c r="C454" t="s">
        <v>1281</v>
      </c>
      <c r="D454" t="s">
        <v>19</v>
      </c>
      <c r="E454" t="s">
        <v>46</v>
      </c>
      <c r="F454">
        <v>23</v>
      </c>
      <c r="G454" t="s">
        <v>38</v>
      </c>
      <c r="H454" t="s">
        <v>39</v>
      </c>
      <c r="I454" t="s">
        <v>40</v>
      </c>
      <c r="J454">
        <v>134.54</v>
      </c>
      <c r="K454">
        <v>-2</v>
      </c>
      <c r="L454">
        <v>120</v>
      </c>
      <c r="M454" t="s">
        <v>24</v>
      </c>
      <c r="N454" t="s">
        <v>41</v>
      </c>
      <c r="O454" t="s">
        <v>65</v>
      </c>
    </row>
    <row r="455" spans="1:16" x14ac:dyDescent="0.25">
      <c r="A455" t="s">
        <v>1282</v>
      </c>
      <c r="B455" t="s">
        <v>926</v>
      </c>
      <c r="C455" t="s">
        <v>1283</v>
      </c>
      <c r="D455" t="s">
        <v>45</v>
      </c>
      <c r="E455" t="s">
        <v>46</v>
      </c>
      <c r="F455">
        <v>8</v>
      </c>
      <c r="G455" t="s">
        <v>38</v>
      </c>
      <c r="H455" t="s">
        <v>31</v>
      </c>
      <c r="I455" t="s">
        <v>32</v>
      </c>
      <c r="J455">
        <v>88.95</v>
      </c>
      <c r="K455">
        <v>-2</v>
      </c>
      <c r="L455">
        <v>120</v>
      </c>
      <c r="M455" t="s">
        <v>77</v>
      </c>
      <c r="N455" t="s">
        <v>41</v>
      </c>
      <c r="O455" t="s">
        <v>33</v>
      </c>
      <c r="P455">
        <v>3</v>
      </c>
    </row>
    <row r="456" spans="1:16" x14ac:dyDescent="0.25">
      <c r="A456" t="s">
        <v>1284</v>
      </c>
      <c r="B456" t="s">
        <v>1285</v>
      </c>
      <c r="C456" t="s">
        <v>1286</v>
      </c>
      <c r="E456" t="s">
        <v>20</v>
      </c>
      <c r="F456">
        <v>19</v>
      </c>
      <c r="G456" t="s">
        <v>53</v>
      </c>
      <c r="H456" t="s">
        <v>39</v>
      </c>
      <c r="I456" t="s">
        <v>40</v>
      </c>
      <c r="J456">
        <v>314.3</v>
      </c>
      <c r="K456">
        <v>3</v>
      </c>
      <c r="L456">
        <v>5</v>
      </c>
      <c r="M456" t="s">
        <v>59</v>
      </c>
      <c r="N456" t="s">
        <v>41</v>
      </c>
      <c r="O456" t="s">
        <v>26</v>
      </c>
      <c r="P456">
        <v>1</v>
      </c>
    </row>
    <row r="457" spans="1:16" x14ac:dyDescent="0.25">
      <c r="A457" t="s">
        <v>1287</v>
      </c>
      <c r="B457" t="s">
        <v>252</v>
      </c>
      <c r="C457" t="s">
        <v>1288</v>
      </c>
      <c r="D457" t="s">
        <v>69</v>
      </c>
      <c r="E457" t="s">
        <v>20</v>
      </c>
      <c r="F457">
        <v>57</v>
      </c>
      <c r="G457" t="s">
        <v>21</v>
      </c>
      <c r="H457" t="s">
        <v>31</v>
      </c>
      <c r="I457" t="s">
        <v>32</v>
      </c>
      <c r="J457">
        <v>417.06</v>
      </c>
      <c r="K457">
        <v>-2</v>
      </c>
      <c r="L457">
        <v>5</v>
      </c>
      <c r="N457" t="s">
        <v>81</v>
      </c>
      <c r="O457" t="s">
        <v>82</v>
      </c>
      <c r="P457">
        <v>3</v>
      </c>
    </row>
    <row r="458" spans="1:16" x14ac:dyDescent="0.25">
      <c r="A458" t="s">
        <v>1289</v>
      </c>
      <c r="B458" t="s">
        <v>1039</v>
      </c>
      <c r="C458" t="s">
        <v>1290</v>
      </c>
      <c r="D458" t="s">
        <v>63</v>
      </c>
      <c r="E458" t="s">
        <v>20</v>
      </c>
      <c r="F458">
        <v>26</v>
      </c>
      <c r="G458" t="s">
        <v>86</v>
      </c>
      <c r="H458" t="s">
        <v>39</v>
      </c>
      <c r="I458" t="s">
        <v>40</v>
      </c>
      <c r="J458">
        <v>230.22</v>
      </c>
      <c r="K458">
        <v>-2</v>
      </c>
      <c r="L458">
        <v>120</v>
      </c>
      <c r="N458" t="s">
        <v>25</v>
      </c>
      <c r="O458" t="s">
        <v>26</v>
      </c>
      <c r="P458">
        <v>1</v>
      </c>
    </row>
    <row r="459" spans="1:16" x14ac:dyDescent="0.25">
      <c r="A459" t="s">
        <v>1291</v>
      </c>
      <c r="B459" t="s">
        <v>1292</v>
      </c>
      <c r="C459" t="s">
        <v>1293</v>
      </c>
      <c r="D459" t="s">
        <v>117</v>
      </c>
      <c r="E459" t="s">
        <v>20</v>
      </c>
      <c r="F459">
        <v>8</v>
      </c>
      <c r="G459" t="s">
        <v>30</v>
      </c>
      <c r="H459" t="s">
        <v>121</v>
      </c>
      <c r="I459" t="s">
        <v>122</v>
      </c>
      <c r="J459">
        <v>210</v>
      </c>
      <c r="K459">
        <v>9</v>
      </c>
      <c r="L459">
        <v>10</v>
      </c>
      <c r="M459" t="s">
        <v>64</v>
      </c>
      <c r="N459" t="s">
        <v>41</v>
      </c>
      <c r="O459" t="s">
        <v>82</v>
      </c>
      <c r="P459">
        <v>2</v>
      </c>
    </row>
    <row r="460" spans="1:16" x14ac:dyDescent="0.25">
      <c r="A460" t="s">
        <v>1294</v>
      </c>
      <c r="B460" t="s">
        <v>1295</v>
      </c>
      <c r="C460" t="s">
        <v>1296</v>
      </c>
      <c r="D460" t="s">
        <v>45</v>
      </c>
      <c r="E460" t="s">
        <v>20</v>
      </c>
      <c r="F460">
        <v>130</v>
      </c>
      <c r="G460" t="s">
        <v>47</v>
      </c>
      <c r="H460" t="s">
        <v>39</v>
      </c>
      <c r="I460" t="s">
        <v>40</v>
      </c>
      <c r="J460">
        <v>350.78</v>
      </c>
      <c r="K460">
        <v>-2</v>
      </c>
      <c r="L460">
        <v>120</v>
      </c>
      <c r="M460" t="s">
        <v>64</v>
      </c>
      <c r="N460" t="s">
        <v>41</v>
      </c>
      <c r="O460" t="s">
        <v>33</v>
      </c>
      <c r="P460">
        <v>1</v>
      </c>
    </row>
    <row r="461" spans="1:16" x14ac:dyDescent="0.25">
      <c r="A461" t="s">
        <v>1297</v>
      </c>
      <c r="B461" t="s">
        <v>618</v>
      </c>
      <c r="C461" t="s">
        <v>1298</v>
      </c>
      <c r="D461" t="s">
        <v>37</v>
      </c>
      <c r="E461" t="s">
        <v>20</v>
      </c>
      <c r="F461">
        <v>61</v>
      </c>
      <c r="G461" t="s">
        <v>70</v>
      </c>
      <c r="H461" t="s">
        <v>48</v>
      </c>
      <c r="I461" t="s">
        <v>49</v>
      </c>
      <c r="J461">
        <v>36.01</v>
      </c>
      <c r="K461">
        <v>7</v>
      </c>
      <c r="L461">
        <v>-10</v>
      </c>
      <c r="M461" t="s">
        <v>59</v>
      </c>
      <c r="N461" t="s">
        <v>41</v>
      </c>
      <c r="O461" t="s">
        <v>82</v>
      </c>
      <c r="P461">
        <v>4</v>
      </c>
    </row>
    <row r="462" spans="1:16" x14ac:dyDescent="0.25">
      <c r="A462" t="s">
        <v>1299</v>
      </c>
      <c r="B462" t="s">
        <v>479</v>
      </c>
      <c r="C462" t="s">
        <v>1300</v>
      </c>
      <c r="D462" t="s">
        <v>37</v>
      </c>
      <c r="E462" t="s">
        <v>46</v>
      </c>
      <c r="F462">
        <v>8</v>
      </c>
      <c r="G462" t="s">
        <v>53</v>
      </c>
      <c r="H462" t="s">
        <v>31</v>
      </c>
      <c r="I462" t="s">
        <v>32</v>
      </c>
      <c r="J462">
        <v>239.04</v>
      </c>
      <c r="K462">
        <v>1</v>
      </c>
      <c r="L462">
        <v>5</v>
      </c>
      <c r="M462" t="s">
        <v>24</v>
      </c>
      <c r="N462" t="s">
        <v>41</v>
      </c>
      <c r="O462" t="s">
        <v>65</v>
      </c>
      <c r="P462">
        <v>4</v>
      </c>
    </row>
    <row r="463" spans="1:16" x14ac:dyDescent="0.25">
      <c r="A463" t="s">
        <v>1301</v>
      </c>
      <c r="B463" t="s">
        <v>470</v>
      </c>
      <c r="C463" t="s">
        <v>1302</v>
      </c>
      <c r="D463" t="s">
        <v>69</v>
      </c>
      <c r="E463" t="s">
        <v>46</v>
      </c>
      <c r="F463">
        <v>32</v>
      </c>
      <c r="G463" t="s">
        <v>38</v>
      </c>
      <c r="H463" t="s">
        <v>121</v>
      </c>
      <c r="I463" t="s">
        <v>122</v>
      </c>
      <c r="J463">
        <v>483.49</v>
      </c>
      <c r="K463">
        <v>-2</v>
      </c>
      <c r="L463">
        <v>5</v>
      </c>
      <c r="M463" t="s">
        <v>77</v>
      </c>
      <c r="N463" t="s">
        <v>25</v>
      </c>
      <c r="O463" t="s">
        <v>33</v>
      </c>
      <c r="P463">
        <v>3</v>
      </c>
    </row>
    <row r="464" spans="1:16" x14ac:dyDescent="0.25">
      <c r="A464" t="s">
        <v>1303</v>
      </c>
      <c r="B464" t="s">
        <v>1304</v>
      </c>
      <c r="C464" t="s">
        <v>1305</v>
      </c>
      <c r="E464" t="s">
        <v>20</v>
      </c>
      <c r="F464">
        <v>8</v>
      </c>
      <c r="G464" t="s">
        <v>47</v>
      </c>
      <c r="H464" t="s">
        <v>48</v>
      </c>
      <c r="I464" t="s">
        <v>49</v>
      </c>
      <c r="J464">
        <v>352.64</v>
      </c>
      <c r="K464">
        <v>-2</v>
      </c>
      <c r="L464">
        <v>-10</v>
      </c>
      <c r="M464" t="s">
        <v>24</v>
      </c>
      <c r="N464" t="s">
        <v>81</v>
      </c>
      <c r="O464" t="s">
        <v>26</v>
      </c>
      <c r="P464">
        <v>4</v>
      </c>
    </row>
    <row r="465" spans="1:16" x14ac:dyDescent="0.25">
      <c r="A465" t="s">
        <v>1306</v>
      </c>
      <c r="B465" t="s">
        <v>483</v>
      </c>
      <c r="C465" t="s">
        <v>1307</v>
      </c>
      <c r="D465" t="s">
        <v>19</v>
      </c>
      <c r="E465" t="s">
        <v>46</v>
      </c>
      <c r="F465">
        <v>52</v>
      </c>
      <c r="G465" t="s">
        <v>47</v>
      </c>
      <c r="H465" t="s">
        <v>54</v>
      </c>
      <c r="I465" t="s">
        <v>55</v>
      </c>
      <c r="J465">
        <v>45.53</v>
      </c>
      <c r="K465">
        <v>8</v>
      </c>
      <c r="L465">
        <v>0</v>
      </c>
      <c r="M465" t="s">
        <v>59</v>
      </c>
      <c r="N465" t="s">
        <v>41</v>
      </c>
      <c r="O465" t="s">
        <v>33</v>
      </c>
      <c r="P465">
        <v>3</v>
      </c>
    </row>
    <row r="466" spans="1:16" x14ac:dyDescent="0.25">
      <c r="A466" t="s">
        <v>1308</v>
      </c>
      <c r="B466" t="s">
        <v>1309</v>
      </c>
      <c r="C466" t="s">
        <v>1310</v>
      </c>
      <c r="D466" t="s">
        <v>37</v>
      </c>
      <c r="E466" t="s">
        <v>20</v>
      </c>
      <c r="F466">
        <v>8</v>
      </c>
      <c r="G466" t="s">
        <v>86</v>
      </c>
      <c r="H466" t="s">
        <v>87</v>
      </c>
      <c r="I466" t="s">
        <v>49</v>
      </c>
      <c r="J466">
        <v>74.83</v>
      </c>
      <c r="K466">
        <v>7</v>
      </c>
      <c r="L466">
        <v>0</v>
      </c>
      <c r="N466" t="s">
        <v>25</v>
      </c>
      <c r="O466" t="s">
        <v>26</v>
      </c>
      <c r="P466">
        <v>4</v>
      </c>
    </row>
    <row r="467" spans="1:16" x14ac:dyDescent="0.25">
      <c r="A467" t="s">
        <v>1311</v>
      </c>
      <c r="B467" t="s">
        <v>1312</v>
      </c>
      <c r="C467" t="s">
        <v>1313</v>
      </c>
      <c r="D467" t="s">
        <v>37</v>
      </c>
      <c r="E467" t="s">
        <v>46</v>
      </c>
      <c r="F467">
        <v>130</v>
      </c>
      <c r="G467" t="s">
        <v>30</v>
      </c>
      <c r="H467" t="s">
        <v>54</v>
      </c>
      <c r="I467" t="s">
        <v>55</v>
      </c>
      <c r="J467">
        <v>99.77</v>
      </c>
      <c r="K467">
        <v>-2</v>
      </c>
      <c r="L467">
        <v>120</v>
      </c>
      <c r="M467" t="s">
        <v>77</v>
      </c>
      <c r="N467" t="s">
        <v>25</v>
      </c>
      <c r="O467" t="s">
        <v>33</v>
      </c>
      <c r="P467">
        <v>5</v>
      </c>
    </row>
    <row r="468" spans="1:16" x14ac:dyDescent="0.25">
      <c r="A468" t="s">
        <v>1314</v>
      </c>
      <c r="B468" t="s">
        <v>1315</v>
      </c>
      <c r="C468" t="s">
        <v>1316</v>
      </c>
      <c r="E468" t="s">
        <v>46</v>
      </c>
      <c r="F468">
        <v>130</v>
      </c>
      <c r="G468" t="s">
        <v>86</v>
      </c>
      <c r="H468" t="s">
        <v>121</v>
      </c>
      <c r="I468" t="s">
        <v>122</v>
      </c>
      <c r="J468">
        <v>499.02</v>
      </c>
      <c r="K468">
        <v>8</v>
      </c>
      <c r="L468">
        <v>0</v>
      </c>
      <c r="M468" t="s">
        <v>77</v>
      </c>
      <c r="N468" t="s">
        <v>81</v>
      </c>
      <c r="O468" t="s">
        <v>26</v>
      </c>
      <c r="P468">
        <v>4</v>
      </c>
    </row>
    <row r="469" spans="1:16" x14ac:dyDescent="0.25">
      <c r="A469" t="s">
        <v>1317</v>
      </c>
      <c r="B469" t="s">
        <v>1318</v>
      </c>
      <c r="C469" t="s">
        <v>1319</v>
      </c>
      <c r="D469" t="s">
        <v>101</v>
      </c>
      <c r="E469" t="s">
        <v>46</v>
      </c>
      <c r="F469">
        <v>63</v>
      </c>
      <c r="G469" t="s">
        <v>47</v>
      </c>
      <c r="H469" t="s">
        <v>31</v>
      </c>
      <c r="I469" t="s">
        <v>32</v>
      </c>
      <c r="J469">
        <v>405.94</v>
      </c>
      <c r="K469">
        <v>-2</v>
      </c>
      <c r="L469">
        <v>15</v>
      </c>
      <c r="M469" t="s">
        <v>77</v>
      </c>
      <c r="N469" t="s">
        <v>81</v>
      </c>
      <c r="O469" t="s">
        <v>82</v>
      </c>
      <c r="P469">
        <v>4</v>
      </c>
    </row>
    <row r="470" spans="1:16" x14ac:dyDescent="0.25">
      <c r="A470" t="s">
        <v>1320</v>
      </c>
      <c r="B470" t="s">
        <v>1321</v>
      </c>
      <c r="C470" t="s">
        <v>1322</v>
      </c>
      <c r="E470" t="s">
        <v>20</v>
      </c>
      <c r="F470">
        <v>130</v>
      </c>
      <c r="G470" t="s">
        <v>47</v>
      </c>
      <c r="H470" t="s">
        <v>22</v>
      </c>
      <c r="I470" t="s">
        <v>23</v>
      </c>
      <c r="J470">
        <v>464.72</v>
      </c>
      <c r="K470">
        <v>10</v>
      </c>
      <c r="L470">
        <v>15</v>
      </c>
      <c r="N470" t="s">
        <v>81</v>
      </c>
      <c r="O470" t="s">
        <v>33</v>
      </c>
      <c r="P470">
        <v>2</v>
      </c>
    </row>
    <row r="471" spans="1:16" x14ac:dyDescent="0.25">
      <c r="A471" t="s">
        <v>1323</v>
      </c>
      <c r="B471" t="s">
        <v>1324</v>
      </c>
      <c r="C471" t="s">
        <v>1325</v>
      </c>
      <c r="D471" t="s">
        <v>19</v>
      </c>
      <c r="E471" t="s">
        <v>46</v>
      </c>
      <c r="F471">
        <v>8</v>
      </c>
      <c r="G471" t="s">
        <v>21</v>
      </c>
      <c r="H471" t="s">
        <v>22</v>
      </c>
      <c r="I471" t="s">
        <v>23</v>
      </c>
      <c r="J471">
        <v>478.06</v>
      </c>
      <c r="K471">
        <v>4</v>
      </c>
      <c r="L471">
        <v>15</v>
      </c>
      <c r="M471" t="s">
        <v>64</v>
      </c>
      <c r="N471" t="s">
        <v>81</v>
      </c>
      <c r="O471" t="s">
        <v>33</v>
      </c>
      <c r="P471">
        <v>1</v>
      </c>
    </row>
    <row r="472" spans="1:16" x14ac:dyDescent="0.25">
      <c r="A472" t="s">
        <v>1326</v>
      </c>
      <c r="B472" t="s">
        <v>1327</v>
      </c>
      <c r="C472" t="s">
        <v>837</v>
      </c>
      <c r="D472" t="s">
        <v>117</v>
      </c>
      <c r="E472" t="s">
        <v>46</v>
      </c>
      <c r="F472">
        <v>130</v>
      </c>
      <c r="G472" t="s">
        <v>86</v>
      </c>
      <c r="H472" t="s">
        <v>39</v>
      </c>
      <c r="I472" t="s">
        <v>40</v>
      </c>
      <c r="J472">
        <v>422.17</v>
      </c>
      <c r="K472">
        <v>-2</v>
      </c>
      <c r="L472">
        <v>10</v>
      </c>
      <c r="M472" t="s">
        <v>77</v>
      </c>
      <c r="N472" t="s">
        <v>81</v>
      </c>
      <c r="O472" t="s">
        <v>26</v>
      </c>
    </row>
    <row r="473" spans="1:16" x14ac:dyDescent="0.25">
      <c r="A473" t="s">
        <v>1328</v>
      </c>
      <c r="B473" t="s">
        <v>1205</v>
      </c>
      <c r="C473" t="s">
        <v>1329</v>
      </c>
      <c r="D473" t="s">
        <v>63</v>
      </c>
      <c r="E473" t="s">
        <v>46</v>
      </c>
      <c r="F473">
        <v>130</v>
      </c>
      <c r="G473" t="s">
        <v>38</v>
      </c>
      <c r="H473" t="s">
        <v>48</v>
      </c>
      <c r="I473" t="s">
        <v>49</v>
      </c>
      <c r="J473">
        <v>373.34</v>
      </c>
      <c r="K473">
        <v>-2</v>
      </c>
      <c r="L473">
        <v>5</v>
      </c>
      <c r="M473" t="s">
        <v>24</v>
      </c>
      <c r="N473" t="s">
        <v>91</v>
      </c>
      <c r="O473" t="s">
        <v>26</v>
      </c>
    </row>
    <row r="474" spans="1:16" x14ac:dyDescent="0.25">
      <c r="A474" t="s">
        <v>1330</v>
      </c>
      <c r="B474" t="s">
        <v>464</v>
      </c>
      <c r="C474" t="s">
        <v>1331</v>
      </c>
      <c r="D474" t="s">
        <v>37</v>
      </c>
      <c r="E474" t="s">
        <v>46</v>
      </c>
      <c r="F474">
        <v>8</v>
      </c>
      <c r="G474" t="s">
        <v>53</v>
      </c>
      <c r="H474" t="s">
        <v>22</v>
      </c>
      <c r="I474" t="s">
        <v>23</v>
      </c>
      <c r="J474">
        <v>394.05</v>
      </c>
      <c r="K474">
        <v>-2</v>
      </c>
      <c r="L474">
        <v>15</v>
      </c>
      <c r="M474" t="s">
        <v>64</v>
      </c>
      <c r="N474" t="s">
        <v>81</v>
      </c>
      <c r="O474" t="s">
        <v>33</v>
      </c>
      <c r="P474">
        <v>4</v>
      </c>
    </row>
    <row r="475" spans="1:16" x14ac:dyDescent="0.25">
      <c r="A475" t="s">
        <v>1332</v>
      </c>
      <c r="B475" t="s">
        <v>1333</v>
      </c>
      <c r="C475" t="s">
        <v>1334</v>
      </c>
      <c r="D475" t="s">
        <v>37</v>
      </c>
      <c r="E475" t="s">
        <v>46</v>
      </c>
      <c r="F475">
        <v>130</v>
      </c>
      <c r="G475" t="s">
        <v>86</v>
      </c>
      <c r="H475" t="s">
        <v>87</v>
      </c>
      <c r="I475" t="s">
        <v>49</v>
      </c>
      <c r="J475">
        <v>79.03</v>
      </c>
      <c r="K475">
        <v>10</v>
      </c>
      <c r="L475">
        <v>10</v>
      </c>
      <c r="M475" t="s">
        <v>77</v>
      </c>
      <c r="N475" t="s">
        <v>91</v>
      </c>
      <c r="O475" t="s">
        <v>26</v>
      </c>
      <c r="P475">
        <v>1</v>
      </c>
    </row>
    <row r="476" spans="1:16" x14ac:dyDescent="0.25">
      <c r="A476" t="s">
        <v>1335</v>
      </c>
      <c r="B476" t="s">
        <v>1336</v>
      </c>
      <c r="C476" t="s">
        <v>1337</v>
      </c>
      <c r="D476" t="s">
        <v>63</v>
      </c>
      <c r="E476" t="s">
        <v>20</v>
      </c>
      <c r="F476">
        <v>130</v>
      </c>
      <c r="G476" t="s">
        <v>70</v>
      </c>
      <c r="H476" t="s">
        <v>87</v>
      </c>
      <c r="I476" t="s">
        <v>49</v>
      </c>
      <c r="J476">
        <v>392.87</v>
      </c>
      <c r="K476">
        <v>7</v>
      </c>
      <c r="L476">
        <v>-10</v>
      </c>
      <c r="M476" t="s">
        <v>64</v>
      </c>
      <c r="N476" t="s">
        <v>81</v>
      </c>
      <c r="O476" t="s">
        <v>82</v>
      </c>
      <c r="P476">
        <v>3</v>
      </c>
    </row>
    <row r="477" spans="1:16" x14ac:dyDescent="0.25">
      <c r="A477" t="s">
        <v>1338</v>
      </c>
      <c r="B477" t="s">
        <v>1339</v>
      </c>
      <c r="C477" t="s">
        <v>1340</v>
      </c>
      <c r="D477" t="s">
        <v>117</v>
      </c>
      <c r="E477" t="s">
        <v>20</v>
      </c>
      <c r="F477">
        <v>30</v>
      </c>
      <c r="G477" t="s">
        <v>38</v>
      </c>
      <c r="H477" t="s">
        <v>39</v>
      </c>
      <c r="I477" t="s">
        <v>40</v>
      </c>
      <c r="J477">
        <v>290.02999999999997</v>
      </c>
      <c r="K477">
        <v>-2</v>
      </c>
      <c r="L477">
        <v>15</v>
      </c>
      <c r="M477" t="s">
        <v>59</v>
      </c>
      <c r="N477" t="s">
        <v>25</v>
      </c>
      <c r="O477" t="s">
        <v>33</v>
      </c>
    </row>
    <row r="478" spans="1:16" x14ac:dyDescent="0.25">
      <c r="A478" t="s">
        <v>1341</v>
      </c>
      <c r="B478" t="s">
        <v>1342</v>
      </c>
      <c r="C478" t="s">
        <v>549</v>
      </c>
      <c r="D478" t="s">
        <v>101</v>
      </c>
      <c r="E478" t="s">
        <v>20</v>
      </c>
      <c r="F478">
        <v>61</v>
      </c>
      <c r="G478" t="s">
        <v>30</v>
      </c>
      <c r="H478" t="s">
        <v>121</v>
      </c>
      <c r="I478" t="s">
        <v>122</v>
      </c>
      <c r="J478">
        <v>393.39</v>
      </c>
      <c r="K478">
        <v>-2</v>
      </c>
      <c r="L478">
        <v>15</v>
      </c>
      <c r="M478" t="s">
        <v>77</v>
      </c>
      <c r="N478" t="s">
        <v>91</v>
      </c>
      <c r="O478" t="s">
        <v>26</v>
      </c>
      <c r="P478">
        <v>3</v>
      </c>
    </row>
    <row r="479" spans="1:16" x14ac:dyDescent="0.25">
      <c r="A479" t="s">
        <v>1343</v>
      </c>
      <c r="B479" t="s">
        <v>1182</v>
      </c>
      <c r="C479" t="s">
        <v>1344</v>
      </c>
      <c r="D479" t="s">
        <v>69</v>
      </c>
      <c r="E479" t="s">
        <v>20</v>
      </c>
      <c r="F479">
        <v>8</v>
      </c>
      <c r="G479" t="s">
        <v>47</v>
      </c>
      <c r="H479" t="s">
        <v>54</v>
      </c>
      <c r="I479" t="s">
        <v>55</v>
      </c>
      <c r="J479">
        <v>325.51</v>
      </c>
      <c r="K479">
        <v>-2</v>
      </c>
      <c r="L479">
        <v>5</v>
      </c>
      <c r="M479" t="s">
        <v>59</v>
      </c>
      <c r="N479" t="s">
        <v>81</v>
      </c>
      <c r="O479" t="s">
        <v>82</v>
      </c>
    </row>
    <row r="480" spans="1:16" x14ac:dyDescent="0.25">
      <c r="A480" t="s">
        <v>1345</v>
      </c>
      <c r="B480" t="s">
        <v>1346</v>
      </c>
      <c r="C480" t="s">
        <v>1347</v>
      </c>
      <c r="D480" t="s">
        <v>45</v>
      </c>
      <c r="E480" t="s">
        <v>20</v>
      </c>
      <c r="F480">
        <v>46</v>
      </c>
      <c r="G480" t="s">
        <v>38</v>
      </c>
      <c r="H480" t="s">
        <v>48</v>
      </c>
      <c r="I480" t="s">
        <v>49</v>
      </c>
      <c r="J480">
        <v>69.12</v>
      </c>
      <c r="K480">
        <v>9</v>
      </c>
      <c r="L480">
        <v>5</v>
      </c>
      <c r="M480" t="s">
        <v>64</v>
      </c>
      <c r="N480" t="s">
        <v>81</v>
      </c>
      <c r="O480" t="s">
        <v>26</v>
      </c>
      <c r="P480">
        <v>5</v>
      </c>
    </row>
    <row r="481" spans="1:16" x14ac:dyDescent="0.25">
      <c r="A481" t="s">
        <v>1348</v>
      </c>
      <c r="B481" t="s">
        <v>1349</v>
      </c>
      <c r="C481" t="s">
        <v>1350</v>
      </c>
      <c r="D481" t="s">
        <v>37</v>
      </c>
      <c r="E481" t="s">
        <v>46</v>
      </c>
      <c r="F481">
        <v>40</v>
      </c>
      <c r="G481" t="s">
        <v>21</v>
      </c>
      <c r="H481" t="s">
        <v>87</v>
      </c>
      <c r="I481" t="s">
        <v>49</v>
      </c>
      <c r="J481">
        <v>98.03</v>
      </c>
      <c r="K481">
        <v>9</v>
      </c>
      <c r="L481">
        <v>10</v>
      </c>
      <c r="M481" t="s">
        <v>77</v>
      </c>
      <c r="N481" t="s">
        <v>81</v>
      </c>
      <c r="O481" t="s">
        <v>82</v>
      </c>
      <c r="P481">
        <v>4</v>
      </c>
    </row>
    <row r="482" spans="1:16" x14ac:dyDescent="0.25">
      <c r="A482" t="s">
        <v>1351</v>
      </c>
      <c r="B482" t="s">
        <v>1352</v>
      </c>
      <c r="C482" t="s">
        <v>1353</v>
      </c>
      <c r="D482" t="s">
        <v>19</v>
      </c>
      <c r="E482" t="s">
        <v>20</v>
      </c>
      <c r="F482">
        <v>130</v>
      </c>
      <c r="G482" t="s">
        <v>30</v>
      </c>
      <c r="H482" t="s">
        <v>48</v>
      </c>
      <c r="I482" t="s">
        <v>49</v>
      </c>
      <c r="J482">
        <v>408.09</v>
      </c>
      <c r="K482">
        <v>3</v>
      </c>
      <c r="L482">
        <v>5</v>
      </c>
      <c r="M482" t="s">
        <v>24</v>
      </c>
      <c r="N482" t="s">
        <v>41</v>
      </c>
      <c r="O482" t="s">
        <v>33</v>
      </c>
    </row>
    <row r="483" spans="1:16" x14ac:dyDescent="0.25">
      <c r="A483" t="s">
        <v>1354</v>
      </c>
      <c r="B483" t="s">
        <v>1355</v>
      </c>
      <c r="C483" t="s">
        <v>1356</v>
      </c>
      <c r="D483" t="s">
        <v>45</v>
      </c>
      <c r="E483" t="s">
        <v>20</v>
      </c>
      <c r="F483">
        <v>130</v>
      </c>
      <c r="G483" t="s">
        <v>70</v>
      </c>
      <c r="H483" t="s">
        <v>54</v>
      </c>
      <c r="I483" t="s">
        <v>55</v>
      </c>
      <c r="J483">
        <v>479.95</v>
      </c>
      <c r="K483">
        <v>-2</v>
      </c>
      <c r="L483">
        <v>0</v>
      </c>
      <c r="M483" t="s">
        <v>24</v>
      </c>
      <c r="N483" t="s">
        <v>91</v>
      </c>
      <c r="O483" t="s">
        <v>26</v>
      </c>
      <c r="P483">
        <v>2</v>
      </c>
    </row>
    <row r="484" spans="1:16" x14ac:dyDescent="0.25">
      <c r="A484" t="s">
        <v>1357</v>
      </c>
      <c r="B484" t="s">
        <v>158</v>
      </c>
      <c r="C484" t="s">
        <v>1358</v>
      </c>
      <c r="D484" t="s">
        <v>63</v>
      </c>
      <c r="E484" t="s">
        <v>20</v>
      </c>
      <c r="F484">
        <v>130</v>
      </c>
      <c r="G484" t="s">
        <v>30</v>
      </c>
      <c r="H484" t="s">
        <v>22</v>
      </c>
      <c r="I484" t="s">
        <v>23</v>
      </c>
      <c r="J484">
        <v>175.71</v>
      </c>
      <c r="K484">
        <v>-2</v>
      </c>
      <c r="L484">
        <v>5</v>
      </c>
      <c r="M484" t="s">
        <v>64</v>
      </c>
      <c r="N484" t="s">
        <v>25</v>
      </c>
      <c r="O484" t="s">
        <v>33</v>
      </c>
      <c r="P484">
        <v>3</v>
      </c>
    </row>
    <row r="485" spans="1:16" x14ac:dyDescent="0.25">
      <c r="A485" t="s">
        <v>1359</v>
      </c>
      <c r="B485" t="s">
        <v>1360</v>
      </c>
      <c r="C485" t="s">
        <v>1361</v>
      </c>
      <c r="D485" t="s">
        <v>45</v>
      </c>
      <c r="E485" t="s">
        <v>46</v>
      </c>
      <c r="F485">
        <v>8</v>
      </c>
      <c r="G485" t="s">
        <v>70</v>
      </c>
      <c r="H485" t="s">
        <v>22</v>
      </c>
      <c r="I485" t="s">
        <v>23</v>
      </c>
      <c r="J485">
        <v>84.71</v>
      </c>
      <c r="K485">
        <v>-2</v>
      </c>
      <c r="L485">
        <v>120</v>
      </c>
      <c r="M485" t="s">
        <v>59</v>
      </c>
      <c r="N485" t="s">
        <v>81</v>
      </c>
      <c r="O485" t="s">
        <v>26</v>
      </c>
    </row>
    <row r="486" spans="1:16" x14ac:dyDescent="0.25">
      <c r="A486" t="s">
        <v>1362</v>
      </c>
      <c r="B486" t="s">
        <v>1363</v>
      </c>
      <c r="C486" t="s">
        <v>1364</v>
      </c>
      <c r="D486" t="s">
        <v>69</v>
      </c>
      <c r="E486" t="s">
        <v>46</v>
      </c>
      <c r="F486">
        <v>42</v>
      </c>
      <c r="G486" t="s">
        <v>38</v>
      </c>
      <c r="H486" t="s">
        <v>22</v>
      </c>
      <c r="I486" t="s">
        <v>23</v>
      </c>
      <c r="J486">
        <v>487.48</v>
      </c>
      <c r="K486">
        <v>-2</v>
      </c>
      <c r="L486">
        <v>-10</v>
      </c>
      <c r="M486" t="s">
        <v>24</v>
      </c>
      <c r="N486" t="s">
        <v>81</v>
      </c>
      <c r="O486" t="s">
        <v>33</v>
      </c>
      <c r="P486">
        <v>5</v>
      </c>
    </row>
    <row r="487" spans="1:16" x14ac:dyDescent="0.25">
      <c r="A487" t="s">
        <v>1365</v>
      </c>
      <c r="B487" t="s">
        <v>874</v>
      </c>
      <c r="C487" t="s">
        <v>1366</v>
      </c>
      <c r="D487" t="s">
        <v>101</v>
      </c>
      <c r="E487" t="s">
        <v>20</v>
      </c>
      <c r="F487">
        <v>23</v>
      </c>
      <c r="G487" t="s">
        <v>70</v>
      </c>
      <c r="H487" t="s">
        <v>121</v>
      </c>
      <c r="I487" t="s">
        <v>122</v>
      </c>
      <c r="J487">
        <v>143.28</v>
      </c>
      <c r="K487">
        <v>8</v>
      </c>
      <c r="L487">
        <v>0</v>
      </c>
      <c r="M487" t="s">
        <v>24</v>
      </c>
      <c r="N487" t="s">
        <v>41</v>
      </c>
      <c r="O487" t="s">
        <v>82</v>
      </c>
      <c r="P487">
        <v>3</v>
      </c>
    </row>
    <row r="488" spans="1:16" x14ac:dyDescent="0.25">
      <c r="A488" t="s">
        <v>1367</v>
      </c>
      <c r="B488" t="s">
        <v>252</v>
      </c>
      <c r="C488" t="s">
        <v>1368</v>
      </c>
      <c r="D488" t="s">
        <v>101</v>
      </c>
      <c r="E488" t="s">
        <v>46</v>
      </c>
      <c r="F488">
        <v>130</v>
      </c>
      <c r="G488" t="s">
        <v>21</v>
      </c>
      <c r="H488" t="s">
        <v>121</v>
      </c>
      <c r="I488" t="s">
        <v>122</v>
      </c>
      <c r="J488">
        <v>384.73</v>
      </c>
      <c r="K488">
        <v>4</v>
      </c>
      <c r="L488">
        <v>5</v>
      </c>
      <c r="M488" t="s">
        <v>24</v>
      </c>
      <c r="N488" t="s">
        <v>81</v>
      </c>
      <c r="O488" t="s">
        <v>26</v>
      </c>
      <c r="P488">
        <v>2</v>
      </c>
    </row>
    <row r="489" spans="1:16" x14ac:dyDescent="0.25">
      <c r="A489" t="s">
        <v>1369</v>
      </c>
      <c r="B489" t="s">
        <v>1130</v>
      </c>
      <c r="C489" t="s">
        <v>1370</v>
      </c>
      <c r="D489" t="s">
        <v>45</v>
      </c>
      <c r="E489" t="s">
        <v>20</v>
      </c>
      <c r="F489">
        <v>8</v>
      </c>
      <c r="G489" t="s">
        <v>86</v>
      </c>
      <c r="H489" t="s">
        <v>48</v>
      </c>
      <c r="I489" t="s">
        <v>49</v>
      </c>
      <c r="J489">
        <v>17.07</v>
      </c>
      <c r="K489">
        <v>-2</v>
      </c>
      <c r="L489">
        <v>0</v>
      </c>
      <c r="M489" t="s">
        <v>24</v>
      </c>
      <c r="N489" t="s">
        <v>25</v>
      </c>
      <c r="O489" t="s">
        <v>26</v>
      </c>
      <c r="P489">
        <v>4</v>
      </c>
    </row>
    <row r="490" spans="1:16" x14ac:dyDescent="0.25">
      <c r="A490" t="s">
        <v>1371</v>
      </c>
      <c r="B490" t="s">
        <v>1372</v>
      </c>
      <c r="C490" t="s">
        <v>856</v>
      </c>
      <c r="D490" t="s">
        <v>117</v>
      </c>
      <c r="E490" t="s">
        <v>20</v>
      </c>
      <c r="F490">
        <v>130</v>
      </c>
      <c r="G490" t="s">
        <v>30</v>
      </c>
      <c r="H490" t="s">
        <v>87</v>
      </c>
      <c r="I490" t="s">
        <v>49</v>
      </c>
      <c r="J490">
        <v>419.55</v>
      </c>
      <c r="K490">
        <v>9</v>
      </c>
      <c r="L490">
        <v>10</v>
      </c>
      <c r="M490" t="s">
        <v>64</v>
      </c>
      <c r="N490" t="s">
        <v>41</v>
      </c>
      <c r="O490" t="s">
        <v>33</v>
      </c>
    </row>
    <row r="491" spans="1:16" x14ac:dyDescent="0.25">
      <c r="A491" t="s">
        <v>1373</v>
      </c>
      <c r="B491" t="s">
        <v>1374</v>
      </c>
      <c r="C491" t="s">
        <v>1375</v>
      </c>
      <c r="D491" t="s">
        <v>45</v>
      </c>
      <c r="E491" t="s">
        <v>46</v>
      </c>
      <c r="F491">
        <v>130</v>
      </c>
      <c r="G491" t="s">
        <v>21</v>
      </c>
      <c r="H491" t="s">
        <v>87</v>
      </c>
      <c r="I491" t="s">
        <v>49</v>
      </c>
      <c r="J491">
        <v>440.15</v>
      </c>
      <c r="K491">
        <v>-2</v>
      </c>
      <c r="L491">
        <v>0</v>
      </c>
      <c r="N491" t="s">
        <v>91</v>
      </c>
      <c r="O491" t="s">
        <v>82</v>
      </c>
      <c r="P491">
        <v>5</v>
      </c>
    </row>
    <row r="492" spans="1:16" x14ac:dyDescent="0.25">
      <c r="A492" t="s">
        <v>1376</v>
      </c>
      <c r="B492" t="s">
        <v>1377</v>
      </c>
      <c r="C492" t="s">
        <v>1378</v>
      </c>
      <c r="D492" t="s">
        <v>69</v>
      </c>
      <c r="E492" t="s">
        <v>20</v>
      </c>
      <c r="F492">
        <v>8</v>
      </c>
      <c r="G492" t="s">
        <v>86</v>
      </c>
      <c r="H492" t="s">
        <v>22</v>
      </c>
      <c r="I492" t="s">
        <v>23</v>
      </c>
      <c r="J492">
        <v>208.08</v>
      </c>
      <c r="K492">
        <v>-2</v>
      </c>
      <c r="L492">
        <v>15</v>
      </c>
      <c r="M492" t="s">
        <v>59</v>
      </c>
      <c r="N492" t="s">
        <v>41</v>
      </c>
      <c r="O492" t="s">
        <v>33</v>
      </c>
      <c r="P492">
        <v>5</v>
      </c>
    </row>
    <row r="493" spans="1:16" x14ac:dyDescent="0.25">
      <c r="A493" t="s">
        <v>1379</v>
      </c>
      <c r="B493" t="s">
        <v>1380</v>
      </c>
      <c r="C493" t="s">
        <v>1381</v>
      </c>
      <c r="D493" t="s">
        <v>37</v>
      </c>
      <c r="E493" t="s">
        <v>46</v>
      </c>
      <c r="F493">
        <v>130</v>
      </c>
      <c r="G493" t="s">
        <v>30</v>
      </c>
      <c r="H493" t="s">
        <v>48</v>
      </c>
      <c r="I493" t="s">
        <v>49</v>
      </c>
      <c r="J493">
        <v>291.11</v>
      </c>
      <c r="K493">
        <v>6</v>
      </c>
      <c r="L493">
        <v>5</v>
      </c>
      <c r="M493" t="s">
        <v>64</v>
      </c>
      <c r="N493" t="s">
        <v>25</v>
      </c>
      <c r="O493" t="s">
        <v>26</v>
      </c>
      <c r="P493">
        <v>3</v>
      </c>
    </row>
    <row r="494" spans="1:16" x14ac:dyDescent="0.25">
      <c r="A494" t="s">
        <v>1382</v>
      </c>
      <c r="B494" t="s">
        <v>1135</v>
      </c>
      <c r="C494" t="s">
        <v>1383</v>
      </c>
      <c r="D494" t="s">
        <v>63</v>
      </c>
      <c r="E494" t="s">
        <v>20</v>
      </c>
      <c r="F494">
        <v>53</v>
      </c>
      <c r="G494" t="s">
        <v>38</v>
      </c>
      <c r="H494" t="s">
        <v>54</v>
      </c>
      <c r="I494" t="s">
        <v>55</v>
      </c>
      <c r="J494">
        <v>187.63</v>
      </c>
      <c r="K494">
        <v>3</v>
      </c>
      <c r="L494">
        <v>10</v>
      </c>
      <c r="M494" t="s">
        <v>64</v>
      </c>
      <c r="N494" t="s">
        <v>81</v>
      </c>
      <c r="O494" t="s">
        <v>33</v>
      </c>
      <c r="P494">
        <v>2</v>
      </c>
    </row>
    <row r="495" spans="1:16" x14ac:dyDescent="0.25">
      <c r="A495" t="s">
        <v>1384</v>
      </c>
      <c r="B495" t="s">
        <v>455</v>
      </c>
      <c r="C495" t="s">
        <v>1385</v>
      </c>
      <c r="D495" t="s">
        <v>117</v>
      </c>
      <c r="E495" t="s">
        <v>20</v>
      </c>
      <c r="F495">
        <v>130</v>
      </c>
      <c r="G495" t="s">
        <v>86</v>
      </c>
      <c r="H495" t="s">
        <v>121</v>
      </c>
      <c r="I495" t="s">
        <v>122</v>
      </c>
      <c r="J495">
        <v>249.72</v>
      </c>
      <c r="K495">
        <v>3</v>
      </c>
      <c r="L495">
        <v>-10</v>
      </c>
      <c r="N495" t="s">
        <v>25</v>
      </c>
      <c r="O495" t="s">
        <v>26</v>
      </c>
      <c r="P495">
        <v>2</v>
      </c>
    </row>
    <row r="496" spans="1:16" x14ac:dyDescent="0.25">
      <c r="A496" t="s">
        <v>1386</v>
      </c>
      <c r="B496" t="s">
        <v>548</v>
      </c>
      <c r="C496" t="s">
        <v>1387</v>
      </c>
      <c r="D496" t="s">
        <v>101</v>
      </c>
      <c r="E496" t="s">
        <v>20</v>
      </c>
      <c r="F496">
        <v>130</v>
      </c>
      <c r="G496" t="s">
        <v>47</v>
      </c>
      <c r="H496" t="s">
        <v>54</v>
      </c>
      <c r="I496" t="s">
        <v>55</v>
      </c>
      <c r="J496">
        <v>318.35000000000002</v>
      </c>
      <c r="K496">
        <v>-2</v>
      </c>
      <c r="L496">
        <v>5</v>
      </c>
      <c r="N496" t="s">
        <v>25</v>
      </c>
      <c r="O496" t="s">
        <v>33</v>
      </c>
      <c r="P496">
        <v>3</v>
      </c>
    </row>
    <row r="497" spans="1:16" x14ac:dyDescent="0.25">
      <c r="A497" t="s">
        <v>1388</v>
      </c>
      <c r="B497" t="s">
        <v>1389</v>
      </c>
      <c r="C497" t="s">
        <v>1390</v>
      </c>
      <c r="D497" t="s">
        <v>117</v>
      </c>
      <c r="E497" t="s">
        <v>46</v>
      </c>
      <c r="F497">
        <v>130</v>
      </c>
      <c r="G497" t="s">
        <v>30</v>
      </c>
      <c r="H497" t="s">
        <v>87</v>
      </c>
      <c r="I497" t="s">
        <v>49</v>
      </c>
      <c r="J497">
        <v>404.64</v>
      </c>
      <c r="K497">
        <v>9</v>
      </c>
      <c r="L497">
        <v>120</v>
      </c>
      <c r="M497" t="s">
        <v>59</v>
      </c>
      <c r="N497" t="s">
        <v>81</v>
      </c>
      <c r="O497" t="s">
        <v>82</v>
      </c>
      <c r="P497">
        <v>4</v>
      </c>
    </row>
    <row r="498" spans="1:16" x14ac:dyDescent="0.25">
      <c r="A498" t="s">
        <v>1391</v>
      </c>
      <c r="B498" t="s">
        <v>476</v>
      </c>
      <c r="C498" t="s">
        <v>1392</v>
      </c>
      <c r="D498" t="s">
        <v>19</v>
      </c>
      <c r="E498" t="s">
        <v>20</v>
      </c>
      <c r="F498">
        <v>130</v>
      </c>
      <c r="G498" t="s">
        <v>21</v>
      </c>
      <c r="H498" t="s">
        <v>22</v>
      </c>
      <c r="I498" t="s">
        <v>23</v>
      </c>
      <c r="J498">
        <v>302.69</v>
      </c>
      <c r="K498">
        <v>2</v>
      </c>
      <c r="L498">
        <v>5</v>
      </c>
      <c r="M498" t="s">
        <v>77</v>
      </c>
      <c r="N498" t="s">
        <v>25</v>
      </c>
      <c r="O498" t="s">
        <v>65</v>
      </c>
      <c r="P498">
        <v>5</v>
      </c>
    </row>
    <row r="499" spans="1:16" x14ac:dyDescent="0.25">
      <c r="A499" t="s">
        <v>1393</v>
      </c>
      <c r="B499" t="s">
        <v>1324</v>
      </c>
      <c r="C499" t="s">
        <v>1394</v>
      </c>
      <c r="D499" t="s">
        <v>37</v>
      </c>
      <c r="E499" t="s">
        <v>20</v>
      </c>
      <c r="F499">
        <v>130</v>
      </c>
      <c r="G499" t="s">
        <v>38</v>
      </c>
      <c r="H499" t="s">
        <v>22</v>
      </c>
      <c r="I499" t="s">
        <v>23</v>
      </c>
      <c r="J499">
        <v>403.91</v>
      </c>
      <c r="K499">
        <v>-2</v>
      </c>
      <c r="L499">
        <v>10</v>
      </c>
      <c r="M499" t="s">
        <v>59</v>
      </c>
      <c r="N499" t="s">
        <v>91</v>
      </c>
      <c r="O499" t="s">
        <v>65</v>
      </c>
      <c r="P499">
        <v>4</v>
      </c>
    </row>
    <row r="500" spans="1:16" x14ac:dyDescent="0.25">
      <c r="A500" t="s">
        <v>343</v>
      </c>
      <c r="B500" t="s">
        <v>1395</v>
      </c>
      <c r="C500" t="s">
        <v>1396</v>
      </c>
      <c r="D500" t="s">
        <v>19</v>
      </c>
      <c r="E500" t="s">
        <v>20</v>
      </c>
      <c r="F500">
        <v>8</v>
      </c>
      <c r="G500" t="s">
        <v>53</v>
      </c>
      <c r="H500" t="s">
        <v>121</v>
      </c>
      <c r="I500" t="s">
        <v>122</v>
      </c>
      <c r="J500">
        <v>216.4</v>
      </c>
      <c r="K500">
        <v>-2</v>
      </c>
      <c r="L500">
        <v>0</v>
      </c>
      <c r="M500" t="s">
        <v>77</v>
      </c>
      <c r="N500" t="s">
        <v>81</v>
      </c>
      <c r="O500" t="s">
        <v>82</v>
      </c>
      <c r="P500">
        <v>5</v>
      </c>
    </row>
    <row r="501" spans="1:16" x14ac:dyDescent="0.25">
      <c r="A501" t="s">
        <v>1397</v>
      </c>
      <c r="B501" t="s">
        <v>1398</v>
      </c>
      <c r="C501" t="s">
        <v>1399</v>
      </c>
      <c r="D501" t="s">
        <v>19</v>
      </c>
      <c r="E501" t="s">
        <v>46</v>
      </c>
      <c r="F501">
        <v>29</v>
      </c>
      <c r="G501" t="s">
        <v>86</v>
      </c>
      <c r="H501" t="s">
        <v>121</v>
      </c>
      <c r="I501" t="s">
        <v>122</v>
      </c>
      <c r="J501">
        <v>389.77</v>
      </c>
      <c r="K501">
        <v>-2</v>
      </c>
      <c r="L501">
        <v>120</v>
      </c>
      <c r="M501" t="s">
        <v>59</v>
      </c>
      <c r="N501" t="s">
        <v>41</v>
      </c>
      <c r="O501" t="s">
        <v>82</v>
      </c>
      <c r="P501">
        <v>3</v>
      </c>
    </row>
    <row r="502" spans="1:16" x14ac:dyDescent="0.25">
      <c r="A502" t="s">
        <v>1400</v>
      </c>
      <c r="B502" t="s">
        <v>99</v>
      </c>
      <c r="C502" t="s">
        <v>1401</v>
      </c>
      <c r="D502" t="s">
        <v>63</v>
      </c>
      <c r="E502" t="s">
        <v>46</v>
      </c>
      <c r="F502">
        <v>8</v>
      </c>
      <c r="G502" t="s">
        <v>30</v>
      </c>
      <c r="H502" t="s">
        <v>54</v>
      </c>
      <c r="I502" t="s">
        <v>55</v>
      </c>
      <c r="J502">
        <v>265.94</v>
      </c>
      <c r="K502">
        <v>-2</v>
      </c>
      <c r="L502">
        <v>5</v>
      </c>
      <c r="M502" t="s">
        <v>59</v>
      </c>
      <c r="N502" t="s">
        <v>91</v>
      </c>
      <c r="O502" t="s">
        <v>33</v>
      </c>
      <c r="P502">
        <v>5</v>
      </c>
    </row>
    <row r="503" spans="1:16" x14ac:dyDescent="0.25">
      <c r="A503" t="s">
        <v>1402</v>
      </c>
      <c r="B503" t="s">
        <v>929</v>
      </c>
      <c r="C503" t="s">
        <v>1403</v>
      </c>
      <c r="D503" t="s">
        <v>63</v>
      </c>
      <c r="E503" t="s">
        <v>20</v>
      </c>
      <c r="F503">
        <v>30</v>
      </c>
      <c r="G503" t="s">
        <v>30</v>
      </c>
      <c r="H503" t="s">
        <v>22</v>
      </c>
      <c r="I503" t="s">
        <v>23</v>
      </c>
      <c r="J503">
        <v>195.95</v>
      </c>
      <c r="K503">
        <v>-2</v>
      </c>
      <c r="L503">
        <v>-10</v>
      </c>
      <c r="N503" t="s">
        <v>91</v>
      </c>
      <c r="O503" t="s">
        <v>82</v>
      </c>
      <c r="P503">
        <v>4</v>
      </c>
    </row>
    <row r="504" spans="1:16" x14ac:dyDescent="0.25">
      <c r="A504" t="s">
        <v>1404</v>
      </c>
      <c r="B504" t="s">
        <v>1405</v>
      </c>
      <c r="C504" t="s">
        <v>1406</v>
      </c>
      <c r="E504" t="s">
        <v>20</v>
      </c>
      <c r="F504">
        <v>54</v>
      </c>
      <c r="G504" t="s">
        <v>86</v>
      </c>
      <c r="H504" t="s">
        <v>121</v>
      </c>
      <c r="I504" t="s">
        <v>122</v>
      </c>
      <c r="J504">
        <v>282.18</v>
      </c>
      <c r="K504">
        <v>1</v>
      </c>
      <c r="L504">
        <v>5</v>
      </c>
      <c r="M504" t="s">
        <v>59</v>
      </c>
      <c r="N504" t="s">
        <v>41</v>
      </c>
      <c r="O504" t="s">
        <v>26</v>
      </c>
      <c r="P504">
        <v>5</v>
      </c>
    </row>
    <row r="505" spans="1:16" x14ac:dyDescent="0.25">
      <c r="A505" t="s">
        <v>1407</v>
      </c>
      <c r="B505" t="s">
        <v>75</v>
      </c>
      <c r="C505" t="s">
        <v>1408</v>
      </c>
      <c r="D505" t="s">
        <v>37</v>
      </c>
      <c r="E505" t="s">
        <v>20</v>
      </c>
      <c r="F505">
        <v>130</v>
      </c>
      <c r="G505" t="s">
        <v>30</v>
      </c>
      <c r="H505" t="s">
        <v>22</v>
      </c>
      <c r="I505" t="s">
        <v>23</v>
      </c>
      <c r="J505">
        <v>42.96</v>
      </c>
      <c r="K505">
        <v>6</v>
      </c>
      <c r="L505">
        <v>-10</v>
      </c>
      <c r="M505" t="s">
        <v>77</v>
      </c>
      <c r="N505" t="s">
        <v>25</v>
      </c>
      <c r="O505" t="s">
        <v>82</v>
      </c>
      <c r="P505">
        <v>1</v>
      </c>
    </row>
    <row r="506" spans="1:16" x14ac:dyDescent="0.25">
      <c r="A506" t="s">
        <v>1409</v>
      </c>
      <c r="B506" t="s">
        <v>141</v>
      </c>
      <c r="C506" t="s">
        <v>1410</v>
      </c>
      <c r="D506" t="s">
        <v>37</v>
      </c>
      <c r="E506" t="s">
        <v>20</v>
      </c>
      <c r="F506">
        <v>39</v>
      </c>
      <c r="G506" t="s">
        <v>86</v>
      </c>
      <c r="H506" t="s">
        <v>54</v>
      </c>
      <c r="I506" t="s">
        <v>55</v>
      </c>
      <c r="J506">
        <v>264.02</v>
      </c>
      <c r="K506">
        <v>-2</v>
      </c>
      <c r="L506">
        <v>15</v>
      </c>
      <c r="N506" t="s">
        <v>25</v>
      </c>
      <c r="O506" t="s">
        <v>33</v>
      </c>
      <c r="P506">
        <v>2</v>
      </c>
    </row>
    <row r="507" spans="1:16" x14ac:dyDescent="0.25">
      <c r="A507" t="s">
        <v>1411</v>
      </c>
      <c r="B507" t="s">
        <v>1412</v>
      </c>
      <c r="C507" t="s">
        <v>1413</v>
      </c>
      <c r="D507" t="s">
        <v>45</v>
      </c>
      <c r="E507" t="s">
        <v>20</v>
      </c>
      <c r="F507">
        <v>130</v>
      </c>
      <c r="G507" t="s">
        <v>53</v>
      </c>
      <c r="H507" t="s">
        <v>54</v>
      </c>
      <c r="I507" t="s">
        <v>55</v>
      </c>
      <c r="J507">
        <v>168.39</v>
      </c>
      <c r="K507">
        <v>-2</v>
      </c>
      <c r="L507">
        <v>-10</v>
      </c>
      <c r="M507" t="s">
        <v>64</v>
      </c>
      <c r="N507" t="s">
        <v>81</v>
      </c>
      <c r="O507" t="s">
        <v>65</v>
      </c>
      <c r="P507">
        <v>5</v>
      </c>
    </row>
    <row r="508" spans="1:16" x14ac:dyDescent="0.25">
      <c r="A508" t="s">
        <v>1414</v>
      </c>
      <c r="B508" t="s">
        <v>587</v>
      </c>
      <c r="C508" t="s">
        <v>1415</v>
      </c>
      <c r="D508" t="s">
        <v>37</v>
      </c>
      <c r="E508" t="s">
        <v>20</v>
      </c>
      <c r="F508">
        <v>130</v>
      </c>
      <c r="G508" t="s">
        <v>53</v>
      </c>
      <c r="H508" t="s">
        <v>31</v>
      </c>
      <c r="I508" t="s">
        <v>32</v>
      </c>
      <c r="J508">
        <v>181.96</v>
      </c>
      <c r="K508">
        <v>-2</v>
      </c>
      <c r="L508">
        <v>15</v>
      </c>
      <c r="M508" t="s">
        <v>24</v>
      </c>
      <c r="N508" t="s">
        <v>91</v>
      </c>
      <c r="O508" t="s">
        <v>26</v>
      </c>
      <c r="P508">
        <v>3</v>
      </c>
    </row>
    <row r="509" spans="1:16" x14ac:dyDescent="0.25">
      <c r="A509" t="s">
        <v>1416</v>
      </c>
      <c r="B509" t="s">
        <v>1417</v>
      </c>
      <c r="C509" t="s">
        <v>1418</v>
      </c>
      <c r="D509" t="s">
        <v>37</v>
      </c>
      <c r="E509" t="s">
        <v>20</v>
      </c>
      <c r="F509">
        <v>8</v>
      </c>
      <c r="G509" t="s">
        <v>21</v>
      </c>
      <c r="H509" t="s">
        <v>48</v>
      </c>
      <c r="I509" t="s">
        <v>49</v>
      </c>
      <c r="J509">
        <v>356.65</v>
      </c>
      <c r="K509">
        <v>-2</v>
      </c>
      <c r="L509">
        <v>-10</v>
      </c>
      <c r="N509" t="s">
        <v>91</v>
      </c>
      <c r="O509" t="s">
        <v>33</v>
      </c>
      <c r="P509">
        <v>4</v>
      </c>
    </row>
    <row r="510" spans="1:16" x14ac:dyDescent="0.25">
      <c r="A510" t="s">
        <v>1419</v>
      </c>
      <c r="B510" t="s">
        <v>306</v>
      </c>
      <c r="C510" t="s">
        <v>1420</v>
      </c>
      <c r="D510" t="s">
        <v>117</v>
      </c>
      <c r="E510" t="s">
        <v>46</v>
      </c>
      <c r="F510">
        <v>51</v>
      </c>
      <c r="G510" t="s">
        <v>53</v>
      </c>
      <c r="H510" t="s">
        <v>39</v>
      </c>
      <c r="I510" t="s">
        <v>40</v>
      </c>
      <c r="J510">
        <v>43.68</v>
      </c>
      <c r="K510">
        <v>5</v>
      </c>
      <c r="L510">
        <v>-10</v>
      </c>
      <c r="M510" t="s">
        <v>64</v>
      </c>
      <c r="N510" t="s">
        <v>81</v>
      </c>
      <c r="O510" t="s">
        <v>65</v>
      </c>
      <c r="P510">
        <v>1</v>
      </c>
    </row>
    <row r="511" spans="1:16" x14ac:dyDescent="0.25">
      <c r="A511" t="s">
        <v>1421</v>
      </c>
      <c r="B511" t="s">
        <v>1422</v>
      </c>
      <c r="C511" t="s">
        <v>1423</v>
      </c>
      <c r="D511" t="s">
        <v>19</v>
      </c>
      <c r="E511" t="s">
        <v>20</v>
      </c>
      <c r="F511">
        <v>8</v>
      </c>
      <c r="G511" t="s">
        <v>30</v>
      </c>
      <c r="H511" t="s">
        <v>54</v>
      </c>
      <c r="I511" t="s">
        <v>55</v>
      </c>
      <c r="J511">
        <v>181.63</v>
      </c>
      <c r="K511">
        <v>9</v>
      </c>
      <c r="L511">
        <v>10</v>
      </c>
      <c r="N511" t="s">
        <v>81</v>
      </c>
      <c r="O511" t="s">
        <v>65</v>
      </c>
    </row>
    <row r="512" spans="1:16" x14ac:dyDescent="0.25">
      <c r="A512" t="s">
        <v>1424</v>
      </c>
      <c r="B512" t="s">
        <v>486</v>
      </c>
      <c r="C512" t="s">
        <v>1425</v>
      </c>
      <c r="D512" t="s">
        <v>117</v>
      </c>
      <c r="E512" t="s">
        <v>46</v>
      </c>
      <c r="F512">
        <v>130</v>
      </c>
      <c r="G512" t="s">
        <v>47</v>
      </c>
      <c r="H512" t="s">
        <v>22</v>
      </c>
      <c r="I512" t="s">
        <v>23</v>
      </c>
      <c r="J512">
        <v>292.29000000000002</v>
      </c>
      <c r="K512">
        <v>1</v>
      </c>
      <c r="L512">
        <v>-10</v>
      </c>
      <c r="M512" t="s">
        <v>59</v>
      </c>
      <c r="N512" t="s">
        <v>25</v>
      </c>
      <c r="O512" t="s">
        <v>26</v>
      </c>
      <c r="P512">
        <v>2</v>
      </c>
    </row>
    <row r="513" spans="1:16" x14ac:dyDescent="0.25">
      <c r="A513" t="s">
        <v>1426</v>
      </c>
      <c r="B513" t="s">
        <v>1427</v>
      </c>
      <c r="C513" t="s">
        <v>1428</v>
      </c>
      <c r="D513" t="s">
        <v>19</v>
      </c>
      <c r="E513" t="s">
        <v>46</v>
      </c>
      <c r="F513">
        <v>44</v>
      </c>
      <c r="G513" t="s">
        <v>86</v>
      </c>
      <c r="H513" t="s">
        <v>121</v>
      </c>
      <c r="I513" t="s">
        <v>122</v>
      </c>
      <c r="J513">
        <v>323.08</v>
      </c>
      <c r="K513">
        <v>6</v>
      </c>
      <c r="L513">
        <v>5</v>
      </c>
      <c r="M513" t="s">
        <v>64</v>
      </c>
      <c r="N513" t="s">
        <v>41</v>
      </c>
      <c r="O513" t="s">
        <v>26</v>
      </c>
      <c r="P513">
        <v>5</v>
      </c>
    </row>
    <row r="514" spans="1:16" x14ac:dyDescent="0.25">
      <c r="A514" t="s">
        <v>1429</v>
      </c>
      <c r="B514" t="s">
        <v>774</v>
      </c>
      <c r="C514" t="s">
        <v>1430</v>
      </c>
      <c r="E514" t="s">
        <v>46</v>
      </c>
      <c r="F514">
        <v>8</v>
      </c>
      <c r="G514" t="s">
        <v>86</v>
      </c>
      <c r="H514" t="s">
        <v>39</v>
      </c>
      <c r="I514" t="s">
        <v>40</v>
      </c>
      <c r="J514">
        <v>368</v>
      </c>
      <c r="K514">
        <v>5</v>
      </c>
      <c r="L514">
        <v>120</v>
      </c>
      <c r="M514" t="s">
        <v>64</v>
      </c>
      <c r="N514" t="s">
        <v>41</v>
      </c>
      <c r="O514" t="s">
        <v>82</v>
      </c>
      <c r="P514">
        <v>3</v>
      </c>
    </row>
    <row r="515" spans="1:16" x14ac:dyDescent="0.25">
      <c r="A515" t="s">
        <v>1431</v>
      </c>
      <c r="B515" t="s">
        <v>1432</v>
      </c>
      <c r="C515" t="s">
        <v>1433</v>
      </c>
      <c r="E515" t="s">
        <v>46</v>
      </c>
      <c r="F515">
        <v>8</v>
      </c>
      <c r="G515" t="s">
        <v>53</v>
      </c>
      <c r="H515" t="s">
        <v>48</v>
      </c>
      <c r="I515" t="s">
        <v>49</v>
      </c>
      <c r="J515">
        <v>79.599999999999994</v>
      </c>
      <c r="K515">
        <v>7</v>
      </c>
      <c r="L515">
        <v>120</v>
      </c>
      <c r="M515" t="s">
        <v>64</v>
      </c>
      <c r="N515" t="s">
        <v>81</v>
      </c>
      <c r="O515" t="s">
        <v>82</v>
      </c>
      <c r="P515">
        <v>3</v>
      </c>
    </row>
    <row r="516" spans="1:16" x14ac:dyDescent="0.25">
      <c r="A516" t="s">
        <v>1434</v>
      </c>
      <c r="B516" t="s">
        <v>323</v>
      </c>
      <c r="C516" t="s">
        <v>1435</v>
      </c>
      <c r="D516" t="s">
        <v>19</v>
      </c>
      <c r="E516" t="s">
        <v>46</v>
      </c>
      <c r="F516">
        <v>8</v>
      </c>
      <c r="G516" t="s">
        <v>47</v>
      </c>
      <c r="H516" t="s">
        <v>54</v>
      </c>
      <c r="I516" t="s">
        <v>55</v>
      </c>
      <c r="J516">
        <v>129.43</v>
      </c>
      <c r="K516">
        <v>-2</v>
      </c>
      <c r="L516">
        <v>0</v>
      </c>
      <c r="M516" t="s">
        <v>77</v>
      </c>
      <c r="N516" t="s">
        <v>41</v>
      </c>
      <c r="O516" t="s">
        <v>82</v>
      </c>
      <c r="P516">
        <v>1</v>
      </c>
    </row>
    <row r="517" spans="1:16" x14ac:dyDescent="0.25">
      <c r="A517" t="s">
        <v>1436</v>
      </c>
      <c r="B517" t="s">
        <v>1437</v>
      </c>
      <c r="C517" t="s">
        <v>1438</v>
      </c>
      <c r="D517" t="s">
        <v>63</v>
      </c>
      <c r="E517" t="s">
        <v>20</v>
      </c>
      <c r="F517">
        <v>8</v>
      </c>
      <c r="G517" t="s">
        <v>38</v>
      </c>
      <c r="H517" t="s">
        <v>22</v>
      </c>
      <c r="I517" t="s">
        <v>23</v>
      </c>
      <c r="J517">
        <v>412.96</v>
      </c>
      <c r="K517">
        <v>-2</v>
      </c>
      <c r="L517">
        <v>10</v>
      </c>
      <c r="N517" t="s">
        <v>25</v>
      </c>
      <c r="O517" t="s">
        <v>33</v>
      </c>
    </row>
    <row r="518" spans="1:16" x14ac:dyDescent="0.25">
      <c r="A518" t="s">
        <v>1439</v>
      </c>
      <c r="B518" t="s">
        <v>1440</v>
      </c>
      <c r="C518" t="s">
        <v>1441</v>
      </c>
      <c r="D518" t="s">
        <v>117</v>
      </c>
      <c r="E518" t="s">
        <v>46</v>
      </c>
      <c r="F518">
        <v>39</v>
      </c>
      <c r="G518" t="s">
        <v>38</v>
      </c>
      <c r="H518" t="s">
        <v>39</v>
      </c>
      <c r="I518" t="s">
        <v>40</v>
      </c>
      <c r="J518">
        <v>452.42</v>
      </c>
      <c r="K518">
        <v>6</v>
      </c>
      <c r="L518">
        <v>10</v>
      </c>
      <c r="M518" t="s">
        <v>64</v>
      </c>
      <c r="N518" t="s">
        <v>91</v>
      </c>
      <c r="O518" t="s">
        <v>82</v>
      </c>
      <c r="P518">
        <v>1</v>
      </c>
    </row>
    <row r="519" spans="1:16" x14ac:dyDescent="0.25">
      <c r="A519" t="s">
        <v>1442</v>
      </c>
      <c r="B519" t="s">
        <v>187</v>
      </c>
      <c r="C519" t="s">
        <v>1443</v>
      </c>
      <c r="D519" t="s">
        <v>37</v>
      </c>
      <c r="E519" t="s">
        <v>46</v>
      </c>
      <c r="F519">
        <v>8</v>
      </c>
      <c r="G519" t="s">
        <v>38</v>
      </c>
      <c r="H519" t="s">
        <v>121</v>
      </c>
      <c r="I519" t="s">
        <v>122</v>
      </c>
      <c r="J519">
        <v>110.87</v>
      </c>
      <c r="K519">
        <v>6</v>
      </c>
      <c r="L519">
        <v>120</v>
      </c>
      <c r="N519" t="s">
        <v>81</v>
      </c>
      <c r="O519" t="s">
        <v>65</v>
      </c>
      <c r="P519">
        <v>4</v>
      </c>
    </row>
    <row r="520" spans="1:16" x14ac:dyDescent="0.25">
      <c r="A520" t="s">
        <v>1444</v>
      </c>
      <c r="B520" t="s">
        <v>828</v>
      </c>
      <c r="C520" t="s">
        <v>1445</v>
      </c>
      <c r="D520" t="s">
        <v>117</v>
      </c>
      <c r="E520" t="s">
        <v>20</v>
      </c>
      <c r="F520">
        <v>44</v>
      </c>
      <c r="G520" t="s">
        <v>38</v>
      </c>
      <c r="H520" t="s">
        <v>31</v>
      </c>
      <c r="I520" t="s">
        <v>32</v>
      </c>
      <c r="J520">
        <v>13.84</v>
      </c>
      <c r="K520">
        <v>-2</v>
      </c>
      <c r="L520">
        <v>10</v>
      </c>
      <c r="M520" t="s">
        <v>59</v>
      </c>
      <c r="N520" t="s">
        <v>25</v>
      </c>
      <c r="O520" t="s">
        <v>65</v>
      </c>
    </row>
    <row r="521" spans="1:16" x14ac:dyDescent="0.25">
      <c r="A521" t="s">
        <v>1446</v>
      </c>
      <c r="B521" t="s">
        <v>988</v>
      </c>
      <c r="C521" t="s">
        <v>1447</v>
      </c>
      <c r="D521" t="s">
        <v>117</v>
      </c>
      <c r="E521" t="s">
        <v>46</v>
      </c>
      <c r="F521">
        <v>8</v>
      </c>
      <c r="G521" t="s">
        <v>47</v>
      </c>
      <c r="H521" t="s">
        <v>22</v>
      </c>
      <c r="I521" t="s">
        <v>23</v>
      </c>
      <c r="J521">
        <v>205.07</v>
      </c>
      <c r="K521">
        <v>-2</v>
      </c>
      <c r="L521">
        <v>-10</v>
      </c>
      <c r="M521" t="s">
        <v>59</v>
      </c>
      <c r="N521" t="s">
        <v>81</v>
      </c>
      <c r="O521" t="s">
        <v>65</v>
      </c>
      <c r="P521">
        <v>2</v>
      </c>
    </row>
    <row r="522" spans="1:16" x14ac:dyDescent="0.25">
      <c r="A522" t="s">
        <v>1448</v>
      </c>
      <c r="B522" t="s">
        <v>303</v>
      </c>
      <c r="C522" t="s">
        <v>1449</v>
      </c>
      <c r="D522" t="s">
        <v>101</v>
      </c>
      <c r="E522" t="s">
        <v>20</v>
      </c>
      <c r="F522">
        <v>8</v>
      </c>
      <c r="G522" t="s">
        <v>70</v>
      </c>
      <c r="H522" t="s">
        <v>22</v>
      </c>
      <c r="I522" t="s">
        <v>23</v>
      </c>
      <c r="J522">
        <v>246.19</v>
      </c>
      <c r="K522">
        <v>-2</v>
      </c>
      <c r="L522">
        <v>10</v>
      </c>
      <c r="M522" t="s">
        <v>59</v>
      </c>
      <c r="N522" t="s">
        <v>41</v>
      </c>
      <c r="O522" t="s">
        <v>33</v>
      </c>
      <c r="P522">
        <v>3</v>
      </c>
    </row>
    <row r="523" spans="1:16" x14ac:dyDescent="0.25">
      <c r="A523" t="s">
        <v>1450</v>
      </c>
      <c r="B523" t="s">
        <v>1451</v>
      </c>
      <c r="C523" t="s">
        <v>1452</v>
      </c>
      <c r="D523" t="s">
        <v>19</v>
      </c>
      <c r="E523" t="s">
        <v>20</v>
      </c>
      <c r="F523">
        <v>130</v>
      </c>
      <c r="G523" t="s">
        <v>70</v>
      </c>
      <c r="H523" t="s">
        <v>39</v>
      </c>
      <c r="I523" t="s">
        <v>40</v>
      </c>
      <c r="J523">
        <v>241.11</v>
      </c>
      <c r="K523">
        <v>10</v>
      </c>
      <c r="L523">
        <v>120</v>
      </c>
      <c r="M523" t="s">
        <v>59</v>
      </c>
      <c r="N523" t="s">
        <v>25</v>
      </c>
      <c r="O523" t="s">
        <v>82</v>
      </c>
      <c r="P523">
        <v>1</v>
      </c>
    </row>
    <row r="524" spans="1:16" x14ac:dyDescent="0.25">
      <c r="A524" t="s">
        <v>1453</v>
      </c>
      <c r="B524" t="s">
        <v>1004</v>
      </c>
      <c r="C524" t="s">
        <v>1454</v>
      </c>
      <c r="D524" t="s">
        <v>101</v>
      </c>
      <c r="E524" t="s">
        <v>20</v>
      </c>
      <c r="F524">
        <v>8</v>
      </c>
      <c r="G524" t="s">
        <v>86</v>
      </c>
      <c r="H524" t="s">
        <v>54</v>
      </c>
      <c r="I524" t="s">
        <v>55</v>
      </c>
      <c r="J524">
        <v>316.27</v>
      </c>
      <c r="K524">
        <v>-2</v>
      </c>
      <c r="L524">
        <v>0</v>
      </c>
      <c r="N524" t="s">
        <v>41</v>
      </c>
      <c r="O524" t="s">
        <v>26</v>
      </c>
      <c r="P524">
        <v>3</v>
      </c>
    </row>
    <row r="525" spans="1:16" x14ac:dyDescent="0.25">
      <c r="A525" t="s">
        <v>1455</v>
      </c>
      <c r="B525" t="s">
        <v>437</v>
      </c>
      <c r="C525" t="s">
        <v>1456</v>
      </c>
      <c r="D525" t="s">
        <v>45</v>
      </c>
      <c r="E525" t="s">
        <v>46</v>
      </c>
      <c r="F525">
        <v>130</v>
      </c>
      <c r="G525" t="s">
        <v>47</v>
      </c>
      <c r="H525" t="s">
        <v>87</v>
      </c>
      <c r="I525" t="s">
        <v>49</v>
      </c>
      <c r="J525">
        <v>411.81</v>
      </c>
      <c r="K525">
        <v>-2</v>
      </c>
      <c r="L525">
        <v>0</v>
      </c>
      <c r="M525" t="s">
        <v>64</v>
      </c>
      <c r="N525" t="s">
        <v>25</v>
      </c>
      <c r="O525" t="s">
        <v>65</v>
      </c>
      <c r="P525">
        <v>2</v>
      </c>
    </row>
    <row r="526" spans="1:16" x14ac:dyDescent="0.25">
      <c r="A526" t="s">
        <v>1457</v>
      </c>
      <c r="B526" t="s">
        <v>264</v>
      </c>
      <c r="C526" t="s">
        <v>1458</v>
      </c>
      <c r="D526" t="s">
        <v>63</v>
      </c>
      <c r="E526" t="s">
        <v>20</v>
      </c>
      <c r="F526">
        <v>130</v>
      </c>
      <c r="G526" t="s">
        <v>70</v>
      </c>
      <c r="H526" t="s">
        <v>87</v>
      </c>
      <c r="I526" t="s">
        <v>49</v>
      </c>
      <c r="J526">
        <v>116.56</v>
      </c>
      <c r="K526">
        <v>-2</v>
      </c>
      <c r="L526">
        <v>-10</v>
      </c>
      <c r="M526" t="s">
        <v>77</v>
      </c>
      <c r="N526" t="s">
        <v>91</v>
      </c>
      <c r="O526" t="s">
        <v>65</v>
      </c>
    </row>
    <row r="527" spans="1:16" x14ac:dyDescent="0.25">
      <c r="A527" t="s">
        <v>1459</v>
      </c>
      <c r="B527" t="s">
        <v>1460</v>
      </c>
      <c r="C527" t="s">
        <v>1461</v>
      </c>
      <c r="D527" t="s">
        <v>19</v>
      </c>
      <c r="E527" t="s">
        <v>46</v>
      </c>
      <c r="F527">
        <v>8</v>
      </c>
      <c r="G527" t="s">
        <v>47</v>
      </c>
      <c r="H527" t="s">
        <v>22</v>
      </c>
      <c r="I527" t="s">
        <v>23</v>
      </c>
      <c r="J527">
        <v>156.19</v>
      </c>
      <c r="K527">
        <v>5</v>
      </c>
      <c r="L527">
        <v>-10</v>
      </c>
      <c r="M527" t="s">
        <v>59</v>
      </c>
      <c r="N527" t="s">
        <v>41</v>
      </c>
      <c r="O527" t="s">
        <v>65</v>
      </c>
      <c r="P527">
        <v>1</v>
      </c>
    </row>
    <row r="528" spans="1:16" x14ac:dyDescent="0.25">
      <c r="A528" t="s">
        <v>1462</v>
      </c>
      <c r="B528" t="s">
        <v>294</v>
      </c>
      <c r="C528" t="s">
        <v>1463</v>
      </c>
      <c r="D528" t="s">
        <v>19</v>
      </c>
      <c r="E528" t="s">
        <v>46</v>
      </c>
      <c r="F528">
        <v>130</v>
      </c>
      <c r="G528" t="s">
        <v>38</v>
      </c>
      <c r="H528" t="s">
        <v>54</v>
      </c>
      <c r="I528" t="s">
        <v>55</v>
      </c>
      <c r="J528">
        <v>152.9</v>
      </c>
      <c r="K528">
        <v>-2</v>
      </c>
      <c r="L528">
        <v>0</v>
      </c>
      <c r="M528" t="s">
        <v>24</v>
      </c>
      <c r="N528" t="s">
        <v>81</v>
      </c>
      <c r="O528" t="s">
        <v>65</v>
      </c>
    </row>
    <row r="529" spans="1:16" x14ac:dyDescent="0.25">
      <c r="A529" t="s">
        <v>1464</v>
      </c>
      <c r="B529" t="s">
        <v>1465</v>
      </c>
      <c r="C529" t="s">
        <v>1466</v>
      </c>
      <c r="D529" t="s">
        <v>69</v>
      </c>
      <c r="E529" t="s">
        <v>20</v>
      </c>
      <c r="F529">
        <v>130</v>
      </c>
      <c r="G529" t="s">
        <v>53</v>
      </c>
      <c r="H529" t="s">
        <v>48</v>
      </c>
      <c r="I529" t="s">
        <v>49</v>
      </c>
      <c r="J529">
        <v>113.33</v>
      </c>
      <c r="K529">
        <v>-2</v>
      </c>
      <c r="L529">
        <v>120</v>
      </c>
      <c r="M529" t="s">
        <v>24</v>
      </c>
      <c r="N529" t="s">
        <v>91</v>
      </c>
      <c r="O529" t="s">
        <v>82</v>
      </c>
      <c r="P529">
        <v>3</v>
      </c>
    </row>
    <row r="530" spans="1:16" x14ac:dyDescent="0.25">
      <c r="A530" t="s">
        <v>1467</v>
      </c>
      <c r="B530" t="s">
        <v>1468</v>
      </c>
      <c r="C530" t="s">
        <v>1469</v>
      </c>
      <c r="D530" t="s">
        <v>63</v>
      </c>
      <c r="E530" t="s">
        <v>20</v>
      </c>
      <c r="F530">
        <v>130</v>
      </c>
      <c r="G530" t="s">
        <v>70</v>
      </c>
      <c r="H530" t="s">
        <v>48</v>
      </c>
      <c r="I530" t="s">
        <v>49</v>
      </c>
      <c r="J530">
        <v>185.22</v>
      </c>
      <c r="K530">
        <v>5</v>
      </c>
      <c r="L530">
        <v>-10</v>
      </c>
      <c r="M530" t="s">
        <v>59</v>
      </c>
      <c r="N530" t="s">
        <v>81</v>
      </c>
      <c r="O530" t="s">
        <v>65</v>
      </c>
      <c r="P530">
        <v>4</v>
      </c>
    </row>
    <row r="531" spans="1:16" x14ac:dyDescent="0.25">
      <c r="A531" t="s">
        <v>1470</v>
      </c>
      <c r="B531" t="s">
        <v>1471</v>
      </c>
      <c r="C531" t="s">
        <v>1472</v>
      </c>
      <c r="D531" t="s">
        <v>37</v>
      </c>
      <c r="E531" t="s">
        <v>46</v>
      </c>
      <c r="F531">
        <v>41</v>
      </c>
      <c r="G531" t="s">
        <v>38</v>
      </c>
      <c r="H531" t="s">
        <v>22</v>
      </c>
      <c r="I531" t="s">
        <v>23</v>
      </c>
      <c r="J531">
        <v>193.96</v>
      </c>
      <c r="K531">
        <v>-2</v>
      </c>
      <c r="L531">
        <v>15</v>
      </c>
      <c r="M531" t="s">
        <v>24</v>
      </c>
      <c r="N531" t="s">
        <v>81</v>
      </c>
      <c r="O531" t="s">
        <v>33</v>
      </c>
      <c r="P531">
        <v>1</v>
      </c>
    </row>
    <row r="532" spans="1:16" x14ac:dyDescent="0.25">
      <c r="A532" t="s">
        <v>1473</v>
      </c>
      <c r="B532" t="s">
        <v>1474</v>
      </c>
      <c r="C532" t="s">
        <v>1475</v>
      </c>
      <c r="D532" t="s">
        <v>19</v>
      </c>
      <c r="E532" t="s">
        <v>46</v>
      </c>
      <c r="F532">
        <v>27</v>
      </c>
      <c r="G532" t="s">
        <v>86</v>
      </c>
      <c r="H532" t="s">
        <v>87</v>
      </c>
      <c r="I532" t="s">
        <v>49</v>
      </c>
      <c r="J532">
        <v>275.18</v>
      </c>
      <c r="K532">
        <v>10</v>
      </c>
      <c r="L532">
        <v>10</v>
      </c>
      <c r="M532" t="s">
        <v>59</v>
      </c>
      <c r="N532" t="s">
        <v>41</v>
      </c>
      <c r="O532" t="s">
        <v>33</v>
      </c>
      <c r="P532">
        <v>1</v>
      </c>
    </row>
    <row r="533" spans="1:16" x14ac:dyDescent="0.25">
      <c r="A533" t="s">
        <v>1476</v>
      </c>
      <c r="B533" t="s">
        <v>1398</v>
      </c>
      <c r="C533" t="s">
        <v>1477</v>
      </c>
      <c r="D533" t="s">
        <v>37</v>
      </c>
      <c r="E533" t="s">
        <v>20</v>
      </c>
      <c r="F533">
        <v>8</v>
      </c>
      <c r="G533" t="s">
        <v>47</v>
      </c>
      <c r="H533" t="s">
        <v>31</v>
      </c>
      <c r="I533" t="s">
        <v>32</v>
      </c>
      <c r="J533">
        <v>311.42</v>
      </c>
      <c r="K533">
        <v>-2</v>
      </c>
      <c r="L533">
        <v>5</v>
      </c>
      <c r="M533" t="s">
        <v>77</v>
      </c>
      <c r="N533" t="s">
        <v>25</v>
      </c>
      <c r="O533" t="s">
        <v>33</v>
      </c>
      <c r="P533">
        <v>4</v>
      </c>
    </row>
    <row r="534" spans="1:16" x14ac:dyDescent="0.25">
      <c r="A534" t="s">
        <v>1478</v>
      </c>
      <c r="B534" t="s">
        <v>205</v>
      </c>
      <c r="C534" t="s">
        <v>1479</v>
      </c>
      <c r="D534" t="s">
        <v>69</v>
      </c>
      <c r="E534" t="s">
        <v>46</v>
      </c>
      <c r="F534">
        <v>35</v>
      </c>
      <c r="G534" t="s">
        <v>38</v>
      </c>
      <c r="H534" t="s">
        <v>48</v>
      </c>
      <c r="I534" t="s">
        <v>49</v>
      </c>
      <c r="J534">
        <v>487.62</v>
      </c>
      <c r="K534">
        <v>7</v>
      </c>
      <c r="L534">
        <v>5</v>
      </c>
      <c r="M534" t="s">
        <v>77</v>
      </c>
      <c r="N534" t="s">
        <v>25</v>
      </c>
      <c r="O534" t="s">
        <v>82</v>
      </c>
      <c r="P534">
        <v>3</v>
      </c>
    </row>
    <row r="535" spans="1:16" x14ac:dyDescent="0.25">
      <c r="A535" t="s">
        <v>1480</v>
      </c>
      <c r="B535" t="s">
        <v>1481</v>
      </c>
      <c r="C535" t="s">
        <v>1482</v>
      </c>
      <c r="E535" t="s">
        <v>46</v>
      </c>
      <c r="F535">
        <v>130</v>
      </c>
      <c r="G535" t="s">
        <v>47</v>
      </c>
      <c r="H535" t="s">
        <v>31</v>
      </c>
      <c r="I535" t="s">
        <v>32</v>
      </c>
      <c r="J535">
        <v>162.28</v>
      </c>
      <c r="K535">
        <v>7</v>
      </c>
      <c r="L535">
        <v>10</v>
      </c>
      <c r="M535" t="s">
        <v>64</v>
      </c>
      <c r="N535" t="s">
        <v>81</v>
      </c>
      <c r="O535" t="s">
        <v>33</v>
      </c>
    </row>
    <row r="536" spans="1:16" x14ac:dyDescent="0.25">
      <c r="A536" t="s">
        <v>1483</v>
      </c>
      <c r="B536" t="s">
        <v>1272</v>
      </c>
      <c r="C536" t="s">
        <v>1484</v>
      </c>
      <c r="D536" t="s">
        <v>37</v>
      </c>
      <c r="E536" t="s">
        <v>20</v>
      </c>
      <c r="F536">
        <v>49</v>
      </c>
      <c r="G536" t="s">
        <v>38</v>
      </c>
      <c r="H536" t="s">
        <v>39</v>
      </c>
      <c r="I536" t="s">
        <v>40</v>
      </c>
      <c r="J536">
        <v>18.66</v>
      </c>
      <c r="K536">
        <v>10</v>
      </c>
      <c r="L536">
        <v>0</v>
      </c>
      <c r="M536" t="s">
        <v>24</v>
      </c>
      <c r="N536" t="s">
        <v>81</v>
      </c>
      <c r="O536" t="s">
        <v>65</v>
      </c>
      <c r="P536">
        <v>4</v>
      </c>
    </row>
    <row r="537" spans="1:16" x14ac:dyDescent="0.25">
      <c r="A537" t="s">
        <v>1485</v>
      </c>
      <c r="B537" t="s">
        <v>1486</v>
      </c>
      <c r="C537" t="s">
        <v>1487</v>
      </c>
      <c r="D537" t="s">
        <v>45</v>
      </c>
      <c r="E537" t="s">
        <v>20</v>
      </c>
      <c r="F537">
        <v>8</v>
      </c>
      <c r="G537" t="s">
        <v>30</v>
      </c>
      <c r="H537" t="s">
        <v>31</v>
      </c>
      <c r="I537" t="s">
        <v>32</v>
      </c>
      <c r="J537">
        <v>436.27</v>
      </c>
      <c r="K537">
        <v>4</v>
      </c>
      <c r="L537">
        <v>15</v>
      </c>
      <c r="N537" t="s">
        <v>81</v>
      </c>
      <c r="O537" t="s">
        <v>33</v>
      </c>
      <c r="P537">
        <v>3</v>
      </c>
    </row>
    <row r="538" spans="1:16" x14ac:dyDescent="0.25">
      <c r="A538" t="s">
        <v>1488</v>
      </c>
      <c r="B538" t="s">
        <v>1149</v>
      </c>
      <c r="C538" t="s">
        <v>1489</v>
      </c>
      <c r="D538" t="s">
        <v>45</v>
      </c>
      <c r="E538" t="s">
        <v>46</v>
      </c>
      <c r="F538">
        <v>8</v>
      </c>
      <c r="G538" t="s">
        <v>53</v>
      </c>
      <c r="H538" t="s">
        <v>22</v>
      </c>
      <c r="I538" t="s">
        <v>23</v>
      </c>
      <c r="J538">
        <v>489.5</v>
      </c>
      <c r="K538">
        <v>-2</v>
      </c>
      <c r="L538">
        <v>120</v>
      </c>
      <c r="M538" t="s">
        <v>24</v>
      </c>
      <c r="N538" t="s">
        <v>91</v>
      </c>
      <c r="O538" t="s">
        <v>26</v>
      </c>
      <c r="P538">
        <v>4</v>
      </c>
    </row>
    <row r="539" spans="1:16" x14ac:dyDescent="0.25">
      <c r="A539" t="s">
        <v>1490</v>
      </c>
      <c r="B539" t="s">
        <v>1491</v>
      </c>
      <c r="C539" t="s">
        <v>1492</v>
      </c>
      <c r="D539" t="s">
        <v>117</v>
      </c>
      <c r="E539" t="s">
        <v>46</v>
      </c>
      <c r="F539">
        <v>18</v>
      </c>
      <c r="G539" t="s">
        <v>70</v>
      </c>
      <c r="H539" t="s">
        <v>22</v>
      </c>
      <c r="I539" t="s">
        <v>23</v>
      </c>
      <c r="J539">
        <v>105.44</v>
      </c>
      <c r="K539">
        <v>9</v>
      </c>
      <c r="L539">
        <v>120</v>
      </c>
      <c r="M539" t="s">
        <v>64</v>
      </c>
      <c r="N539" t="s">
        <v>25</v>
      </c>
      <c r="O539" t="s">
        <v>26</v>
      </c>
      <c r="P539">
        <v>4</v>
      </c>
    </row>
    <row r="540" spans="1:16" x14ac:dyDescent="0.25">
      <c r="A540" t="s">
        <v>1493</v>
      </c>
      <c r="B540" t="s">
        <v>523</v>
      </c>
      <c r="C540" t="s">
        <v>1494</v>
      </c>
      <c r="E540" t="s">
        <v>20</v>
      </c>
      <c r="F540">
        <v>44</v>
      </c>
      <c r="G540" t="s">
        <v>30</v>
      </c>
      <c r="H540" t="s">
        <v>87</v>
      </c>
      <c r="I540" t="s">
        <v>49</v>
      </c>
      <c r="J540">
        <v>7.49</v>
      </c>
      <c r="K540">
        <v>-2</v>
      </c>
      <c r="L540">
        <v>0</v>
      </c>
      <c r="M540" t="s">
        <v>59</v>
      </c>
      <c r="N540" t="s">
        <v>91</v>
      </c>
      <c r="O540" t="s">
        <v>82</v>
      </c>
      <c r="P540">
        <v>5</v>
      </c>
    </row>
    <row r="541" spans="1:16" x14ac:dyDescent="0.25">
      <c r="A541" t="s">
        <v>1495</v>
      </c>
      <c r="B541" t="s">
        <v>354</v>
      </c>
      <c r="C541" t="s">
        <v>1496</v>
      </c>
      <c r="D541" t="s">
        <v>117</v>
      </c>
      <c r="E541" t="s">
        <v>46</v>
      </c>
      <c r="F541">
        <v>130</v>
      </c>
      <c r="G541" t="s">
        <v>53</v>
      </c>
      <c r="H541" t="s">
        <v>121</v>
      </c>
      <c r="I541" t="s">
        <v>122</v>
      </c>
      <c r="J541">
        <v>454.55</v>
      </c>
      <c r="K541">
        <v>5</v>
      </c>
      <c r="L541">
        <v>5</v>
      </c>
      <c r="M541" t="s">
        <v>64</v>
      </c>
      <c r="N541" t="s">
        <v>91</v>
      </c>
      <c r="O541" t="s">
        <v>26</v>
      </c>
      <c r="P541">
        <v>1</v>
      </c>
    </row>
    <row r="542" spans="1:16" x14ac:dyDescent="0.25">
      <c r="A542" t="s">
        <v>1497</v>
      </c>
      <c r="B542" t="s">
        <v>1309</v>
      </c>
      <c r="C542" t="s">
        <v>1498</v>
      </c>
      <c r="E542" t="s">
        <v>20</v>
      </c>
      <c r="F542">
        <v>130</v>
      </c>
      <c r="G542" t="s">
        <v>70</v>
      </c>
      <c r="H542" t="s">
        <v>31</v>
      </c>
      <c r="I542" t="s">
        <v>32</v>
      </c>
      <c r="J542">
        <v>498.95</v>
      </c>
      <c r="K542">
        <v>2</v>
      </c>
      <c r="L542">
        <v>120</v>
      </c>
      <c r="M542" t="s">
        <v>24</v>
      </c>
      <c r="N542" t="s">
        <v>91</v>
      </c>
      <c r="O542" t="s">
        <v>65</v>
      </c>
      <c r="P542">
        <v>3</v>
      </c>
    </row>
    <row r="543" spans="1:16" x14ac:dyDescent="0.25">
      <c r="A543" t="s">
        <v>1499</v>
      </c>
      <c r="B543" t="s">
        <v>677</v>
      </c>
      <c r="C543" t="s">
        <v>1500</v>
      </c>
      <c r="D543" t="s">
        <v>19</v>
      </c>
      <c r="E543" t="s">
        <v>20</v>
      </c>
      <c r="F543">
        <v>8</v>
      </c>
      <c r="G543" t="s">
        <v>70</v>
      </c>
      <c r="H543" t="s">
        <v>121</v>
      </c>
      <c r="I543" t="s">
        <v>122</v>
      </c>
      <c r="J543">
        <v>407.17</v>
      </c>
      <c r="K543">
        <v>8</v>
      </c>
      <c r="L543">
        <v>15</v>
      </c>
      <c r="M543" t="s">
        <v>64</v>
      </c>
      <c r="N543" t="s">
        <v>91</v>
      </c>
      <c r="O543" t="s">
        <v>65</v>
      </c>
      <c r="P543">
        <v>5</v>
      </c>
    </row>
    <row r="544" spans="1:16" x14ac:dyDescent="0.25">
      <c r="A544" t="s">
        <v>1501</v>
      </c>
      <c r="B544" t="s">
        <v>631</v>
      </c>
      <c r="C544" t="s">
        <v>1502</v>
      </c>
      <c r="E544" t="s">
        <v>46</v>
      </c>
      <c r="F544">
        <v>50</v>
      </c>
      <c r="G544" t="s">
        <v>47</v>
      </c>
      <c r="H544" t="s">
        <v>87</v>
      </c>
      <c r="I544" t="s">
        <v>49</v>
      </c>
      <c r="J544">
        <v>356.41</v>
      </c>
      <c r="K544">
        <v>3</v>
      </c>
      <c r="L544">
        <v>5</v>
      </c>
      <c r="M544" t="s">
        <v>77</v>
      </c>
      <c r="N544" t="s">
        <v>25</v>
      </c>
      <c r="O544" t="s">
        <v>65</v>
      </c>
    </row>
    <row r="545" spans="1:16" x14ac:dyDescent="0.25">
      <c r="A545" t="s">
        <v>1503</v>
      </c>
      <c r="B545" t="s">
        <v>1504</v>
      </c>
      <c r="C545" t="s">
        <v>1505</v>
      </c>
      <c r="D545" t="s">
        <v>117</v>
      </c>
      <c r="E545" t="s">
        <v>46</v>
      </c>
      <c r="F545">
        <v>8</v>
      </c>
      <c r="G545" t="s">
        <v>70</v>
      </c>
      <c r="H545" t="s">
        <v>54</v>
      </c>
      <c r="I545" t="s">
        <v>55</v>
      </c>
      <c r="J545">
        <v>291.75</v>
      </c>
      <c r="K545">
        <v>5</v>
      </c>
      <c r="L545">
        <v>10</v>
      </c>
      <c r="M545" t="s">
        <v>64</v>
      </c>
      <c r="N545" t="s">
        <v>81</v>
      </c>
      <c r="O545" t="s">
        <v>33</v>
      </c>
      <c r="P545">
        <v>2</v>
      </c>
    </row>
    <row r="546" spans="1:16" x14ac:dyDescent="0.25">
      <c r="A546" t="s">
        <v>1506</v>
      </c>
      <c r="B546" t="s">
        <v>1507</v>
      </c>
      <c r="C546" t="s">
        <v>1133</v>
      </c>
      <c r="D546" t="s">
        <v>69</v>
      </c>
      <c r="E546" t="s">
        <v>20</v>
      </c>
      <c r="F546">
        <v>8</v>
      </c>
      <c r="G546" t="s">
        <v>86</v>
      </c>
      <c r="H546" t="s">
        <v>87</v>
      </c>
      <c r="I546" t="s">
        <v>49</v>
      </c>
      <c r="J546">
        <v>182.38</v>
      </c>
      <c r="K546">
        <v>2</v>
      </c>
      <c r="L546">
        <v>10</v>
      </c>
      <c r="M546" t="s">
        <v>64</v>
      </c>
      <c r="N546" t="s">
        <v>25</v>
      </c>
      <c r="O546" t="s">
        <v>26</v>
      </c>
      <c r="P546">
        <v>1</v>
      </c>
    </row>
    <row r="547" spans="1:16" x14ac:dyDescent="0.25">
      <c r="A547" t="s">
        <v>1508</v>
      </c>
      <c r="B547" t="s">
        <v>1509</v>
      </c>
      <c r="C547" t="s">
        <v>1510</v>
      </c>
      <c r="D547" t="s">
        <v>45</v>
      </c>
      <c r="E547" t="s">
        <v>46</v>
      </c>
      <c r="F547">
        <v>130</v>
      </c>
      <c r="G547" t="s">
        <v>30</v>
      </c>
      <c r="H547" t="s">
        <v>39</v>
      </c>
      <c r="I547" t="s">
        <v>40</v>
      </c>
      <c r="J547">
        <v>211.02</v>
      </c>
      <c r="K547">
        <v>-2</v>
      </c>
      <c r="L547">
        <v>5</v>
      </c>
      <c r="M547" t="s">
        <v>64</v>
      </c>
      <c r="N547" t="s">
        <v>25</v>
      </c>
      <c r="O547" t="s">
        <v>65</v>
      </c>
      <c r="P547">
        <v>5</v>
      </c>
    </row>
    <row r="548" spans="1:16" x14ac:dyDescent="0.25">
      <c r="A548" t="s">
        <v>1511</v>
      </c>
      <c r="B548" t="s">
        <v>1512</v>
      </c>
      <c r="C548" t="s">
        <v>1513</v>
      </c>
      <c r="D548" t="s">
        <v>19</v>
      </c>
      <c r="E548" t="s">
        <v>20</v>
      </c>
      <c r="F548">
        <v>8</v>
      </c>
      <c r="G548" t="s">
        <v>30</v>
      </c>
      <c r="H548" t="s">
        <v>31</v>
      </c>
      <c r="I548" t="s">
        <v>32</v>
      </c>
      <c r="J548">
        <v>448.17</v>
      </c>
      <c r="K548">
        <v>-2</v>
      </c>
      <c r="L548">
        <v>-10</v>
      </c>
      <c r="M548" t="s">
        <v>59</v>
      </c>
      <c r="N548" t="s">
        <v>81</v>
      </c>
      <c r="O548" t="s">
        <v>26</v>
      </c>
    </row>
    <row r="549" spans="1:16" x14ac:dyDescent="0.25">
      <c r="A549" t="s">
        <v>1514</v>
      </c>
      <c r="B549" t="s">
        <v>866</v>
      </c>
      <c r="C549" t="s">
        <v>1515</v>
      </c>
      <c r="D549" t="s">
        <v>45</v>
      </c>
      <c r="E549" t="s">
        <v>20</v>
      </c>
      <c r="F549">
        <v>130</v>
      </c>
      <c r="G549" t="s">
        <v>21</v>
      </c>
      <c r="H549" t="s">
        <v>48</v>
      </c>
      <c r="I549" t="s">
        <v>49</v>
      </c>
      <c r="J549">
        <v>42.28</v>
      </c>
      <c r="K549">
        <v>5</v>
      </c>
      <c r="L549">
        <v>5</v>
      </c>
      <c r="M549" t="s">
        <v>59</v>
      </c>
      <c r="N549" t="s">
        <v>25</v>
      </c>
      <c r="O549" t="s">
        <v>33</v>
      </c>
      <c r="P549">
        <v>2</v>
      </c>
    </row>
    <row r="550" spans="1:16" x14ac:dyDescent="0.25">
      <c r="A550" t="s">
        <v>1516</v>
      </c>
      <c r="B550" t="s">
        <v>1517</v>
      </c>
      <c r="C550" t="s">
        <v>1518</v>
      </c>
      <c r="D550" t="s">
        <v>37</v>
      </c>
      <c r="E550" t="s">
        <v>46</v>
      </c>
      <c r="F550">
        <v>8</v>
      </c>
      <c r="G550" t="s">
        <v>86</v>
      </c>
      <c r="H550" t="s">
        <v>54</v>
      </c>
      <c r="I550" t="s">
        <v>55</v>
      </c>
      <c r="J550">
        <v>261.45</v>
      </c>
      <c r="K550">
        <v>5</v>
      </c>
      <c r="L550">
        <v>120</v>
      </c>
      <c r="M550" t="s">
        <v>64</v>
      </c>
      <c r="N550" t="s">
        <v>41</v>
      </c>
      <c r="O550" t="s">
        <v>82</v>
      </c>
      <c r="P550">
        <v>2</v>
      </c>
    </row>
    <row r="551" spans="1:16" x14ac:dyDescent="0.25">
      <c r="A551" t="s">
        <v>1519</v>
      </c>
      <c r="B551" t="s">
        <v>103</v>
      </c>
      <c r="C551" t="s">
        <v>1520</v>
      </c>
      <c r="D551" t="s">
        <v>63</v>
      </c>
      <c r="E551" t="s">
        <v>20</v>
      </c>
      <c r="F551">
        <v>60</v>
      </c>
      <c r="G551" t="s">
        <v>21</v>
      </c>
      <c r="H551" t="s">
        <v>54</v>
      </c>
      <c r="I551" t="s">
        <v>55</v>
      </c>
      <c r="J551">
        <v>97.59</v>
      </c>
      <c r="K551">
        <v>-2</v>
      </c>
      <c r="L551">
        <v>0</v>
      </c>
      <c r="M551" t="s">
        <v>64</v>
      </c>
      <c r="N551" t="s">
        <v>25</v>
      </c>
      <c r="O551" t="s">
        <v>65</v>
      </c>
      <c r="P551">
        <v>5</v>
      </c>
    </row>
    <row r="552" spans="1:16" x14ac:dyDescent="0.25">
      <c r="A552" t="s">
        <v>1521</v>
      </c>
      <c r="B552" t="s">
        <v>914</v>
      </c>
      <c r="C552" t="s">
        <v>1522</v>
      </c>
      <c r="D552" t="s">
        <v>37</v>
      </c>
      <c r="E552" t="s">
        <v>20</v>
      </c>
      <c r="F552">
        <v>130</v>
      </c>
      <c r="G552" t="s">
        <v>38</v>
      </c>
      <c r="H552" t="s">
        <v>54</v>
      </c>
      <c r="I552" t="s">
        <v>55</v>
      </c>
      <c r="J552">
        <v>403.7</v>
      </c>
      <c r="K552">
        <v>3</v>
      </c>
      <c r="L552">
        <v>15</v>
      </c>
      <c r="M552" t="s">
        <v>24</v>
      </c>
      <c r="N552" t="s">
        <v>91</v>
      </c>
      <c r="O552" t="s">
        <v>26</v>
      </c>
      <c r="P552">
        <v>3</v>
      </c>
    </row>
    <row r="553" spans="1:16" x14ac:dyDescent="0.25">
      <c r="A553" t="s">
        <v>1523</v>
      </c>
      <c r="B553" t="s">
        <v>1524</v>
      </c>
      <c r="C553" t="s">
        <v>1525</v>
      </c>
      <c r="D553" t="s">
        <v>101</v>
      </c>
      <c r="E553" t="s">
        <v>20</v>
      </c>
      <c r="F553">
        <v>18</v>
      </c>
      <c r="G553" t="s">
        <v>53</v>
      </c>
      <c r="H553" t="s">
        <v>22</v>
      </c>
      <c r="I553" t="s">
        <v>23</v>
      </c>
      <c r="J553">
        <v>468.77</v>
      </c>
      <c r="K553">
        <v>9</v>
      </c>
      <c r="L553">
        <v>10</v>
      </c>
      <c r="M553" t="s">
        <v>77</v>
      </c>
      <c r="N553" t="s">
        <v>81</v>
      </c>
      <c r="O553" t="s">
        <v>33</v>
      </c>
      <c r="P553">
        <v>1</v>
      </c>
    </row>
    <row r="554" spans="1:16" x14ac:dyDescent="0.25">
      <c r="A554" t="s">
        <v>1526</v>
      </c>
      <c r="B554" t="s">
        <v>1135</v>
      </c>
      <c r="C554" t="s">
        <v>1527</v>
      </c>
      <c r="D554" t="s">
        <v>101</v>
      </c>
      <c r="E554" t="s">
        <v>20</v>
      </c>
      <c r="F554">
        <v>56</v>
      </c>
      <c r="G554" t="s">
        <v>86</v>
      </c>
      <c r="H554" t="s">
        <v>54</v>
      </c>
      <c r="I554" t="s">
        <v>55</v>
      </c>
      <c r="J554">
        <v>176.29</v>
      </c>
      <c r="K554">
        <v>8</v>
      </c>
      <c r="L554">
        <v>0</v>
      </c>
      <c r="N554" t="s">
        <v>81</v>
      </c>
      <c r="O554" t="s">
        <v>33</v>
      </c>
    </row>
    <row r="555" spans="1:16" x14ac:dyDescent="0.25">
      <c r="A555" t="s">
        <v>1528</v>
      </c>
      <c r="B555" t="s">
        <v>1529</v>
      </c>
      <c r="C555" t="s">
        <v>1530</v>
      </c>
      <c r="D555" t="s">
        <v>37</v>
      </c>
      <c r="E555" t="s">
        <v>20</v>
      </c>
      <c r="F555">
        <v>8</v>
      </c>
      <c r="G555" t="s">
        <v>70</v>
      </c>
      <c r="H555" t="s">
        <v>87</v>
      </c>
      <c r="I555" t="s">
        <v>49</v>
      </c>
      <c r="J555">
        <v>191.31</v>
      </c>
      <c r="K555">
        <v>-2</v>
      </c>
      <c r="L555">
        <v>0</v>
      </c>
      <c r="N555" t="s">
        <v>25</v>
      </c>
      <c r="O555" t="s">
        <v>65</v>
      </c>
      <c r="P555">
        <v>4</v>
      </c>
    </row>
    <row r="556" spans="1:16" x14ac:dyDescent="0.25">
      <c r="A556" t="s">
        <v>1531</v>
      </c>
      <c r="B556" t="s">
        <v>1427</v>
      </c>
      <c r="C556" t="s">
        <v>1532</v>
      </c>
      <c r="D556" t="s">
        <v>37</v>
      </c>
      <c r="E556" t="s">
        <v>20</v>
      </c>
      <c r="F556">
        <v>8</v>
      </c>
      <c r="G556" t="s">
        <v>86</v>
      </c>
      <c r="H556" t="s">
        <v>87</v>
      </c>
      <c r="I556" t="s">
        <v>49</v>
      </c>
      <c r="J556">
        <v>369.68</v>
      </c>
      <c r="K556">
        <v>-2</v>
      </c>
      <c r="L556">
        <v>5</v>
      </c>
      <c r="M556" t="s">
        <v>24</v>
      </c>
      <c r="N556" t="s">
        <v>41</v>
      </c>
      <c r="O556" t="s">
        <v>65</v>
      </c>
      <c r="P556">
        <v>3</v>
      </c>
    </row>
    <row r="557" spans="1:16" x14ac:dyDescent="0.25">
      <c r="A557" t="s">
        <v>1533</v>
      </c>
      <c r="B557" t="s">
        <v>788</v>
      </c>
      <c r="C557" t="s">
        <v>1534</v>
      </c>
      <c r="D557" t="s">
        <v>63</v>
      </c>
      <c r="E557" t="s">
        <v>46</v>
      </c>
      <c r="F557">
        <v>130</v>
      </c>
      <c r="G557" t="s">
        <v>86</v>
      </c>
      <c r="H557" t="s">
        <v>48</v>
      </c>
      <c r="I557" t="s">
        <v>49</v>
      </c>
      <c r="J557">
        <v>122.84</v>
      </c>
      <c r="K557">
        <v>4</v>
      </c>
      <c r="L557">
        <v>-10</v>
      </c>
      <c r="M557" t="s">
        <v>77</v>
      </c>
      <c r="N557" t="s">
        <v>91</v>
      </c>
      <c r="O557" t="s">
        <v>33</v>
      </c>
      <c r="P557">
        <v>4</v>
      </c>
    </row>
    <row r="558" spans="1:16" x14ac:dyDescent="0.25">
      <c r="A558" t="s">
        <v>1535</v>
      </c>
      <c r="B558" t="s">
        <v>625</v>
      </c>
      <c r="C558" t="s">
        <v>1536</v>
      </c>
      <c r="D558" t="s">
        <v>45</v>
      </c>
      <c r="E558" t="s">
        <v>20</v>
      </c>
      <c r="F558">
        <v>48</v>
      </c>
      <c r="G558" t="s">
        <v>70</v>
      </c>
      <c r="H558" t="s">
        <v>31</v>
      </c>
      <c r="I558" t="s">
        <v>32</v>
      </c>
      <c r="J558">
        <v>189.99</v>
      </c>
      <c r="K558">
        <v>10</v>
      </c>
      <c r="L558">
        <v>120</v>
      </c>
      <c r="N558" t="s">
        <v>41</v>
      </c>
      <c r="O558" t="s">
        <v>82</v>
      </c>
      <c r="P558">
        <v>5</v>
      </c>
    </row>
    <row r="559" spans="1:16" x14ac:dyDescent="0.25">
      <c r="A559" t="s">
        <v>1537</v>
      </c>
      <c r="B559" t="s">
        <v>181</v>
      </c>
      <c r="C559" t="s">
        <v>1538</v>
      </c>
      <c r="D559" t="s">
        <v>117</v>
      </c>
      <c r="E559" t="s">
        <v>46</v>
      </c>
      <c r="F559">
        <v>8</v>
      </c>
      <c r="G559" t="s">
        <v>47</v>
      </c>
      <c r="H559" t="s">
        <v>31</v>
      </c>
      <c r="I559" t="s">
        <v>32</v>
      </c>
      <c r="J559">
        <v>350.31</v>
      </c>
      <c r="K559">
        <v>1</v>
      </c>
      <c r="L559">
        <v>120</v>
      </c>
      <c r="M559" t="s">
        <v>24</v>
      </c>
      <c r="N559" t="s">
        <v>25</v>
      </c>
      <c r="O559" t="s">
        <v>65</v>
      </c>
      <c r="P559">
        <v>1</v>
      </c>
    </row>
    <row r="560" spans="1:16" x14ac:dyDescent="0.25">
      <c r="A560" t="s">
        <v>1539</v>
      </c>
      <c r="B560" t="s">
        <v>1540</v>
      </c>
      <c r="C560" t="s">
        <v>1541</v>
      </c>
      <c r="D560" t="s">
        <v>69</v>
      </c>
      <c r="E560" t="s">
        <v>46</v>
      </c>
      <c r="F560">
        <v>130</v>
      </c>
      <c r="G560" t="s">
        <v>53</v>
      </c>
      <c r="H560" t="s">
        <v>22</v>
      </c>
      <c r="I560" t="s">
        <v>23</v>
      </c>
      <c r="J560">
        <v>476.83</v>
      </c>
      <c r="K560">
        <v>-2</v>
      </c>
      <c r="L560">
        <v>0</v>
      </c>
      <c r="M560" t="s">
        <v>59</v>
      </c>
      <c r="N560" t="s">
        <v>81</v>
      </c>
      <c r="O560" t="s">
        <v>65</v>
      </c>
      <c r="P560">
        <v>5</v>
      </c>
    </row>
    <row r="561" spans="1:16" x14ac:dyDescent="0.25">
      <c r="A561" t="s">
        <v>1542</v>
      </c>
      <c r="B561" t="s">
        <v>914</v>
      </c>
      <c r="C561" t="s">
        <v>1543</v>
      </c>
      <c r="D561" t="s">
        <v>19</v>
      </c>
      <c r="E561" t="s">
        <v>46</v>
      </c>
      <c r="F561">
        <v>22</v>
      </c>
      <c r="G561" t="s">
        <v>30</v>
      </c>
      <c r="H561" t="s">
        <v>121</v>
      </c>
      <c r="I561" t="s">
        <v>122</v>
      </c>
      <c r="J561">
        <v>124.74</v>
      </c>
      <c r="K561">
        <v>-2</v>
      </c>
      <c r="L561">
        <v>10</v>
      </c>
      <c r="M561" t="s">
        <v>59</v>
      </c>
      <c r="N561" t="s">
        <v>41</v>
      </c>
      <c r="O561" t="s">
        <v>26</v>
      </c>
      <c r="P561">
        <v>1</v>
      </c>
    </row>
    <row r="562" spans="1:16" x14ac:dyDescent="0.25">
      <c r="A562" t="s">
        <v>1544</v>
      </c>
      <c r="B562" t="s">
        <v>695</v>
      </c>
      <c r="C562" t="s">
        <v>1545</v>
      </c>
      <c r="D562" t="s">
        <v>101</v>
      </c>
      <c r="E562" t="s">
        <v>46</v>
      </c>
      <c r="F562">
        <v>23</v>
      </c>
      <c r="G562" t="s">
        <v>38</v>
      </c>
      <c r="H562" t="s">
        <v>39</v>
      </c>
      <c r="I562" t="s">
        <v>40</v>
      </c>
      <c r="J562">
        <v>403.67</v>
      </c>
      <c r="K562">
        <v>-2</v>
      </c>
      <c r="L562">
        <v>10</v>
      </c>
      <c r="M562" t="s">
        <v>24</v>
      </c>
      <c r="N562" t="s">
        <v>91</v>
      </c>
      <c r="O562" t="s">
        <v>26</v>
      </c>
      <c r="P562">
        <v>1</v>
      </c>
    </row>
    <row r="563" spans="1:16" x14ac:dyDescent="0.25">
      <c r="A563" t="s">
        <v>1546</v>
      </c>
      <c r="B563" t="s">
        <v>1547</v>
      </c>
      <c r="C563" t="s">
        <v>1548</v>
      </c>
      <c r="D563" t="s">
        <v>45</v>
      </c>
      <c r="E563" t="s">
        <v>46</v>
      </c>
      <c r="F563">
        <v>8</v>
      </c>
      <c r="G563" t="s">
        <v>47</v>
      </c>
      <c r="H563" t="s">
        <v>22</v>
      </c>
      <c r="I563" t="s">
        <v>23</v>
      </c>
      <c r="J563">
        <v>97.76</v>
      </c>
      <c r="K563">
        <v>8</v>
      </c>
      <c r="L563">
        <v>5</v>
      </c>
      <c r="N563" t="s">
        <v>25</v>
      </c>
      <c r="O563" t="s">
        <v>65</v>
      </c>
    </row>
    <row r="564" spans="1:16" x14ac:dyDescent="0.25">
      <c r="A564" t="s">
        <v>1549</v>
      </c>
      <c r="B564" t="s">
        <v>844</v>
      </c>
      <c r="C564" t="s">
        <v>585</v>
      </c>
      <c r="D564" t="s">
        <v>37</v>
      </c>
      <c r="E564" t="s">
        <v>46</v>
      </c>
      <c r="F564">
        <v>130</v>
      </c>
      <c r="G564" t="s">
        <v>47</v>
      </c>
      <c r="H564" t="s">
        <v>48</v>
      </c>
      <c r="I564" t="s">
        <v>49</v>
      </c>
      <c r="J564">
        <v>345.47</v>
      </c>
      <c r="K564">
        <v>2</v>
      </c>
      <c r="L564">
        <v>-10</v>
      </c>
      <c r="M564" t="s">
        <v>77</v>
      </c>
      <c r="N564" t="s">
        <v>41</v>
      </c>
      <c r="O564" t="s">
        <v>33</v>
      </c>
    </row>
    <row r="565" spans="1:16" x14ac:dyDescent="0.25">
      <c r="A565" t="s">
        <v>1550</v>
      </c>
      <c r="B565" t="s">
        <v>1551</v>
      </c>
      <c r="C565" t="s">
        <v>1552</v>
      </c>
      <c r="D565" t="s">
        <v>45</v>
      </c>
      <c r="E565" t="s">
        <v>20</v>
      </c>
      <c r="F565">
        <v>49</v>
      </c>
      <c r="G565" t="s">
        <v>86</v>
      </c>
      <c r="H565" t="s">
        <v>39</v>
      </c>
      <c r="I565" t="s">
        <v>40</v>
      </c>
      <c r="J565">
        <v>49.35</v>
      </c>
      <c r="K565">
        <v>-2</v>
      </c>
      <c r="L565">
        <v>15</v>
      </c>
      <c r="N565" t="s">
        <v>41</v>
      </c>
      <c r="O565" t="s">
        <v>82</v>
      </c>
      <c r="P565">
        <v>5</v>
      </c>
    </row>
    <row r="566" spans="1:16" x14ac:dyDescent="0.25">
      <c r="A566" t="s">
        <v>1553</v>
      </c>
      <c r="B566" t="s">
        <v>671</v>
      </c>
      <c r="C566" t="s">
        <v>1554</v>
      </c>
      <c r="D566" t="s">
        <v>69</v>
      </c>
      <c r="E566" t="s">
        <v>46</v>
      </c>
      <c r="F566">
        <v>63</v>
      </c>
      <c r="G566" t="s">
        <v>70</v>
      </c>
      <c r="H566" t="s">
        <v>87</v>
      </c>
      <c r="I566" t="s">
        <v>49</v>
      </c>
      <c r="J566">
        <v>498.81</v>
      </c>
      <c r="K566">
        <v>4</v>
      </c>
      <c r="L566">
        <v>0</v>
      </c>
      <c r="N566" t="s">
        <v>81</v>
      </c>
      <c r="O566" t="s">
        <v>82</v>
      </c>
      <c r="P566">
        <v>1</v>
      </c>
    </row>
    <row r="567" spans="1:16" x14ac:dyDescent="0.25">
      <c r="A567" t="s">
        <v>1555</v>
      </c>
      <c r="B567" t="s">
        <v>1556</v>
      </c>
      <c r="C567" t="s">
        <v>1557</v>
      </c>
      <c r="D567" t="s">
        <v>101</v>
      </c>
      <c r="E567" t="s">
        <v>20</v>
      </c>
      <c r="F567">
        <v>8</v>
      </c>
      <c r="G567" t="s">
        <v>30</v>
      </c>
      <c r="H567" t="s">
        <v>121</v>
      </c>
      <c r="I567" t="s">
        <v>122</v>
      </c>
      <c r="J567">
        <v>35.82</v>
      </c>
      <c r="K567">
        <v>7</v>
      </c>
      <c r="L567">
        <v>10</v>
      </c>
      <c r="M567" t="s">
        <v>59</v>
      </c>
      <c r="N567" t="s">
        <v>91</v>
      </c>
      <c r="O567" t="s">
        <v>65</v>
      </c>
    </row>
    <row r="568" spans="1:16" x14ac:dyDescent="0.25">
      <c r="A568" t="s">
        <v>1558</v>
      </c>
      <c r="B568" t="s">
        <v>181</v>
      </c>
      <c r="C568" t="s">
        <v>1559</v>
      </c>
      <c r="D568" t="s">
        <v>37</v>
      </c>
      <c r="E568" t="s">
        <v>46</v>
      </c>
      <c r="F568">
        <v>8</v>
      </c>
      <c r="G568" t="s">
        <v>70</v>
      </c>
      <c r="H568" t="s">
        <v>121</v>
      </c>
      <c r="I568" t="s">
        <v>122</v>
      </c>
      <c r="J568">
        <v>340.75</v>
      </c>
      <c r="K568">
        <v>-2</v>
      </c>
      <c r="L568">
        <v>0</v>
      </c>
      <c r="M568" t="s">
        <v>64</v>
      </c>
      <c r="N568" t="s">
        <v>25</v>
      </c>
      <c r="O568" t="s">
        <v>82</v>
      </c>
    </row>
    <row r="569" spans="1:16" x14ac:dyDescent="0.25">
      <c r="A569" t="s">
        <v>1560</v>
      </c>
      <c r="B569" t="s">
        <v>659</v>
      </c>
      <c r="C569" t="s">
        <v>1561</v>
      </c>
      <c r="D569" t="s">
        <v>69</v>
      </c>
      <c r="E569" t="s">
        <v>46</v>
      </c>
      <c r="F569">
        <v>130</v>
      </c>
      <c r="G569" t="s">
        <v>21</v>
      </c>
      <c r="H569" t="s">
        <v>87</v>
      </c>
      <c r="I569" t="s">
        <v>49</v>
      </c>
      <c r="J569">
        <v>212.75</v>
      </c>
      <c r="K569">
        <v>1</v>
      </c>
      <c r="L569">
        <v>-10</v>
      </c>
      <c r="N569" t="s">
        <v>81</v>
      </c>
      <c r="O569" t="s">
        <v>82</v>
      </c>
      <c r="P569">
        <v>2</v>
      </c>
    </row>
    <row r="570" spans="1:16" x14ac:dyDescent="0.25">
      <c r="A570" t="s">
        <v>1562</v>
      </c>
      <c r="B570" t="s">
        <v>1089</v>
      </c>
      <c r="C570" t="s">
        <v>1563</v>
      </c>
      <c r="E570" t="s">
        <v>46</v>
      </c>
      <c r="F570">
        <v>25</v>
      </c>
      <c r="G570" t="s">
        <v>38</v>
      </c>
      <c r="H570" t="s">
        <v>121</v>
      </c>
      <c r="I570" t="s">
        <v>122</v>
      </c>
      <c r="J570">
        <v>252.32</v>
      </c>
      <c r="K570">
        <v>6</v>
      </c>
      <c r="L570">
        <v>10</v>
      </c>
      <c r="M570" t="s">
        <v>77</v>
      </c>
      <c r="N570" t="s">
        <v>91</v>
      </c>
      <c r="O570" t="s">
        <v>65</v>
      </c>
      <c r="P570">
        <v>1</v>
      </c>
    </row>
    <row r="571" spans="1:16" x14ac:dyDescent="0.25">
      <c r="A571" t="s">
        <v>1564</v>
      </c>
      <c r="B571" t="s">
        <v>596</v>
      </c>
      <c r="C571" t="s">
        <v>1565</v>
      </c>
      <c r="D571" t="s">
        <v>45</v>
      </c>
      <c r="E571" t="s">
        <v>46</v>
      </c>
      <c r="F571">
        <v>130</v>
      </c>
      <c r="G571" t="s">
        <v>70</v>
      </c>
      <c r="H571" t="s">
        <v>54</v>
      </c>
      <c r="I571" t="s">
        <v>55</v>
      </c>
      <c r="J571">
        <v>392.72</v>
      </c>
      <c r="K571">
        <v>-2</v>
      </c>
      <c r="L571">
        <v>10</v>
      </c>
      <c r="N571" t="s">
        <v>25</v>
      </c>
      <c r="O571" t="s">
        <v>82</v>
      </c>
      <c r="P571">
        <v>4</v>
      </c>
    </row>
    <row r="572" spans="1:16" x14ac:dyDescent="0.25">
      <c r="A572" t="s">
        <v>1566</v>
      </c>
      <c r="B572" t="s">
        <v>415</v>
      </c>
      <c r="C572" t="s">
        <v>1567</v>
      </c>
      <c r="D572" t="s">
        <v>37</v>
      </c>
      <c r="E572" t="s">
        <v>20</v>
      </c>
      <c r="F572">
        <v>50</v>
      </c>
      <c r="G572" t="s">
        <v>21</v>
      </c>
      <c r="H572" t="s">
        <v>39</v>
      </c>
      <c r="I572" t="s">
        <v>40</v>
      </c>
      <c r="J572">
        <v>332.67</v>
      </c>
      <c r="K572">
        <v>-2</v>
      </c>
      <c r="L572">
        <v>0</v>
      </c>
      <c r="M572" t="s">
        <v>64</v>
      </c>
      <c r="N572" t="s">
        <v>81</v>
      </c>
      <c r="O572" t="s">
        <v>82</v>
      </c>
      <c r="P572">
        <v>3</v>
      </c>
    </row>
    <row r="573" spans="1:16" x14ac:dyDescent="0.25">
      <c r="A573" t="s">
        <v>1568</v>
      </c>
      <c r="B573" t="s">
        <v>500</v>
      </c>
      <c r="C573" t="s">
        <v>1569</v>
      </c>
      <c r="D573" t="s">
        <v>45</v>
      </c>
      <c r="E573" t="s">
        <v>20</v>
      </c>
      <c r="F573">
        <v>130</v>
      </c>
      <c r="G573" t="s">
        <v>70</v>
      </c>
      <c r="H573" t="s">
        <v>39</v>
      </c>
      <c r="I573" t="s">
        <v>40</v>
      </c>
      <c r="J573">
        <v>404.44</v>
      </c>
      <c r="K573">
        <v>-2</v>
      </c>
      <c r="L573">
        <v>15</v>
      </c>
      <c r="M573" t="s">
        <v>77</v>
      </c>
      <c r="N573" t="s">
        <v>81</v>
      </c>
      <c r="O573" t="s">
        <v>65</v>
      </c>
      <c r="P573">
        <v>1</v>
      </c>
    </row>
    <row r="574" spans="1:16" x14ac:dyDescent="0.25">
      <c r="A574" t="s">
        <v>1570</v>
      </c>
      <c r="B574" t="s">
        <v>871</v>
      </c>
      <c r="C574" t="s">
        <v>1571</v>
      </c>
      <c r="D574" t="s">
        <v>117</v>
      </c>
      <c r="E574" t="s">
        <v>46</v>
      </c>
      <c r="F574">
        <v>130</v>
      </c>
      <c r="G574" t="s">
        <v>21</v>
      </c>
      <c r="H574" t="s">
        <v>54</v>
      </c>
      <c r="I574" t="s">
        <v>55</v>
      </c>
      <c r="J574">
        <v>444.53</v>
      </c>
      <c r="K574">
        <v>-2</v>
      </c>
      <c r="L574">
        <v>-10</v>
      </c>
      <c r="N574" t="s">
        <v>81</v>
      </c>
      <c r="O574" t="s">
        <v>26</v>
      </c>
      <c r="P574">
        <v>2</v>
      </c>
    </row>
    <row r="575" spans="1:16" x14ac:dyDescent="0.25">
      <c r="A575" t="s">
        <v>1572</v>
      </c>
      <c r="B575" t="s">
        <v>208</v>
      </c>
      <c r="C575" t="s">
        <v>1573</v>
      </c>
      <c r="D575" t="s">
        <v>101</v>
      </c>
      <c r="E575" t="s">
        <v>20</v>
      </c>
      <c r="F575">
        <v>130</v>
      </c>
      <c r="G575" t="s">
        <v>30</v>
      </c>
      <c r="H575" t="s">
        <v>48</v>
      </c>
      <c r="I575" t="s">
        <v>49</v>
      </c>
      <c r="J575">
        <v>300.8</v>
      </c>
      <c r="K575">
        <v>3</v>
      </c>
      <c r="L575">
        <v>0</v>
      </c>
      <c r="M575" t="s">
        <v>59</v>
      </c>
      <c r="N575" t="s">
        <v>91</v>
      </c>
      <c r="O575" t="s">
        <v>33</v>
      </c>
      <c r="P575">
        <v>3</v>
      </c>
    </row>
    <row r="576" spans="1:16" x14ac:dyDescent="0.25">
      <c r="A576" t="s">
        <v>1574</v>
      </c>
      <c r="B576" t="s">
        <v>1211</v>
      </c>
      <c r="C576" t="s">
        <v>1575</v>
      </c>
      <c r="D576" t="s">
        <v>117</v>
      </c>
      <c r="E576" t="s">
        <v>46</v>
      </c>
      <c r="F576">
        <v>19</v>
      </c>
      <c r="G576" t="s">
        <v>70</v>
      </c>
      <c r="H576" t="s">
        <v>48</v>
      </c>
      <c r="I576" t="s">
        <v>49</v>
      </c>
      <c r="J576">
        <v>61.37</v>
      </c>
      <c r="K576">
        <v>-2</v>
      </c>
      <c r="L576">
        <v>0</v>
      </c>
      <c r="M576" t="s">
        <v>64</v>
      </c>
      <c r="N576" t="s">
        <v>91</v>
      </c>
      <c r="O576" t="s">
        <v>26</v>
      </c>
    </row>
    <row r="577" spans="1:16" x14ac:dyDescent="0.25">
      <c r="A577" t="s">
        <v>1576</v>
      </c>
      <c r="B577" t="s">
        <v>1149</v>
      </c>
      <c r="C577" t="s">
        <v>1577</v>
      </c>
      <c r="D577" t="s">
        <v>45</v>
      </c>
      <c r="E577" t="s">
        <v>46</v>
      </c>
      <c r="F577">
        <v>130</v>
      </c>
      <c r="G577" t="s">
        <v>30</v>
      </c>
      <c r="H577" t="s">
        <v>39</v>
      </c>
      <c r="I577" t="s">
        <v>40</v>
      </c>
      <c r="J577">
        <v>15.13</v>
      </c>
      <c r="K577">
        <v>9</v>
      </c>
      <c r="L577">
        <v>15</v>
      </c>
      <c r="M577" t="s">
        <v>77</v>
      </c>
      <c r="N577" t="s">
        <v>25</v>
      </c>
      <c r="O577" t="s">
        <v>82</v>
      </c>
      <c r="P577">
        <v>1</v>
      </c>
    </row>
    <row r="578" spans="1:16" x14ac:dyDescent="0.25">
      <c r="A578" t="s">
        <v>1578</v>
      </c>
      <c r="B578" t="s">
        <v>1579</v>
      </c>
      <c r="C578" t="s">
        <v>1580</v>
      </c>
      <c r="D578" t="s">
        <v>45</v>
      </c>
      <c r="E578" t="s">
        <v>20</v>
      </c>
      <c r="F578">
        <v>130</v>
      </c>
      <c r="G578" t="s">
        <v>70</v>
      </c>
      <c r="H578" t="s">
        <v>39</v>
      </c>
      <c r="I578" t="s">
        <v>40</v>
      </c>
      <c r="J578">
        <v>142</v>
      </c>
      <c r="K578">
        <v>10</v>
      </c>
      <c r="L578">
        <v>0</v>
      </c>
      <c r="M578" t="s">
        <v>77</v>
      </c>
      <c r="N578" t="s">
        <v>25</v>
      </c>
      <c r="O578" t="s">
        <v>82</v>
      </c>
      <c r="P578">
        <v>5</v>
      </c>
    </row>
    <row r="579" spans="1:16" x14ac:dyDescent="0.25">
      <c r="A579" t="s">
        <v>1581</v>
      </c>
      <c r="B579" t="s">
        <v>1039</v>
      </c>
      <c r="C579" t="s">
        <v>1582</v>
      </c>
      <c r="D579" t="s">
        <v>45</v>
      </c>
      <c r="E579" t="s">
        <v>46</v>
      </c>
      <c r="F579">
        <v>8</v>
      </c>
      <c r="G579" t="s">
        <v>30</v>
      </c>
      <c r="H579" t="s">
        <v>121</v>
      </c>
      <c r="I579" t="s">
        <v>122</v>
      </c>
      <c r="J579">
        <v>410.44</v>
      </c>
      <c r="K579">
        <v>2</v>
      </c>
      <c r="L579">
        <v>0</v>
      </c>
      <c r="M579" t="s">
        <v>24</v>
      </c>
      <c r="N579" t="s">
        <v>25</v>
      </c>
      <c r="O579" t="s">
        <v>65</v>
      </c>
    </row>
    <row r="580" spans="1:16" x14ac:dyDescent="0.25">
      <c r="A580" t="s">
        <v>1583</v>
      </c>
      <c r="B580" t="s">
        <v>1186</v>
      </c>
      <c r="C580" t="s">
        <v>1584</v>
      </c>
      <c r="D580" t="s">
        <v>63</v>
      </c>
      <c r="E580" t="s">
        <v>46</v>
      </c>
      <c r="F580">
        <v>8</v>
      </c>
      <c r="G580" t="s">
        <v>21</v>
      </c>
      <c r="H580" t="s">
        <v>54</v>
      </c>
      <c r="I580" t="s">
        <v>55</v>
      </c>
      <c r="J580">
        <v>90.77</v>
      </c>
      <c r="K580">
        <v>-2</v>
      </c>
      <c r="L580">
        <v>5</v>
      </c>
      <c r="M580" t="s">
        <v>24</v>
      </c>
      <c r="N580" t="s">
        <v>25</v>
      </c>
      <c r="O580" t="s">
        <v>65</v>
      </c>
      <c r="P580">
        <v>5</v>
      </c>
    </row>
    <row r="581" spans="1:16" x14ac:dyDescent="0.25">
      <c r="A581" t="s">
        <v>1585</v>
      </c>
      <c r="B581" t="s">
        <v>1586</v>
      </c>
      <c r="C581" t="s">
        <v>1587</v>
      </c>
      <c r="D581" t="s">
        <v>19</v>
      </c>
      <c r="E581" t="s">
        <v>20</v>
      </c>
      <c r="F581">
        <v>130</v>
      </c>
      <c r="G581" t="s">
        <v>30</v>
      </c>
      <c r="H581" t="s">
        <v>22</v>
      </c>
      <c r="I581" t="s">
        <v>23</v>
      </c>
      <c r="J581">
        <v>38.61</v>
      </c>
      <c r="K581">
        <v>10</v>
      </c>
      <c r="L581">
        <v>10</v>
      </c>
      <c r="M581" t="s">
        <v>77</v>
      </c>
      <c r="N581" t="s">
        <v>25</v>
      </c>
      <c r="O581" t="s">
        <v>33</v>
      </c>
      <c r="P581">
        <v>4</v>
      </c>
    </row>
    <row r="582" spans="1:16" x14ac:dyDescent="0.25">
      <c r="A582" t="s">
        <v>1588</v>
      </c>
      <c r="B582" t="s">
        <v>1589</v>
      </c>
      <c r="C582" t="s">
        <v>1590</v>
      </c>
      <c r="D582" t="s">
        <v>19</v>
      </c>
      <c r="E582" t="s">
        <v>46</v>
      </c>
      <c r="F582">
        <v>46</v>
      </c>
      <c r="G582" t="s">
        <v>53</v>
      </c>
      <c r="H582" t="s">
        <v>121</v>
      </c>
      <c r="I582" t="s">
        <v>122</v>
      </c>
      <c r="J582">
        <v>167.28</v>
      </c>
      <c r="K582">
        <v>2</v>
      </c>
      <c r="L582">
        <v>5</v>
      </c>
      <c r="M582" t="s">
        <v>59</v>
      </c>
      <c r="N582" t="s">
        <v>81</v>
      </c>
      <c r="O582" t="s">
        <v>26</v>
      </c>
      <c r="P582">
        <v>1</v>
      </c>
    </row>
    <row r="583" spans="1:16" x14ac:dyDescent="0.25">
      <c r="A583" t="s">
        <v>1591</v>
      </c>
      <c r="B583" t="s">
        <v>1592</v>
      </c>
      <c r="C583" t="s">
        <v>1593</v>
      </c>
      <c r="D583" t="s">
        <v>69</v>
      </c>
      <c r="E583" t="s">
        <v>20</v>
      </c>
      <c r="F583">
        <v>34</v>
      </c>
      <c r="G583" t="s">
        <v>21</v>
      </c>
      <c r="H583" t="s">
        <v>121</v>
      </c>
      <c r="I583" t="s">
        <v>122</v>
      </c>
      <c r="J583">
        <v>437.48</v>
      </c>
      <c r="K583">
        <v>-2</v>
      </c>
      <c r="L583">
        <v>15</v>
      </c>
      <c r="M583" t="s">
        <v>59</v>
      </c>
      <c r="N583" t="s">
        <v>41</v>
      </c>
      <c r="O583" t="s">
        <v>26</v>
      </c>
      <c r="P583">
        <v>4</v>
      </c>
    </row>
    <row r="584" spans="1:16" x14ac:dyDescent="0.25">
      <c r="A584" t="s">
        <v>1594</v>
      </c>
      <c r="B584" t="s">
        <v>911</v>
      </c>
      <c r="C584" t="s">
        <v>1595</v>
      </c>
      <c r="E584" t="s">
        <v>20</v>
      </c>
      <c r="F584">
        <v>130</v>
      </c>
      <c r="G584" t="s">
        <v>38</v>
      </c>
      <c r="H584" t="s">
        <v>48</v>
      </c>
      <c r="I584" t="s">
        <v>49</v>
      </c>
      <c r="J584">
        <v>419.4</v>
      </c>
      <c r="K584">
        <v>-2</v>
      </c>
      <c r="L584">
        <v>5</v>
      </c>
      <c r="N584" t="s">
        <v>41</v>
      </c>
      <c r="O584" t="s">
        <v>33</v>
      </c>
      <c r="P584">
        <v>2</v>
      </c>
    </row>
    <row r="585" spans="1:16" x14ac:dyDescent="0.25">
      <c r="A585" t="s">
        <v>1596</v>
      </c>
      <c r="B585" t="s">
        <v>455</v>
      </c>
      <c r="C585" t="s">
        <v>1597</v>
      </c>
      <c r="D585" t="s">
        <v>101</v>
      </c>
      <c r="E585" t="s">
        <v>46</v>
      </c>
      <c r="F585">
        <v>60</v>
      </c>
      <c r="G585" t="s">
        <v>47</v>
      </c>
      <c r="H585" t="s">
        <v>31</v>
      </c>
      <c r="I585" t="s">
        <v>32</v>
      </c>
      <c r="J585">
        <v>399.3</v>
      </c>
      <c r="K585">
        <v>-2</v>
      </c>
      <c r="L585">
        <v>15</v>
      </c>
      <c r="M585" t="s">
        <v>64</v>
      </c>
      <c r="N585" t="s">
        <v>81</v>
      </c>
      <c r="O585" t="s">
        <v>33</v>
      </c>
      <c r="P585">
        <v>5</v>
      </c>
    </row>
    <row r="586" spans="1:16" x14ac:dyDescent="0.25">
      <c r="A586" t="s">
        <v>1598</v>
      </c>
      <c r="B586" t="s">
        <v>443</v>
      </c>
      <c r="C586" t="s">
        <v>939</v>
      </c>
      <c r="D586" t="s">
        <v>37</v>
      </c>
      <c r="E586" t="s">
        <v>20</v>
      </c>
      <c r="F586">
        <v>8</v>
      </c>
      <c r="G586" t="s">
        <v>53</v>
      </c>
      <c r="H586" t="s">
        <v>48</v>
      </c>
      <c r="I586" t="s">
        <v>49</v>
      </c>
      <c r="J586">
        <v>253.99</v>
      </c>
      <c r="K586">
        <v>-2</v>
      </c>
      <c r="L586">
        <v>120</v>
      </c>
      <c r="M586" t="s">
        <v>64</v>
      </c>
      <c r="N586" t="s">
        <v>41</v>
      </c>
      <c r="O586" t="s">
        <v>33</v>
      </c>
      <c r="P586">
        <v>3</v>
      </c>
    </row>
    <row r="587" spans="1:16" x14ac:dyDescent="0.25">
      <c r="A587" t="s">
        <v>1599</v>
      </c>
      <c r="B587" t="s">
        <v>1600</v>
      </c>
      <c r="C587" t="s">
        <v>1601</v>
      </c>
      <c r="D587" t="s">
        <v>37</v>
      </c>
      <c r="E587" t="s">
        <v>20</v>
      </c>
      <c r="F587">
        <v>8</v>
      </c>
      <c r="G587" t="s">
        <v>86</v>
      </c>
      <c r="H587" t="s">
        <v>121</v>
      </c>
      <c r="I587" t="s">
        <v>122</v>
      </c>
      <c r="J587">
        <v>184.92</v>
      </c>
      <c r="K587">
        <v>-2</v>
      </c>
      <c r="L587">
        <v>-10</v>
      </c>
      <c r="M587" t="s">
        <v>59</v>
      </c>
      <c r="N587" t="s">
        <v>25</v>
      </c>
      <c r="O587" t="s">
        <v>82</v>
      </c>
      <c r="P587">
        <v>2</v>
      </c>
    </row>
    <row r="588" spans="1:16" x14ac:dyDescent="0.25">
      <c r="A588" t="s">
        <v>1602</v>
      </c>
      <c r="B588" t="s">
        <v>1603</v>
      </c>
      <c r="C588" t="s">
        <v>826</v>
      </c>
      <c r="D588" t="s">
        <v>19</v>
      </c>
      <c r="E588" t="s">
        <v>20</v>
      </c>
      <c r="F588">
        <v>130</v>
      </c>
      <c r="G588" t="s">
        <v>53</v>
      </c>
      <c r="H588" t="s">
        <v>48</v>
      </c>
      <c r="I588" t="s">
        <v>49</v>
      </c>
      <c r="J588">
        <v>338.19</v>
      </c>
      <c r="K588">
        <v>-2</v>
      </c>
      <c r="L588">
        <v>15</v>
      </c>
      <c r="M588" t="s">
        <v>64</v>
      </c>
      <c r="N588" t="s">
        <v>81</v>
      </c>
      <c r="O588" t="s">
        <v>65</v>
      </c>
    </row>
    <row r="589" spans="1:16" x14ac:dyDescent="0.25">
      <c r="A589" t="s">
        <v>1604</v>
      </c>
      <c r="B589" t="s">
        <v>584</v>
      </c>
      <c r="C589" t="s">
        <v>1605</v>
      </c>
      <c r="E589" t="s">
        <v>20</v>
      </c>
      <c r="F589">
        <v>8</v>
      </c>
      <c r="G589" t="s">
        <v>53</v>
      </c>
      <c r="H589" t="s">
        <v>31</v>
      </c>
      <c r="I589" t="s">
        <v>32</v>
      </c>
      <c r="J589">
        <v>347.26</v>
      </c>
      <c r="K589">
        <v>4</v>
      </c>
      <c r="L589">
        <v>15</v>
      </c>
      <c r="M589" t="s">
        <v>24</v>
      </c>
      <c r="N589" t="s">
        <v>81</v>
      </c>
      <c r="O589" t="s">
        <v>33</v>
      </c>
      <c r="P589">
        <v>2</v>
      </c>
    </row>
    <row r="590" spans="1:16" x14ac:dyDescent="0.25">
      <c r="A590" t="s">
        <v>1606</v>
      </c>
      <c r="B590" t="s">
        <v>1607</v>
      </c>
      <c r="C590" t="s">
        <v>1608</v>
      </c>
      <c r="D590" t="s">
        <v>69</v>
      </c>
      <c r="E590" t="s">
        <v>46</v>
      </c>
      <c r="F590">
        <v>8</v>
      </c>
      <c r="G590" t="s">
        <v>21</v>
      </c>
      <c r="H590" t="s">
        <v>48</v>
      </c>
      <c r="I590" t="s">
        <v>49</v>
      </c>
      <c r="J590">
        <v>409.71</v>
      </c>
      <c r="K590">
        <v>-2</v>
      </c>
      <c r="L590">
        <v>15</v>
      </c>
      <c r="M590" t="s">
        <v>24</v>
      </c>
      <c r="N590" t="s">
        <v>25</v>
      </c>
      <c r="O590" t="s">
        <v>65</v>
      </c>
      <c r="P590">
        <v>3</v>
      </c>
    </row>
    <row r="591" spans="1:16" x14ac:dyDescent="0.25">
      <c r="A591" t="s">
        <v>1609</v>
      </c>
      <c r="B591" t="s">
        <v>369</v>
      </c>
      <c r="C591" t="s">
        <v>1610</v>
      </c>
      <c r="D591" t="s">
        <v>63</v>
      </c>
      <c r="E591" t="s">
        <v>46</v>
      </c>
      <c r="F591">
        <v>51</v>
      </c>
      <c r="G591" t="s">
        <v>21</v>
      </c>
      <c r="H591" t="s">
        <v>121</v>
      </c>
      <c r="I591" t="s">
        <v>122</v>
      </c>
      <c r="J591">
        <v>479.27</v>
      </c>
      <c r="K591">
        <v>-2</v>
      </c>
      <c r="L591">
        <v>-10</v>
      </c>
      <c r="M591" t="s">
        <v>24</v>
      </c>
      <c r="N591" t="s">
        <v>91</v>
      </c>
      <c r="O591" t="s">
        <v>65</v>
      </c>
      <c r="P591">
        <v>3</v>
      </c>
    </row>
    <row r="592" spans="1:16" x14ac:dyDescent="0.25">
      <c r="A592" t="s">
        <v>1611</v>
      </c>
      <c r="B592" t="s">
        <v>1612</v>
      </c>
      <c r="C592" t="s">
        <v>1613</v>
      </c>
      <c r="D592" t="s">
        <v>69</v>
      </c>
      <c r="E592" t="s">
        <v>46</v>
      </c>
      <c r="F592">
        <v>130</v>
      </c>
      <c r="G592" t="s">
        <v>70</v>
      </c>
      <c r="H592" t="s">
        <v>121</v>
      </c>
      <c r="I592" t="s">
        <v>122</v>
      </c>
      <c r="J592">
        <v>231.99</v>
      </c>
      <c r="K592">
        <v>2</v>
      </c>
      <c r="L592">
        <v>0</v>
      </c>
      <c r="M592" t="s">
        <v>64</v>
      </c>
      <c r="N592" t="s">
        <v>25</v>
      </c>
      <c r="O592" t="s">
        <v>26</v>
      </c>
      <c r="P592">
        <v>4</v>
      </c>
    </row>
    <row r="593" spans="1:16" x14ac:dyDescent="0.25">
      <c r="A593" t="s">
        <v>1614</v>
      </c>
      <c r="B593" t="s">
        <v>1615</v>
      </c>
      <c r="C593" t="s">
        <v>1616</v>
      </c>
      <c r="D593" t="s">
        <v>19</v>
      </c>
      <c r="E593" t="s">
        <v>20</v>
      </c>
      <c r="F593">
        <v>8</v>
      </c>
      <c r="G593" t="s">
        <v>21</v>
      </c>
      <c r="H593" t="s">
        <v>87</v>
      </c>
      <c r="I593" t="s">
        <v>49</v>
      </c>
      <c r="J593">
        <v>227.25</v>
      </c>
      <c r="K593">
        <v>2</v>
      </c>
      <c r="L593">
        <v>120</v>
      </c>
      <c r="M593" t="s">
        <v>24</v>
      </c>
      <c r="N593" t="s">
        <v>41</v>
      </c>
      <c r="O593" t="s">
        <v>82</v>
      </c>
      <c r="P593">
        <v>2</v>
      </c>
    </row>
    <row r="594" spans="1:16" x14ac:dyDescent="0.25">
      <c r="A594" t="s">
        <v>1617</v>
      </c>
      <c r="B594" t="s">
        <v>1618</v>
      </c>
      <c r="C594" t="s">
        <v>1619</v>
      </c>
      <c r="D594" t="s">
        <v>117</v>
      </c>
      <c r="E594" t="s">
        <v>20</v>
      </c>
      <c r="F594">
        <v>24</v>
      </c>
      <c r="G594" t="s">
        <v>70</v>
      </c>
      <c r="H594" t="s">
        <v>121</v>
      </c>
      <c r="I594" t="s">
        <v>122</v>
      </c>
      <c r="J594">
        <v>468.67</v>
      </c>
      <c r="K594">
        <v>-2</v>
      </c>
      <c r="L594">
        <v>10</v>
      </c>
      <c r="M594" t="s">
        <v>59</v>
      </c>
      <c r="N594" t="s">
        <v>25</v>
      </c>
      <c r="O594" t="s">
        <v>26</v>
      </c>
    </row>
    <row r="595" spans="1:16" x14ac:dyDescent="0.25">
      <c r="A595" t="s">
        <v>1620</v>
      </c>
      <c r="B595" t="s">
        <v>533</v>
      </c>
      <c r="C595" t="s">
        <v>1621</v>
      </c>
      <c r="E595" t="s">
        <v>46</v>
      </c>
      <c r="F595">
        <v>19</v>
      </c>
      <c r="G595" t="s">
        <v>30</v>
      </c>
      <c r="H595" t="s">
        <v>39</v>
      </c>
      <c r="I595" t="s">
        <v>40</v>
      </c>
      <c r="J595">
        <v>220.74</v>
      </c>
      <c r="K595">
        <v>9</v>
      </c>
      <c r="L595">
        <v>0</v>
      </c>
      <c r="N595" t="s">
        <v>81</v>
      </c>
      <c r="O595" t="s">
        <v>33</v>
      </c>
      <c r="P595">
        <v>4</v>
      </c>
    </row>
    <row r="596" spans="1:16" x14ac:dyDescent="0.25">
      <c r="A596" t="s">
        <v>1622</v>
      </c>
      <c r="B596" t="s">
        <v>1004</v>
      </c>
      <c r="C596" t="s">
        <v>1623</v>
      </c>
      <c r="D596" t="s">
        <v>63</v>
      </c>
      <c r="E596" t="s">
        <v>20</v>
      </c>
      <c r="F596">
        <v>8</v>
      </c>
      <c r="G596" t="s">
        <v>70</v>
      </c>
      <c r="H596" t="s">
        <v>87</v>
      </c>
      <c r="I596" t="s">
        <v>49</v>
      </c>
      <c r="J596">
        <v>138.9</v>
      </c>
      <c r="K596">
        <v>7</v>
      </c>
      <c r="L596">
        <v>-10</v>
      </c>
      <c r="M596" t="s">
        <v>59</v>
      </c>
      <c r="N596" t="s">
        <v>25</v>
      </c>
      <c r="O596" t="s">
        <v>82</v>
      </c>
      <c r="P596">
        <v>4</v>
      </c>
    </row>
    <row r="597" spans="1:16" x14ac:dyDescent="0.25">
      <c r="A597" t="s">
        <v>1624</v>
      </c>
      <c r="B597" t="s">
        <v>1625</v>
      </c>
      <c r="C597" t="s">
        <v>1626</v>
      </c>
      <c r="D597" t="s">
        <v>117</v>
      </c>
      <c r="E597" t="s">
        <v>46</v>
      </c>
      <c r="F597">
        <v>8</v>
      </c>
      <c r="G597" t="s">
        <v>70</v>
      </c>
      <c r="H597" t="s">
        <v>48</v>
      </c>
      <c r="I597" t="s">
        <v>49</v>
      </c>
      <c r="J597">
        <v>182.23</v>
      </c>
      <c r="K597">
        <v>-2</v>
      </c>
      <c r="L597">
        <v>0</v>
      </c>
      <c r="M597" t="s">
        <v>24</v>
      </c>
      <c r="N597" t="s">
        <v>25</v>
      </c>
      <c r="O597" t="s">
        <v>33</v>
      </c>
      <c r="P597">
        <v>4</v>
      </c>
    </row>
    <row r="598" spans="1:16" x14ac:dyDescent="0.25">
      <c r="A598" t="s">
        <v>1627</v>
      </c>
      <c r="B598" t="s">
        <v>1628</v>
      </c>
      <c r="C598" t="s">
        <v>1629</v>
      </c>
      <c r="D598" t="s">
        <v>117</v>
      </c>
      <c r="E598" t="s">
        <v>46</v>
      </c>
      <c r="F598">
        <v>28</v>
      </c>
      <c r="G598" t="s">
        <v>53</v>
      </c>
      <c r="H598" t="s">
        <v>31</v>
      </c>
      <c r="I598" t="s">
        <v>32</v>
      </c>
      <c r="J598">
        <v>279.77</v>
      </c>
      <c r="K598">
        <v>-2</v>
      </c>
      <c r="L598">
        <v>-10</v>
      </c>
      <c r="N598" t="s">
        <v>25</v>
      </c>
      <c r="O598" t="s">
        <v>65</v>
      </c>
      <c r="P598">
        <v>5</v>
      </c>
    </row>
    <row r="599" spans="1:16" x14ac:dyDescent="0.25">
      <c r="A599" t="s">
        <v>1630</v>
      </c>
      <c r="B599" t="s">
        <v>754</v>
      </c>
      <c r="C599" t="s">
        <v>1631</v>
      </c>
      <c r="D599" t="s">
        <v>117</v>
      </c>
      <c r="E599" t="s">
        <v>20</v>
      </c>
      <c r="F599">
        <v>130</v>
      </c>
      <c r="G599" t="s">
        <v>21</v>
      </c>
      <c r="H599" t="s">
        <v>22</v>
      </c>
      <c r="I599" t="s">
        <v>23</v>
      </c>
      <c r="J599">
        <v>11.12</v>
      </c>
      <c r="K599">
        <v>6</v>
      </c>
      <c r="L599">
        <v>10</v>
      </c>
      <c r="M599" t="s">
        <v>77</v>
      </c>
      <c r="N599" t="s">
        <v>25</v>
      </c>
      <c r="O599" t="s">
        <v>26</v>
      </c>
      <c r="P599">
        <v>5</v>
      </c>
    </row>
    <row r="600" spans="1:16" x14ac:dyDescent="0.25">
      <c r="A600" t="s">
        <v>1632</v>
      </c>
      <c r="B600" t="s">
        <v>1633</v>
      </c>
      <c r="C600" t="s">
        <v>142</v>
      </c>
      <c r="D600" t="s">
        <v>37</v>
      </c>
      <c r="E600" t="s">
        <v>20</v>
      </c>
      <c r="F600">
        <v>8</v>
      </c>
      <c r="G600" t="s">
        <v>21</v>
      </c>
      <c r="H600" t="s">
        <v>48</v>
      </c>
      <c r="I600" t="s">
        <v>49</v>
      </c>
      <c r="J600">
        <v>6.83</v>
      </c>
      <c r="K600">
        <v>4</v>
      </c>
      <c r="L600">
        <v>0</v>
      </c>
      <c r="M600" t="s">
        <v>24</v>
      </c>
      <c r="N600" t="s">
        <v>25</v>
      </c>
      <c r="O600" t="s">
        <v>65</v>
      </c>
      <c r="P600">
        <v>2</v>
      </c>
    </row>
    <row r="601" spans="1:16" x14ac:dyDescent="0.25">
      <c r="A601" t="s">
        <v>1634</v>
      </c>
      <c r="B601" t="s">
        <v>1635</v>
      </c>
      <c r="C601" t="s">
        <v>1636</v>
      </c>
      <c r="D601" t="s">
        <v>101</v>
      </c>
      <c r="E601" t="s">
        <v>20</v>
      </c>
      <c r="F601">
        <v>8</v>
      </c>
      <c r="G601" t="s">
        <v>38</v>
      </c>
      <c r="H601" t="s">
        <v>48</v>
      </c>
      <c r="I601" t="s">
        <v>49</v>
      </c>
      <c r="J601">
        <v>29.11</v>
      </c>
      <c r="K601">
        <v>4</v>
      </c>
      <c r="L601">
        <v>-10</v>
      </c>
      <c r="M601" t="s">
        <v>59</v>
      </c>
      <c r="N601" t="s">
        <v>81</v>
      </c>
      <c r="O601" t="s">
        <v>82</v>
      </c>
      <c r="P601">
        <v>1</v>
      </c>
    </row>
    <row r="602" spans="1:16" x14ac:dyDescent="0.25">
      <c r="A602" t="s">
        <v>1637</v>
      </c>
      <c r="B602" t="s">
        <v>1638</v>
      </c>
      <c r="C602" t="s">
        <v>1639</v>
      </c>
      <c r="E602" t="s">
        <v>20</v>
      </c>
      <c r="F602">
        <v>54</v>
      </c>
      <c r="G602" t="s">
        <v>86</v>
      </c>
      <c r="H602" t="s">
        <v>87</v>
      </c>
      <c r="I602" t="s">
        <v>49</v>
      </c>
      <c r="J602">
        <v>139.44999999999999</v>
      </c>
      <c r="K602">
        <v>-2</v>
      </c>
      <c r="L602">
        <v>0</v>
      </c>
      <c r="M602" t="s">
        <v>59</v>
      </c>
      <c r="N602" t="s">
        <v>91</v>
      </c>
      <c r="O602" t="s">
        <v>33</v>
      </c>
      <c r="P602">
        <v>3</v>
      </c>
    </row>
    <row r="603" spans="1:16" x14ac:dyDescent="0.25">
      <c r="A603" t="s">
        <v>1640</v>
      </c>
      <c r="B603" t="s">
        <v>1641</v>
      </c>
      <c r="C603" t="s">
        <v>1642</v>
      </c>
      <c r="D603" t="s">
        <v>37</v>
      </c>
      <c r="E603" t="s">
        <v>20</v>
      </c>
      <c r="F603">
        <v>40</v>
      </c>
      <c r="G603" t="s">
        <v>21</v>
      </c>
      <c r="H603" t="s">
        <v>54</v>
      </c>
      <c r="I603" t="s">
        <v>55</v>
      </c>
      <c r="J603">
        <v>276.43</v>
      </c>
      <c r="K603">
        <v>-2</v>
      </c>
      <c r="L603">
        <v>120</v>
      </c>
      <c r="M603" t="s">
        <v>64</v>
      </c>
      <c r="N603" t="s">
        <v>41</v>
      </c>
      <c r="O603" t="s">
        <v>26</v>
      </c>
      <c r="P603">
        <v>4</v>
      </c>
    </row>
    <row r="604" spans="1:16" x14ac:dyDescent="0.25">
      <c r="A604" t="s">
        <v>1643</v>
      </c>
      <c r="B604" t="s">
        <v>1380</v>
      </c>
      <c r="C604" t="s">
        <v>1644</v>
      </c>
      <c r="D604" t="s">
        <v>117</v>
      </c>
      <c r="E604" t="s">
        <v>20</v>
      </c>
      <c r="F604">
        <v>8</v>
      </c>
      <c r="G604" t="s">
        <v>53</v>
      </c>
      <c r="H604" t="s">
        <v>87</v>
      </c>
      <c r="I604" t="s">
        <v>49</v>
      </c>
      <c r="J604">
        <v>304.25</v>
      </c>
      <c r="K604">
        <v>3</v>
      </c>
      <c r="L604">
        <v>10</v>
      </c>
      <c r="M604" t="s">
        <v>64</v>
      </c>
      <c r="N604" t="s">
        <v>41</v>
      </c>
      <c r="O604" t="s">
        <v>65</v>
      </c>
      <c r="P604">
        <v>1</v>
      </c>
    </row>
    <row r="605" spans="1:16" x14ac:dyDescent="0.25">
      <c r="A605" t="s">
        <v>1645</v>
      </c>
      <c r="B605" t="s">
        <v>235</v>
      </c>
      <c r="C605" t="s">
        <v>1646</v>
      </c>
      <c r="D605" t="s">
        <v>19</v>
      </c>
      <c r="E605" t="s">
        <v>46</v>
      </c>
      <c r="F605">
        <v>130</v>
      </c>
      <c r="G605" t="s">
        <v>70</v>
      </c>
      <c r="H605" t="s">
        <v>87</v>
      </c>
      <c r="I605" t="s">
        <v>49</v>
      </c>
      <c r="J605">
        <v>46.7</v>
      </c>
      <c r="K605">
        <v>9</v>
      </c>
      <c r="L605">
        <v>120</v>
      </c>
      <c r="M605" t="s">
        <v>24</v>
      </c>
      <c r="N605" t="s">
        <v>41</v>
      </c>
      <c r="O605" t="s">
        <v>82</v>
      </c>
      <c r="P605">
        <v>4</v>
      </c>
    </row>
    <row r="606" spans="1:16" x14ac:dyDescent="0.25">
      <c r="A606" t="s">
        <v>1647</v>
      </c>
      <c r="B606" t="s">
        <v>1648</v>
      </c>
      <c r="C606" t="s">
        <v>1443</v>
      </c>
      <c r="D606" t="s">
        <v>101</v>
      </c>
      <c r="E606" t="s">
        <v>20</v>
      </c>
      <c r="F606">
        <v>56</v>
      </c>
      <c r="G606" t="s">
        <v>38</v>
      </c>
      <c r="H606" t="s">
        <v>31</v>
      </c>
      <c r="I606" t="s">
        <v>32</v>
      </c>
      <c r="J606">
        <v>368.18</v>
      </c>
      <c r="K606">
        <v>8</v>
      </c>
      <c r="L606">
        <v>-10</v>
      </c>
      <c r="M606" t="s">
        <v>24</v>
      </c>
      <c r="N606" t="s">
        <v>91</v>
      </c>
      <c r="O606" t="s">
        <v>26</v>
      </c>
      <c r="P606">
        <v>4</v>
      </c>
    </row>
    <row r="607" spans="1:16" x14ac:dyDescent="0.25">
      <c r="A607" t="s">
        <v>1649</v>
      </c>
      <c r="B607" t="s">
        <v>181</v>
      </c>
      <c r="C607" t="s">
        <v>1650</v>
      </c>
      <c r="D607" t="s">
        <v>37</v>
      </c>
      <c r="E607" t="s">
        <v>46</v>
      </c>
      <c r="F607">
        <v>130</v>
      </c>
      <c r="G607" t="s">
        <v>21</v>
      </c>
      <c r="H607" t="s">
        <v>22</v>
      </c>
      <c r="I607" t="s">
        <v>23</v>
      </c>
      <c r="J607">
        <v>126</v>
      </c>
      <c r="K607">
        <v>2</v>
      </c>
      <c r="L607">
        <v>0</v>
      </c>
      <c r="M607" t="s">
        <v>64</v>
      </c>
      <c r="N607" t="s">
        <v>81</v>
      </c>
      <c r="O607" t="s">
        <v>65</v>
      </c>
      <c r="P607">
        <v>5</v>
      </c>
    </row>
    <row r="608" spans="1:16" x14ac:dyDescent="0.25">
      <c r="A608" t="s">
        <v>1651</v>
      </c>
      <c r="B608" t="s">
        <v>1652</v>
      </c>
      <c r="C608" t="s">
        <v>1653</v>
      </c>
      <c r="D608" t="s">
        <v>19</v>
      </c>
      <c r="E608" t="s">
        <v>46</v>
      </c>
      <c r="F608">
        <v>52</v>
      </c>
      <c r="G608" t="s">
        <v>53</v>
      </c>
      <c r="H608" t="s">
        <v>22</v>
      </c>
      <c r="I608" t="s">
        <v>23</v>
      </c>
      <c r="J608">
        <v>264.92</v>
      </c>
      <c r="K608">
        <v>-2</v>
      </c>
      <c r="L608">
        <v>120</v>
      </c>
      <c r="M608" t="s">
        <v>59</v>
      </c>
      <c r="N608" t="s">
        <v>25</v>
      </c>
      <c r="O608" t="s">
        <v>33</v>
      </c>
      <c r="P608">
        <v>1</v>
      </c>
    </row>
    <row r="609" spans="1:16" x14ac:dyDescent="0.25">
      <c r="A609" t="s">
        <v>1654</v>
      </c>
      <c r="B609" t="s">
        <v>1655</v>
      </c>
      <c r="C609" t="s">
        <v>1656</v>
      </c>
      <c r="D609" t="s">
        <v>63</v>
      </c>
      <c r="E609" t="s">
        <v>46</v>
      </c>
      <c r="F609">
        <v>18</v>
      </c>
      <c r="G609" t="s">
        <v>38</v>
      </c>
      <c r="H609" t="s">
        <v>121</v>
      </c>
      <c r="I609" t="s">
        <v>122</v>
      </c>
      <c r="J609">
        <v>147.71</v>
      </c>
      <c r="K609">
        <v>-2</v>
      </c>
      <c r="L609">
        <v>-10</v>
      </c>
      <c r="M609" t="s">
        <v>24</v>
      </c>
      <c r="N609" t="s">
        <v>91</v>
      </c>
      <c r="O609" t="s">
        <v>82</v>
      </c>
      <c r="P609">
        <v>5</v>
      </c>
    </row>
    <row r="610" spans="1:16" x14ac:dyDescent="0.25">
      <c r="A610" t="s">
        <v>1657</v>
      </c>
      <c r="B610" t="s">
        <v>1658</v>
      </c>
      <c r="C610" t="s">
        <v>1659</v>
      </c>
      <c r="D610" t="s">
        <v>37</v>
      </c>
      <c r="E610" t="s">
        <v>20</v>
      </c>
      <c r="F610">
        <v>8</v>
      </c>
      <c r="G610" t="s">
        <v>86</v>
      </c>
      <c r="H610" t="s">
        <v>54</v>
      </c>
      <c r="I610" t="s">
        <v>55</v>
      </c>
      <c r="J610">
        <v>237.21</v>
      </c>
      <c r="K610">
        <v>-2</v>
      </c>
      <c r="L610">
        <v>-10</v>
      </c>
      <c r="M610" t="s">
        <v>24</v>
      </c>
      <c r="N610" t="s">
        <v>25</v>
      </c>
      <c r="O610" t="s">
        <v>82</v>
      </c>
      <c r="P610">
        <v>1</v>
      </c>
    </row>
    <row r="611" spans="1:16" x14ac:dyDescent="0.25">
      <c r="A611" t="s">
        <v>1660</v>
      </c>
      <c r="B611" t="s">
        <v>1529</v>
      </c>
      <c r="C611" t="s">
        <v>1661</v>
      </c>
      <c r="D611" t="s">
        <v>37</v>
      </c>
      <c r="E611" t="s">
        <v>20</v>
      </c>
      <c r="F611">
        <v>8</v>
      </c>
      <c r="G611" t="s">
        <v>70</v>
      </c>
      <c r="H611" t="s">
        <v>22</v>
      </c>
      <c r="I611" t="s">
        <v>23</v>
      </c>
      <c r="J611">
        <v>202.59</v>
      </c>
      <c r="K611">
        <v>2</v>
      </c>
      <c r="L611">
        <v>10</v>
      </c>
      <c r="M611" t="s">
        <v>77</v>
      </c>
      <c r="N611" t="s">
        <v>91</v>
      </c>
      <c r="O611" t="s">
        <v>65</v>
      </c>
      <c r="P611">
        <v>1</v>
      </c>
    </row>
    <row r="612" spans="1:16" x14ac:dyDescent="0.25">
      <c r="A612" t="s">
        <v>1662</v>
      </c>
      <c r="B612" t="s">
        <v>777</v>
      </c>
      <c r="C612" t="s">
        <v>1663</v>
      </c>
      <c r="E612" t="s">
        <v>20</v>
      </c>
      <c r="F612">
        <v>8</v>
      </c>
      <c r="G612" t="s">
        <v>21</v>
      </c>
      <c r="H612" t="s">
        <v>39</v>
      </c>
      <c r="I612" t="s">
        <v>40</v>
      </c>
      <c r="J612">
        <v>325.45</v>
      </c>
      <c r="K612">
        <v>-2</v>
      </c>
      <c r="L612">
        <v>0</v>
      </c>
      <c r="M612" t="s">
        <v>59</v>
      </c>
      <c r="N612" t="s">
        <v>41</v>
      </c>
      <c r="O612" t="s">
        <v>65</v>
      </c>
      <c r="P612">
        <v>1</v>
      </c>
    </row>
    <row r="613" spans="1:16" x14ac:dyDescent="0.25">
      <c r="A613" t="s">
        <v>1664</v>
      </c>
      <c r="B613" t="s">
        <v>1665</v>
      </c>
      <c r="C613" t="s">
        <v>1666</v>
      </c>
      <c r="D613" t="s">
        <v>117</v>
      </c>
      <c r="E613" t="s">
        <v>20</v>
      </c>
      <c r="F613">
        <v>8</v>
      </c>
      <c r="G613" t="s">
        <v>38</v>
      </c>
      <c r="H613" t="s">
        <v>22</v>
      </c>
      <c r="I613" t="s">
        <v>23</v>
      </c>
      <c r="J613">
        <v>178.77</v>
      </c>
      <c r="K613">
        <v>6</v>
      </c>
      <c r="L613">
        <v>5</v>
      </c>
      <c r="M613" t="s">
        <v>77</v>
      </c>
      <c r="N613" t="s">
        <v>81</v>
      </c>
      <c r="O613" t="s">
        <v>82</v>
      </c>
      <c r="P613">
        <v>2</v>
      </c>
    </row>
    <row r="614" spans="1:16" x14ac:dyDescent="0.25">
      <c r="A614" t="s">
        <v>1667</v>
      </c>
      <c r="B614" t="s">
        <v>1395</v>
      </c>
      <c r="C614" t="s">
        <v>1668</v>
      </c>
      <c r="D614" t="s">
        <v>19</v>
      </c>
      <c r="E614" t="s">
        <v>20</v>
      </c>
      <c r="F614">
        <v>8</v>
      </c>
      <c r="G614" t="s">
        <v>21</v>
      </c>
      <c r="H614" t="s">
        <v>54</v>
      </c>
      <c r="I614" t="s">
        <v>55</v>
      </c>
      <c r="J614">
        <v>277.95</v>
      </c>
      <c r="K614">
        <v>-2</v>
      </c>
      <c r="L614">
        <v>10</v>
      </c>
      <c r="M614" t="s">
        <v>64</v>
      </c>
      <c r="N614" t="s">
        <v>91</v>
      </c>
      <c r="O614" t="s">
        <v>26</v>
      </c>
      <c r="P614">
        <v>4</v>
      </c>
    </row>
    <row r="615" spans="1:16" x14ac:dyDescent="0.25">
      <c r="A615" t="s">
        <v>1669</v>
      </c>
      <c r="B615" t="s">
        <v>725</v>
      </c>
      <c r="C615" t="s">
        <v>1670</v>
      </c>
      <c r="D615" t="s">
        <v>101</v>
      </c>
      <c r="E615" t="s">
        <v>46</v>
      </c>
      <c r="F615">
        <v>130</v>
      </c>
      <c r="G615" t="s">
        <v>86</v>
      </c>
      <c r="H615" t="s">
        <v>87</v>
      </c>
      <c r="I615" t="s">
        <v>49</v>
      </c>
      <c r="J615">
        <v>167.52</v>
      </c>
      <c r="K615">
        <v>6</v>
      </c>
      <c r="L615">
        <v>5</v>
      </c>
      <c r="M615" t="s">
        <v>64</v>
      </c>
      <c r="N615" t="s">
        <v>25</v>
      </c>
      <c r="O615" t="s">
        <v>65</v>
      </c>
      <c r="P615">
        <v>4</v>
      </c>
    </row>
    <row r="616" spans="1:16" x14ac:dyDescent="0.25">
      <c r="A616" t="s">
        <v>1671</v>
      </c>
      <c r="B616" t="s">
        <v>1672</v>
      </c>
      <c r="C616" t="s">
        <v>1673</v>
      </c>
      <c r="D616" t="s">
        <v>45</v>
      </c>
      <c r="E616" t="s">
        <v>20</v>
      </c>
      <c r="F616">
        <v>130</v>
      </c>
      <c r="G616" t="s">
        <v>30</v>
      </c>
      <c r="H616" t="s">
        <v>39</v>
      </c>
      <c r="I616" t="s">
        <v>40</v>
      </c>
      <c r="J616">
        <v>470.53</v>
      </c>
      <c r="K616">
        <v>6</v>
      </c>
      <c r="L616">
        <v>5</v>
      </c>
      <c r="M616" t="s">
        <v>59</v>
      </c>
      <c r="N616" t="s">
        <v>91</v>
      </c>
      <c r="O616" t="s">
        <v>65</v>
      </c>
      <c r="P616">
        <v>2</v>
      </c>
    </row>
    <row r="617" spans="1:16" x14ac:dyDescent="0.25">
      <c r="A617" t="s">
        <v>1674</v>
      </c>
      <c r="B617" t="s">
        <v>1427</v>
      </c>
      <c r="C617" t="s">
        <v>1675</v>
      </c>
      <c r="D617" t="s">
        <v>101</v>
      </c>
      <c r="E617" t="s">
        <v>20</v>
      </c>
      <c r="F617">
        <v>130</v>
      </c>
      <c r="G617" t="s">
        <v>30</v>
      </c>
      <c r="H617" t="s">
        <v>54</v>
      </c>
      <c r="I617" t="s">
        <v>55</v>
      </c>
      <c r="J617">
        <v>147.83000000000001</v>
      </c>
      <c r="K617">
        <v>-2</v>
      </c>
      <c r="L617">
        <v>120</v>
      </c>
      <c r="M617" t="s">
        <v>24</v>
      </c>
      <c r="N617" t="s">
        <v>81</v>
      </c>
      <c r="O617" t="s">
        <v>82</v>
      </c>
    </row>
    <row r="618" spans="1:16" x14ac:dyDescent="0.25">
      <c r="A618" t="s">
        <v>1676</v>
      </c>
      <c r="B618" t="s">
        <v>1633</v>
      </c>
      <c r="C618" t="s">
        <v>1677</v>
      </c>
      <c r="E618" t="s">
        <v>46</v>
      </c>
      <c r="F618">
        <v>8</v>
      </c>
      <c r="G618" t="s">
        <v>53</v>
      </c>
      <c r="H618" t="s">
        <v>48</v>
      </c>
      <c r="I618" t="s">
        <v>49</v>
      </c>
      <c r="J618">
        <v>166.79</v>
      </c>
      <c r="K618">
        <v>5</v>
      </c>
      <c r="L618">
        <v>5</v>
      </c>
      <c r="M618" t="s">
        <v>77</v>
      </c>
      <c r="N618" t="s">
        <v>81</v>
      </c>
      <c r="O618" t="s">
        <v>82</v>
      </c>
      <c r="P618">
        <v>2</v>
      </c>
    </row>
    <row r="619" spans="1:16" x14ac:dyDescent="0.25">
      <c r="A619" t="s">
        <v>1678</v>
      </c>
      <c r="B619" t="s">
        <v>1679</v>
      </c>
      <c r="C619" t="s">
        <v>1680</v>
      </c>
      <c r="D619" t="s">
        <v>69</v>
      </c>
      <c r="E619" t="s">
        <v>46</v>
      </c>
      <c r="F619">
        <v>8</v>
      </c>
      <c r="G619" t="s">
        <v>53</v>
      </c>
      <c r="H619" t="s">
        <v>22</v>
      </c>
      <c r="I619" t="s">
        <v>23</v>
      </c>
      <c r="J619">
        <v>127.89</v>
      </c>
      <c r="K619">
        <v>-2</v>
      </c>
      <c r="L619">
        <v>0</v>
      </c>
      <c r="M619" t="s">
        <v>64</v>
      </c>
      <c r="N619" t="s">
        <v>91</v>
      </c>
      <c r="O619" t="s">
        <v>65</v>
      </c>
    </row>
    <row r="620" spans="1:16" x14ac:dyDescent="0.25">
      <c r="A620" t="s">
        <v>1681</v>
      </c>
      <c r="B620" t="s">
        <v>1682</v>
      </c>
      <c r="C620" t="s">
        <v>1683</v>
      </c>
      <c r="E620" t="s">
        <v>46</v>
      </c>
      <c r="F620">
        <v>8</v>
      </c>
      <c r="G620" t="s">
        <v>21</v>
      </c>
      <c r="H620" t="s">
        <v>39</v>
      </c>
      <c r="I620" t="s">
        <v>40</v>
      </c>
      <c r="J620">
        <v>208.53</v>
      </c>
      <c r="K620">
        <v>5</v>
      </c>
      <c r="L620">
        <v>-10</v>
      </c>
      <c r="M620" t="s">
        <v>64</v>
      </c>
      <c r="N620" t="s">
        <v>25</v>
      </c>
      <c r="O620" t="s">
        <v>26</v>
      </c>
      <c r="P620">
        <v>2</v>
      </c>
    </row>
    <row r="621" spans="1:16" x14ac:dyDescent="0.25">
      <c r="A621" t="s">
        <v>1684</v>
      </c>
      <c r="B621" t="s">
        <v>929</v>
      </c>
      <c r="C621" t="s">
        <v>1685</v>
      </c>
      <c r="D621" t="s">
        <v>37</v>
      </c>
      <c r="E621" t="s">
        <v>20</v>
      </c>
      <c r="F621">
        <v>20</v>
      </c>
      <c r="G621" t="s">
        <v>38</v>
      </c>
      <c r="H621" t="s">
        <v>22</v>
      </c>
      <c r="I621" t="s">
        <v>23</v>
      </c>
      <c r="J621">
        <v>356.56</v>
      </c>
      <c r="K621">
        <v>-2</v>
      </c>
      <c r="L621">
        <v>10</v>
      </c>
      <c r="M621" t="s">
        <v>64</v>
      </c>
      <c r="N621" t="s">
        <v>91</v>
      </c>
      <c r="O621" t="s">
        <v>65</v>
      </c>
      <c r="P621">
        <v>5</v>
      </c>
    </row>
    <row r="622" spans="1:16" x14ac:dyDescent="0.25">
      <c r="A622" t="s">
        <v>1686</v>
      </c>
      <c r="B622" t="s">
        <v>1194</v>
      </c>
      <c r="C622" t="s">
        <v>1687</v>
      </c>
      <c r="D622" t="s">
        <v>69</v>
      </c>
      <c r="E622" t="s">
        <v>46</v>
      </c>
      <c r="F622">
        <v>38</v>
      </c>
      <c r="G622" t="s">
        <v>21</v>
      </c>
      <c r="H622" t="s">
        <v>31</v>
      </c>
      <c r="I622" t="s">
        <v>32</v>
      </c>
      <c r="J622">
        <v>77.540000000000006</v>
      </c>
      <c r="K622">
        <v>6</v>
      </c>
      <c r="L622">
        <v>10</v>
      </c>
      <c r="M622" t="s">
        <v>64</v>
      </c>
      <c r="N622" t="s">
        <v>91</v>
      </c>
      <c r="O622" t="s">
        <v>33</v>
      </c>
      <c r="P622">
        <v>3</v>
      </c>
    </row>
    <row r="623" spans="1:16" x14ac:dyDescent="0.25">
      <c r="A623" t="s">
        <v>1688</v>
      </c>
      <c r="B623" t="s">
        <v>1689</v>
      </c>
      <c r="C623" t="s">
        <v>1690</v>
      </c>
      <c r="D623" t="s">
        <v>101</v>
      </c>
      <c r="E623" t="s">
        <v>46</v>
      </c>
      <c r="F623">
        <v>8</v>
      </c>
      <c r="G623" t="s">
        <v>21</v>
      </c>
      <c r="H623" t="s">
        <v>22</v>
      </c>
      <c r="I623" t="s">
        <v>23</v>
      </c>
      <c r="J623">
        <v>257.81</v>
      </c>
      <c r="K623">
        <v>3</v>
      </c>
      <c r="L623">
        <v>5</v>
      </c>
      <c r="M623" t="s">
        <v>24</v>
      </c>
      <c r="N623" t="s">
        <v>81</v>
      </c>
      <c r="O623" t="s">
        <v>65</v>
      </c>
    </row>
    <row r="624" spans="1:16" x14ac:dyDescent="0.25">
      <c r="A624" t="s">
        <v>1691</v>
      </c>
      <c r="B624" t="s">
        <v>985</v>
      </c>
      <c r="C624" t="s">
        <v>1692</v>
      </c>
      <c r="D624" t="s">
        <v>45</v>
      </c>
      <c r="E624" t="s">
        <v>46</v>
      </c>
      <c r="F624">
        <v>44</v>
      </c>
      <c r="G624" t="s">
        <v>38</v>
      </c>
      <c r="H624" t="s">
        <v>22</v>
      </c>
      <c r="I624" t="s">
        <v>23</v>
      </c>
      <c r="J624">
        <v>201.37</v>
      </c>
      <c r="K624">
        <v>-2</v>
      </c>
      <c r="L624">
        <v>5</v>
      </c>
      <c r="M624" t="s">
        <v>59</v>
      </c>
      <c r="N624" t="s">
        <v>41</v>
      </c>
      <c r="O624" t="s">
        <v>33</v>
      </c>
      <c r="P624">
        <v>3</v>
      </c>
    </row>
    <row r="625" spans="1:16" x14ac:dyDescent="0.25">
      <c r="A625" t="s">
        <v>1693</v>
      </c>
      <c r="B625" t="s">
        <v>887</v>
      </c>
      <c r="C625" t="s">
        <v>1694</v>
      </c>
      <c r="D625" t="s">
        <v>101</v>
      </c>
      <c r="E625" t="s">
        <v>46</v>
      </c>
      <c r="F625">
        <v>8</v>
      </c>
      <c r="G625" t="s">
        <v>70</v>
      </c>
      <c r="H625" t="s">
        <v>22</v>
      </c>
      <c r="I625" t="s">
        <v>23</v>
      </c>
      <c r="J625">
        <v>402.34</v>
      </c>
      <c r="K625">
        <v>4</v>
      </c>
      <c r="L625">
        <v>5</v>
      </c>
      <c r="N625" t="s">
        <v>81</v>
      </c>
      <c r="O625" t="s">
        <v>33</v>
      </c>
      <c r="P625">
        <v>4</v>
      </c>
    </row>
    <row r="626" spans="1:16" x14ac:dyDescent="0.25">
      <c r="A626" t="s">
        <v>1695</v>
      </c>
      <c r="B626" t="s">
        <v>1696</v>
      </c>
      <c r="C626" t="s">
        <v>1697</v>
      </c>
      <c r="D626" t="s">
        <v>37</v>
      </c>
      <c r="E626" t="s">
        <v>20</v>
      </c>
      <c r="F626">
        <v>130</v>
      </c>
      <c r="G626" t="s">
        <v>70</v>
      </c>
      <c r="H626" t="s">
        <v>87</v>
      </c>
      <c r="I626" t="s">
        <v>49</v>
      </c>
      <c r="J626">
        <v>156.51</v>
      </c>
      <c r="K626">
        <v>-2</v>
      </c>
      <c r="L626">
        <v>15</v>
      </c>
      <c r="M626" t="s">
        <v>77</v>
      </c>
      <c r="N626" t="s">
        <v>91</v>
      </c>
      <c r="O626" t="s">
        <v>65</v>
      </c>
    </row>
    <row r="627" spans="1:16" x14ac:dyDescent="0.25">
      <c r="A627" t="s">
        <v>1698</v>
      </c>
      <c r="B627" t="s">
        <v>1699</v>
      </c>
      <c r="C627" t="s">
        <v>1700</v>
      </c>
      <c r="D627" t="s">
        <v>45</v>
      </c>
      <c r="E627" t="s">
        <v>46</v>
      </c>
      <c r="F627">
        <v>54</v>
      </c>
      <c r="G627" t="s">
        <v>47</v>
      </c>
      <c r="H627" t="s">
        <v>31</v>
      </c>
      <c r="I627" t="s">
        <v>32</v>
      </c>
      <c r="J627">
        <v>79.2</v>
      </c>
      <c r="K627">
        <v>10</v>
      </c>
      <c r="L627">
        <v>5</v>
      </c>
      <c r="M627" t="s">
        <v>59</v>
      </c>
      <c r="N627" t="s">
        <v>41</v>
      </c>
      <c r="O627" t="s">
        <v>26</v>
      </c>
      <c r="P627">
        <v>5</v>
      </c>
    </row>
    <row r="628" spans="1:16" x14ac:dyDescent="0.25">
      <c r="A628" t="s">
        <v>1701</v>
      </c>
      <c r="B628" t="s">
        <v>1702</v>
      </c>
      <c r="C628" t="s">
        <v>1703</v>
      </c>
      <c r="D628" t="s">
        <v>19</v>
      </c>
      <c r="E628" t="s">
        <v>46</v>
      </c>
      <c r="F628">
        <v>36</v>
      </c>
      <c r="G628" t="s">
        <v>53</v>
      </c>
      <c r="H628" t="s">
        <v>22</v>
      </c>
      <c r="I628" t="s">
        <v>23</v>
      </c>
      <c r="J628">
        <v>116.58</v>
      </c>
      <c r="K628">
        <v>-2</v>
      </c>
      <c r="L628">
        <v>0</v>
      </c>
      <c r="N628" t="s">
        <v>81</v>
      </c>
      <c r="O628" t="s">
        <v>26</v>
      </c>
      <c r="P628">
        <v>4</v>
      </c>
    </row>
    <row r="629" spans="1:16" x14ac:dyDescent="0.25">
      <c r="A629" t="s">
        <v>1704</v>
      </c>
      <c r="B629" t="s">
        <v>1705</v>
      </c>
      <c r="C629" t="s">
        <v>1706</v>
      </c>
      <c r="D629" t="s">
        <v>69</v>
      </c>
      <c r="E629" t="s">
        <v>46</v>
      </c>
      <c r="F629">
        <v>8</v>
      </c>
      <c r="G629" t="s">
        <v>70</v>
      </c>
      <c r="H629" t="s">
        <v>87</v>
      </c>
      <c r="I629" t="s">
        <v>49</v>
      </c>
      <c r="J629">
        <v>106.48</v>
      </c>
      <c r="K629">
        <v>-2</v>
      </c>
      <c r="L629">
        <v>5</v>
      </c>
      <c r="M629" t="s">
        <v>77</v>
      </c>
      <c r="N629" t="s">
        <v>41</v>
      </c>
      <c r="O629" t="s">
        <v>26</v>
      </c>
    </row>
    <row r="630" spans="1:16" x14ac:dyDescent="0.25">
      <c r="A630" t="s">
        <v>1707</v>
      </c>
      <c r="B630" t="s">
        <v>1708</v>
      </c>
      <c r="C630" t="s">
        <v>1709</v>
      </c>
      <c r="D630" t="s">
        <v>117</v>
      </c>
      <c r="E630" t="s">
        <v>46</v>
      </c>
      <c r="F630">
        <v>8</v>
      </c>
      <c r="G630" t="s">
        <v>86</v>
      </c>
      <c r="H630" t="s">
        <v>54</v>
      </c>
      <c r="I630" t="s">
        <v>55</v>
      </c>
      <c r="J630">
        <v>106.25</v>
      </c>
      <c r="K630">
        <v>-2</v>
      </c>
      <c r="L630">
        <v>10</v>
      </c>
      <c r="M630" t="s">
        <v>77</v>
      </c>
      <c r="N630" t="s">
        <v>25</v>
      </c>
      <c r="O630" t="s">
        <v>26</v>
      </c>
      <c r="P630">
        <v>2</v>
      </c>
    </row>
    <row r="631" spans="1:16" x14ac:dyDescent="0.25">
      <c r="A631" t="s">
        <v>1710</v>
      </c>
      <c r="B631" t="s">
        <v>771</v>
      </c>
      <c r="C631" t="s">
        <v>922</v>
      </c>
      <c r="D631" t="s">
        <v>101</v>
      </c>
      <c r="E631" t="s">
        <v>46</v>
      </c>
      <c r="F631">
        <v>130</v>
      </c>
      <c r="G631" t="s">
        <v>70</v>
      </c>
      <c r="H631" t="s">
        <v>31</v>
      </c>
      <c r="I631" t="s">
        <v>32</v>
      </c>
      <c r="J631">
        <v>390.88</v>
      </c>
      <c r="K631">
        <v>-2</v>
      </c>
      <c r="L631">
        <v>10</v>
      </c>
      <c r="M631" t="s">
        <v>77</v>
      </c>
      <c r="N631" t="s">
        <v>91</v>
      </c>
      <c r="O631" t="s">
        <v>82</v>
      </c>
    </row>
    <row r="632" spans="1:16" x14ac:dyDescent="0.25">
      <c r="A632" t="s">
        <v>1711</v>
      </c>
      <c r="B632" t="s">
        <v>1295</v>
      </c>
      <c r="C632" t="s">
        <v>1712</v>
      </c>
      <c r="D632" t="s">
        <v>37</v>
      </c>
      <c r="E632" t="s">
        <v>46</v>
      </c>
      <c r="F632">
        <v>8</v>
      </c>
      <c r="G632" t="s">
        <v>21</v>
      </c>
      <c r="H632" t="s">
        <v>87</v>
      </c>
      <c r="I632" t="s">
        <v>49</v>
      </c>
      <c r="J632">
        <v>61.26</v>
      </c>
      <c r="K632">
        <v>-2</v>
      </c>
      <c r="L632">
        <v>10</v>
      </c>
      <c r="M632" t="s">
        <v>64</v>
      </c>
      <c r="N632" t="s">
        <v>25</v>
      </c>
      <c r="O632" t="s">
        <v>33</v>
      </c>
      <c r="P632">
        <v>1</v>
      </c>
    </row>
    <row r="633" spans="1:16" x14ac:dyDescent="0.25">
      <c r="A633" t="s">
        <v>1713</v>
      </c>
      <c r="B633" t="s">
        <v>1714</v>
      </c>
      <c r="C633" t="s">
        <v>1715</v>
      </c>
      <c r="D633" t="s">
        <v>19</v>
      </c>
      <c r="E633" t="s">
        <v>20</v>
      </c>
      <c r="F633">
        <v>41</v>
      </c>
      <c r="G633" t="s">
        <v>38</v>
      </c>
      <c r="H633" t="s">
        <v>39</v>
      </c>
      <c r="I633" t="s">
        <v>40</v>
      </c>
      <c r="J633">
        <v>83.5</v>
      </c>
      <c r="K633">
        <v>5</v>
      </c>
      <c r="L633">
        <v>5</v>
      </c>
      <c r="M633" t="s">
        <v>77</v>
      </c>
      <c r="N633" t="s">
        <v>81</v>
      </c>
      <c r="O633" t="s">
        <v>26</v>
      </c>
      <c r="P633">
        <v>4</v>
      </c>
    </row>
    <row r="634" spans="1:16" x14ac:dyDescent="0.25">
      <c r="A634" t="s">
        <v>1716</v>
      </c>
      <c r="B634" t="s">
        <v>1717</v>
      </c>
      <c r="C634" t="s">
        <v>1718</v>
      </c>
      <c r="D634" t="s">
        <v>37</v>
      </c>
      <c r="E634" t="s">
        <v>46</v>
      </c>
      <c r="F634">
        <v>43</v>
      </c>
      <c r="G634" t="s">
        <v>38</v>
      </c>
      <c r="H634" t="s">
        <v>87</v>
      </c>
      <c r="I634" t="s">
        <v>49</v>
      </c>
      <c r="J634">
        <v>15.24</v>
      </c>
      <c r="K634">
        <v>-2</v>
      </c>
      <c r="L634">
        <v>10</v>
      </c>
      <c r="M634" t="s">
        <v>24</v>
      </c>
      <c r="N634" t="s">
        <v>41</v>
      </c>
      <c r="O634" t="s">
        <v>33</v>
      </c>
      <c r="P634">
        <v>4</v>
      </c>
    </row>
    <row r="635" spans="1:16" x14ac:dyDescent="0.25">
      <c r="A635" t="s">
        <v>1719</v>
      </c>
      <c r="B635" t="s">
        <v>35</v>
      </c>
      <c r="C635" t="s">
        <v>1720</v>
      </c>
      <c r="D635" t="s">
        <v>37</v>
      </c>
      <c r="E635" t="s">
        <v>46</v>
      </c>
      <c r="F635">
        <v>130</v>
      </c>
      <c r="G635" t="s">
        <v>53</v>
      </c>
      <c r="H635" t="s">
        <v>39</v>
      </c>
      <c r="I635" t="s">
        <v>40</v>
      </c>
      <c r="J635">
        <v>304.64</v>
      </c>
      <c r="K635">
        <v>7</v>
      </c>
      <c r="L635">
        <v>120</v>
      </c>
      <c r="M635" t="s">
        <v>77</v>
      </c>
      <c r="N635" t="s">
        <v>41</v>
      </c>
      <c r="O635" t="s">
        <v>65</v>
      </c>
      <c r="P635">
        <v>2</v>
      </c>
    </row>
    <row r="636" spans="1:16" x14ac:dyDescent="0.25">
      <c r="A636" t="s">
        <v>1721</v>
      </c>
      <c r="B636" t="s">
        <v>1722</v>
      </c>
      <c r="C636" t="s">
        <v>1723</v>
      </c>
      <c r="E636" t="s">
        <v>20</v>
      </c>
      <c r="F636">
        <v>46</v>
      </c>
      <c r="G636" t="s">
        <v>86</v>
      </c>
      <c r="H636" t="s">
        <v>121</v>
      </c>
      <c r="I636" t="s">
        <v>122</v>
      </c>
      <c r="J636">
        <v>440.64</v>
      </c>
      <c r="K636">
        <v>-2</v>
      </c>
      <c r="L636">
        <v>0</v>
      </c>
      <c r="M636" t="s">
        <v>24</v>
      </c>
      <c r="N636" t="s">
        <v>25</v>
      </c>
      <c r="O636" t="s">
        <v>26</v>
      </c>
    </row>
    <row r="637" spans="1:16" x14ac:dyDescent="0.25">
      <c r="A637" t="s">
        <v>1724</v>
      </c>
      <c r="B637" t="s">
        <v>1725</v>
      </c>
      <c r="C637" t="s">
        <v>1726</v>
      </c>
      <c r="D637" t="s">
        <v>19</v>
      </c>
      <c r="E637" t="s">
        <v>46</v>
      </c>
      <c r="F637">
        <v>8</v>
      </c>
      <c r="G637" t="s">
        <v>21</v>
      </c>
      <c r="H637" t="s">
        <v>22</v>
      </c>
      <c r="I637" t="s">
        <v>23</v>
      </c>
      <c r="J637">
        <v>458.86</v>
      </c>
      <c r="K637">
        <v>5</v>
      </c>
      <c r="L637">
        <v>-10</v>
      </c>
      <c r="M637" t="s">
        <v>24</v>
      </c>
      <c r="N637" t="s">
        <v>25</v>
      </c>
      <c r="O637" t="s">
        <v>82</v>
      </c>
      <c r="P637">
        <v>3</v>
      </c>
    </row>
    <row r="638" spans="1:16" x14ac:dyDescent="0.25">
      <c r="A638" t="s">
        <v>1727</v>
      </c>
      <c r="B638" t="s">
        <v>282</v>
      </c>
      <c r="C638" t="s">
        <v>145</v>
      </c>
      <c r="D638" t="s">
        <v>37</v>
      </c>
      <c r="E638" t="s">
        <v>46</v>
      </c>
      <c r="F638">
        <v>8</v>
      </c>
      <c r="G638" t="s">
        <v>21</v>
      </c>
      <c r="H638" t="s">
        <v>121</v>
      </c>
      <c r="I638" t="s">
        <v>122</v>
      </c>
      <c r="J638">
        <v>487.6</v>
      </c>
      <c r="K638">
        <v>1</v>
      </c>
      <c r="L638">
        <v>15</v>
      </c>
      <c r="M638" t="s">
        <v>24</v>
      </c>
      <c r="N638" t="s">
        <v>81</v>
      </c>
      <c r="O638" t="s">
        <v>65</v>
      </c>
      <c r="P638">
        <v>4</v>
      </c>
    </row>
    <row r="639" spans="1:16" x14ac:dyDescent="0.25">
      <c r="A639" t="s">
        <v>1728</v>
      </c>
      <c r="B639" t="s">
        <v>1729</v>
      </c>
      <c r="C639" t="s">
        <v>1730</v>
      </c>
      <c r="E639" t="s">
        <v>20</v>
      </c>
      <c r="F639">
        <v>57</v>
      </c>
      <c r="G639" t="s">
        <v>86</v>
      </c>
      <c r="H639" t="s">
        <v>121</v>
      </c>
      <c r="I639" t="s">
        <v>122</v>
      </c>
      <c r="J639">
        <v>166.06</v>
      </c>
      <c r="K639">
        <v>-2</v>
      </c>
      <c r="L639">
        <v>5</v>
      </c>
      <c r="M639" t="s">
        <v>77</v>
      </c>
      <c r="N639" t="s">
        <v>25</v>
      </c>
      <c r="O639" t="s">
        <v>33</v>
      </c>
      <c r="P639">
        <v>3</v>
      </c>
    </row>
    <row r="640" spans="1:16" x14ac:dyDescent="0.25">
      <c r="A640" t="s">
        <v>1731</v>
      </c>
      <c r="B640" t="s">
        <v>1628</v>
      </c>
      <c r="C640" t="s">
        <v>1732</v>
      </c>
      <c r="D640" t="s">
        <v>63</v>
      </c>
      <c r="E640" t="s">
        <v>46</v>
      </c>
      <c r="F640">
        <v>130</v>
      </c>
      <c r="G640" t="s">
        <v>30</v>
      </c>
      <c r="H640" t="s">
        <v>39</v>
      </c>
      <c r="I640" t="s">
        <v>40</v>
      </c>
      <c r="J640">
        <v>493.5</v>
      </c>
      <c r="K640">
        <v>-2</v>
      </c>
      <c r="L640">
        <v>-10</v>
      </c>
      <c r="N640" t="s">
        <v>41</v>
      </c>
      <c r="O640" t="s">
        <v>65</v>
      </c>
    </row>
    <row r="641" spans="1:16" x14ac:dyDescent="0.25">
      <c r="A641" t="s">
        <v>1733</v>
      </c>
      <c r="B641" t="s">
        <v>1607</v>
      </c>
      <c r="C641" t="s">
        <v>1734</v>
      </c>
      <c r="D641" t="s">
        <v>101</v>
      </c>
      <c r="E641" t="s">
        <v>46</v>
      </c>
      <c r="F641">
        <v>130</v>
      </c>
      <c r="G641" t="s">
        <v>86</v>
      </c>
      <c r="H641" t="s">
        <v>31</v>
      </c>
      <c r="I641" t="s">
        <v>32</v>
      </c>
      <c r="J641">
        <v>428.14</v>
      </c>
      <c r="K641">
        <v>10</v>
      </c>
      <c r="L641">
        <v>5</v>
      </c>
      <c r="M641" t="s">
        <v>59</v>
      </c>
      <c r="N641" t="s">
        <v>81</v>
      </c>
      <c r="O641" t="s">
        <v>26</v>
      </c>
      <c r="P641">
        <v>2</v>
      </c>
    </row>
    <row r="642" spans="1:16" x14ac:dyDescent="0.25">
      <c r="A642" t="s">
        <v>1735</v>
      </c>
      <c r="B642" t="s">
        <v>43</v>
      </c>
      <c r="C642" t="s">
        <v>1736</v>
      </c>
      <c r="D642" t="s">
        <v>19</v>
      </c>
      <c r="E642" t="s">
        <v>46</v>
      </c>
      <c r="F642">
        <v>130</v>
      </c>
      <c r="G642" t="s">
        <v>38</v>
      </c>
      <c r="H642" t="s">
        <v>48</v>
      </c>
      <c r="I642" t="s">
        <v>49</v>
      </c>
      <c r="J642">
        <v>445.63</v>
      </c>
      <c r="K642">
        <v>-2</v>
      </c>
      <c r="L642">
        <v>5</v>
      </c>
      <c r="M642" t="s">
        <v>24</v>
      </c>
      <c r="N642" t="s">
        <v>81</v>
      </c>
      <c r="O642" t="s">
        <v>33</v>
      </c>
      <c r="P642">
        <v>5</v>
      </c>
    </row>
    <row r="643" spans="1:16" x14ac:dyDescent="0.25">
      <c r="A643" t="s">
        <v>1737</v>
      </c>
      <c r="B643" t="s">
        <v>1486</v>
      </c>
      <c r="C643" t="s">
        <v>1738</v>
      </c>
      <c r="D643" t="s">
        <v>19</v>
      </c>
      <c r="E643" t="s">
        <v>46</v>
      </c>
      <c r="F643">
        <v>130</v>
      </c>
      <c r="G643" t="s">
        <v>47</v>
      </c>
      <c r="H643" t="s">
        <v>22</v>
      </c>
      <c r="I643" t="s">
        <v>23</v>
      </c>
      <c r="J643">
        <v>141.63999999999999</v>
      </c>
      <c r="K643">
        <v>-2</v>
      </c>
      <c r="L643">
        <v>0</v>
      </c>
      <c r="M643" t="s">
        <v>59</v>
      </c>
      <c r="N643" t="s">
        <v>25</v>
      </c>
      <c r="O643" t="s">
        <v>82</v>
      </c>
    </row>
    <row r="644" spans="1:16" x14ac:dyDescent="0.25">
      <c r="A644" t="s">
        <v>1739</v>
      </c>
      <c r="B644" t="s">
        <v>1740</v>
      </c>
      <c r="C644" t="s">
        <v>1741</v>
      </c>
      <c r="D644" t="s">
        <v>117</v>
      </c>
      <c r="E644" t="s">
        <v>46</v>
      </c>
      <c r="F644">
        <v>8</v>
      </c>
      <c r="G644" t="s">
        <v>21</v>
      </c>
      <c r="H644" t="s">
        <v>87</v>
      </c>
      <c r="I644" t="s">
        <v>49</v>
      </c>
      <c r="J644">
        <v>429.31</v>
      </c>
      <c r="K644">
        <v>-2</v>
      </c>
      <c r="L644">
        <v>10</v>
      </c>
      <c r="M644" t="s">
        <v>59</v>
      </c>
      <c r="N644" t="s">
        <v>81</v>
      </c>
      <c r="O644" t="s">
        <v>65</v>
      </c>
    </row>
    <row r="645" spans="1:16" x14ac:dyDescent="0.25">
      <c r="A645" t="s">
        <v>1742</v>
      </c>
      <c r="B645" t="s">
        <v>1743</v>
      </c>
      <c r="C645" t="s">
        <v>1744</v>
      </c>
      <c r="D645" t="s">
        <v>45</v>
      </c>
      <c r="E645" t="s">
        <v>20</v>
      </c>
      <c r="F645">
        <v>40</v>
      </c>
      <c r="G645" t="s">
        <v>38</v>
      </c>
      <c r="H645" t="s">
        <v>31</v>
      </c>
      <c r="I645" t="s">
        <v>32</v>
      </c>
      <c r="J645">
        <v>391.5</v>
      </c>
      <c r="K645">
        <v>-2</v>
      </c>
      <c r="L645">
        <v>0</v>
      </c>
      <c r="M645" t="s">
        <v>64</v>
      </c>
      <c r="N645" t="s">
        <v>91</v>
      </c>
      <c r="O645" t="s">
        <v>65</v>
      </c>
    </row>
    <row r="646" spans="1:16" x14ac:dyDescent="0.25">
      <c r="A646" t="s">
        <v>1745</v>
      </c>
      <c r="B646" t="s">
        <v>1746</v>
      </c>
      <c r="C646" t="s">
        <v>1747</v>
      </c>
      <c r="D646" t="s">
        <v>117</v>
      </c>
      <c r="E646" t="s">
        <v>20</v>
      </c>
      <c r="F646">
        <v>130</v>
      </c>
      <c r="G646" t="s">
        <v>53</v>
      </c>
      <c r="H646" t="s">
        <v>31</v>
      </c>
      <c r="I646" t="s">
        <v>32</v>
      </c>
      <c r="J646">
        <v>57.66</v>
      </c>
      <c r="K646">
        <v>-2</v>
      </c>
      <c r="L646">
        <v>10</v>
      </c>
      <c r="N646" t="s">
        <v>25</v>
      </c>
      <c r="O646" t="s">
        <v>33</v>
      </c>
      <c r="P646">
        <v>2</v>
      </c>
    </row>
    <row r="647" spans="1:16" x14ac:dyDescent="0.25">
      <c r="A647" t="s">
        <v>1748</v>
      </c>
      <c r="B647" t="s">
        <v>1117</v>
      </c>
      <c r="C647" t="s">
        <v>1749</v>
      </c>
      <c r="D647" t="s">
        <v>117</v>
      </c>
      <c r="E647" t="s">
        <v>20</v>
      </c>
      <c r="F647">
        <v>19</v>
      </c>
      <c r="G647" t="s">
        <v>70</v>
      </c>
      <c r="H647" t="s">
        <v>48</v>
      </c>
      <c r="I647" t="s">
        <v>49</v>
      </c>
      <c r="J647">
        <v>69.73</v>
      </c>
      <c r="K647">
        <v>-2</v>
      </c>
      <c r="L647">
        <v>10</v>
      </c>
      <c r="N647" t="s">
        <v>25</v>
      </c>
      <c r="O647" t="s">
        <v>33</v>
      </c>
      <c r="P647">
        <v>2</v>
      </c>
    </row>
    <row r="648" spans="1:16" x14ac:dyDescent="0.25">
      <c r="A648" t="s">
        <v>1750</v>
      </c>
      <c r="B648" t="s">
        <v>158</v>
      </c>
      <c r="C648" t="s">
        <v>1751</v>
      </c>
      <c r="D648" t="s">
        <v>45</v>
      </c>
      <c r="E648" t="s">
        <v>46</v>
      </c>
      <c r="F648">
        <v>130</v>
      </c>
      <c r="G648" t="s">
        <v>53</v>
      </c>
      <c r="H648" t="s">
        <v>39</v>
      </c>
      <c r="I648" t="s">
        <v>40</v>
      </c>
      <c r="J648">
        <v>355.09</v>
      </c>
      <c r="K648">
        <v>-2</v>
      </c>
      <c r="L648">
        <v>-10</v>
      </c>
      <c r="M648" t="s">
        <v>24</v>
      </c>
      <c r="N648" t="s">
        <v>91</v>
      </c>
      <c r="O648" t="s">
        <v>65</v>
      </c>
      <c r="P648">
        <v>3</v>
      </c>
    </row>
    <row r="649" spans="1:16" x14ac:dyDescent="0.25">
      <c r="A649" t="s">
        <v>1752</v>
      </c>
      <c r="B649" t="s">
        <v>841</v>
      </c>
      <c r="C649" t="s">
        <v>1753</v>
      </c>
      <c r="D649" t="s">
        <v>69</v>
      </c>
      <c r="E649" t="s">
        <v>20</v>
      </c>
      <c r="F649">
        <v>55</v>
      </c>
      <c r="G649" t="s">
        <v>86</v>
      </c>
      <c r="H649" t="s">
        <v>48</v>
      </c>
      <c r="I649" t="s">
        <v>49</v>
      </c>
      <c r="J649">
        <v>410.99</v>
      </c>
      <c r="K649">
        <v>3</v>
      </c>
      <c r="L649">
        <v>-10</v>
      </c>
      <c r="N649" t="s">
        <v>25</v>
      </c>
      <c r="O649" t="s">
        <v>82</v>
      </c>
      <c r="P649">
        <v>5</v>
      </c>
    </row>
    <row r="650" spans="1:16" x14ac:dyDescent="0.25">
      <c r="A650" t="s">
        <v>1754</v>
      </c>
      <c r="B650" t="s">
        <v>752</v>
      </c>
      <c r="C650" t="s">
        <v>720</v>
      </c>
      <c r="D650" t="s">
        <v>37</v>
      </c>
      <c r="E650" t="s">
        <v>46</v>
      </c>
      <c r="F650">
        <v>130</v>
      </c>
      <c r="G650" t="s">
        <v>21</v>
      </c>
      <c r="H650" t="s">
        <v>87</v>
      </c>
      <c r="I650" t="s">
        <v>49</v>
      </c>
      <c r="J650">
        <v>410.13</v>
      </c>
      <c r="K650">
        <v>-2</v>
      </c>
      <c r="L650">
        <v>10</v>
      </c>
      <c r="M650" t="s">
        <v>59</v>
      </c>
      <c r="N650" t="s">
        <v>81</v>
      </c>
      <c r="O650" t="s">
        <v>82</v>
      </c>
    </row>
    <row r="651" spans="1:16" x14ac:dyDescent="0.25">
      <c r="A651" t="s">
        <v>1755</v>
      </c>
      <c r="B651" t="s">
        <v>1756</v>
      </c>
      <c r="C651" t="s">
        <v>1757</v>
      </c>
      <c r="D651" t="s">
        <v>69</v>
      </c>
      <c r="E651" t="s">
        <v>20</v>
      </c>
      <c r="F651">
        <v>8</v>
      </c>
      <c r="G651" t="s">
        <v>47</v>
      </c>
      <c r="H651" t="s">
        <v>54</v>
      </c>
      <c r="I651" t="s">
        <v>55</v>
      </c>
      <c r="J651">
        <v>349.19</v>
      </c>
      <c r="K651">
        <v>6</v>
      </c>
      <c r="L651">
        <v>120</v>
      </c>
      <c r="M651" t="s">
        <v>77</v>
      </c>
      <c r="N651" t="s">
        <v>25</v>
      </c>
      <c r="O651" t="s">
        <v>26</v>
      </c>
      <c r="P651">
        <v>2</v>
      </c>
    </row>
    <row r="652" spans="1:16" x14ac:dyDescent="0.25">
      <c r="A652" t="s">
        <v>1758</v>
      </c>
      <c r="B652" t="s">
        <v>1759</v>
      </c>
      <c r="C652" t="s">
        <v>1760</v>
      </c>
      <c r="D652" t="s">
        <v>45</v>
      </c>
      <c r="E652" t="s">
        <v>46</v>
      </c>
      <c r="F652">
        <v>60</v>
      </c>
      <c r="G652" t="s">
        <v>86</v>
      </c>
      <c r="H652" t="s">
        <v>39</v>
      </c>
      <c r="I652" t="s">
        <v>40</v>
      </c>
      <c r="J652">
        <v>394.92</v>
      </c>
      <c r="K652">
        <v>-2</v>
      </c>
      <c r="L652">
        <v>10</v>
      </c>
      <c r="M652" t="s">
        <v>59</v>
      </c>
      <c r="N652" t="s">
        <v>41</v>
      </c>
      <c r="O652" t="s">
        <v>26</v>
      </c>
      <c r="P652">
        <v>2</v>
      </c>
    </row>
    <row r="653" spans="1:16" x14ac:dyDescent="0.25">
      <c r="A653" t="s">
        <v>1761</v>
      </c>
      <c r="B653" t="s">
        <v>1762</v>
      </c>
      <c r="C653" t="s">
        <v>1763</v>
      </c>
      <c r="D653" t="s">
        <v>101</v>
      </c>
      <c r="E653" t="s">
        <v>46</v>
      </c>
      <c r="F653">
        <v>8</v>
      </c>
      <c r="G653" t="s">
        <v>38</v>
      </c>
      <c r="H653" t="s">
        <v>39</v>
      </c>
      <c r="I653" t="s">
        <v>40</v>
      </c>
      <c r="J653">
        <v>125.08</v>
      </c>
      <c r="K653">
        <v>2</v>
      </c>
      <c r="L653">
        <v>5</v>
      </c>
      <c r="M653" t="s">
        <v>59</v>
      </c>
      <c r="N653" t="s">
        <v>91</v>
      </c>
      <c r="O653" t="s">
        <v>82</v>
      </c>
      <c r="P653">
        <v>5</v>
      </c>
    </row>
    <row r="654" spans="1:16" x14ac:dyDescent="0.25">
      <c r="A654" t="s">
        <v>1764</v>
      </c>
      <c r="B654" t="s">
        <v>1765</v>
      </c>
      <c r="C654" t="s">
        <v>1766</v>
      </c>
      <c r="D654" t="s">
        <v>63</v>
      </c>
      <c r="E654" t="s">
        <v>46</v>
      </c>
      <c r="F654">
        <v>130</v>
      </c>
      <c r="G654" t="s">
        <v>30</v>
      </c>
      <c r="H654" t="s">
        <v>39</v>
      </c>
      <c r="I654" t="s">
        <v>40</v>
      </c>
      <c r="J654">
        <v>189.1</v>
      </c>
      <c r="K654">
        <v>-2</v>
      </c>
      <c r="L654">
        <v>120</v>
      </c>
      <c r="M654" t="s">
        <v>59</v>
      </c>
      <c r="N654" t="s">
        <v>81</v>
      </c>
      <c r="O654" t="s">
        <v>26</v>
      </c>
      <c r="P654">
        <v>2</v>
      </c>
    </row>
    <row r="655" spans="1:16" x14ac:dyDescent="0.25">
      <c r="A655" t="s">
        <v>1767</v>
      </c>
      <c r="B655" t="s">
        <v>1768</v>
      </c>
      <c r="C655" t="s">
        <v>1769</v>
      </c>
      <c r="D655" t="s">
        <v>19</v>
      </c>
      <c r="E655" t="s">
        <v>46</v>
      </c>
      <c r="F655">
        <v>130</v>
      </c>
      <c r="G655" t="s">
        <v>86</v>
      </c>
      <c r="H655" t="s">
        <v>31</v>
      </c>
      <c r="I655" t="s">
        <v>32</v>
      </c>
      <c r="J655">
        <v>237.14</v>
      </c>
      <c r="K655">
        <v>9</v>
      </c>
      <c r="L655">
        <v>-10</v>
      </c>
      <c r="M655" t="s">
        <v>77</v>
      </c>
      <c r="N655" t="s">
        <v>25</v>
      </c>
      <c r="O655" t="s">
        <v>26</v>
      </c>
      <c r="P655">
        <v>3</v>
      </c>
    </row>
    <row r="656" spans="1:16" x14ac:dyDescent="0.25">
      <c r="A656" t="s">
        <v>1770</v>
      </c>
      <c r="B656" t="s">
        <v>1061</v>
      </c>
      <c r="C656" t="s">
        <v>1771</v>
      </c>
      <c r="E656" t="s">
        <v>20</v>
      </c>
      <c r="F656">
        <v>130</v>
      </c>
      <c r="G656" t="s">
        <v>53</v>
      </c>
      <c r="H656" t="s">
        <v>39</v>
      </c>
      <c r="I656" t="s">
        <v>40</v>
      </c>
      <c r="J656">
        <v>192.42</v>
      </c>
      <c r="K656">
        <v>-2</v>
      </c>
      <c r="L656">
        <v>5</v>
      </c>
      <c r="M656" t="s">
        <v>64</v>
      </c>
      <c r="N656" t="s">
        <v>41</v>
      </c>
      <c r="O656" t="s">
        <v>82</v>
      </c>
      <c r="P656">
        <v>1</v>
      </c>
    </row>
    <row r="657" spans="1:16" x14ac:dyDescent="0.25">
      <c r="A657" t="s">
        <v>1772</v>
      </c>
      <c r="B657" t="s">
        <v>1773</v>
      </c>
      <c r="C657" t="s">
        <v>1774</v>
      </c>
      <c r="D657" t="s">
        <v>19</v>
      </c>
      <c r="E657" t="s">
        <v>20</v>
      </c>
      <c r="F657">
        <v>130</v>
      </c>
      <c r="G657" t="s">
        <v>86</v>
      </c>
      <c r="H657" t="s">
        <v>87</v>
      </c>
      <c r="I657" t="s">
        <v>49</v>
      </c>
      <c r="J657">
        <v>296.12</v>
      </c>
      <c r="K657">
        <v>7</v>
      </c>
      <c r="L657">
        <v>15</v>
      </c>
      <c r="N657" t="s">
        <v>41</v>
      </c>
      <c r="O657" t="s">
        <v>82</v>
      </c>
      <c r="P657">
        <v>1</v>
      </c>
    </row>
    <row r="658" spans="1:16" x14ac:dyDescent="0.25">
      <c r="A658" t="s">
        <v>1775</v>
      </c>
      <c r="B658" t="s">
        <v>1776</v>
      </c>
      <c r="C658" t="s">
        <v>1777</v>
      </c>
      <c r="D658" t="s">
        <v>69</v>
      </c>
      <c r="E658" t="s">
        <v>20</v>
      </c>
      <c r="F658">
        <v>130</v>
      </c>
      <c r="G658" t="s">
        <v>21</v>
      </c>
      <c r="H658" t="s">
        <v>121</v>
      </c>
      <c r="I658" t="s">
        <v>122</v>
      </c>
      <c r="J658">
        <v>273.82</v>
      </c>
      <c r="K658">
        <v>1</v>
      </c>
      <c r="L658">
        <v>10</v>
      </c>
      <c r="M658" t="s">
        <v>24</v>
      </c>
      <c r="N658" t="s">
        <v>81</v>
      </c>
      <c r="O658" t="s">
        <v>26</v>
      </c>
      <c r="P658">
        <v>5</v>
      </c>
    </row>
    <row r="659" spans="1:16" x14ac:dyDescent="0.25">
      <c r="A659" t="s">
        <v>1778</v>
      </c>
      <c r="B659" t="s">
        <v>1779</v>
      </c>
      <c r="C659" t="s">
        <v>1035</v>
      </c>
      <c r="D659" t="s">
        <v>37</v>
      </c>
      <c r="E659" t="s">
        <v>20</v>
      </c>
      <c r="F659">
        <v>8</v>
      </c>
      <c r="G659" t="s">
        <v>53</v>
      </c>
      <c r="H659" t="s">
        <v>121</v>
      </c>
      <c r="I659" t="s">
        <v>122</v>
      </c>
      <c r="J659">
        <v>169.03</v>
      </c>
      <c r="K659">
        <v>7</v>
      </c>
      <c r="L659">
        <v>10</v>
      </c>
      <c r="M659" t="s">
        <v>24</v>
      </c>
      <c r="N659" t="s">
        <v>91</v>
      </c>
      <c r="O659" t="s">
        <v>26</v>
      </c>
      <c r="P659">
        <v>1</v>
      </c>
    </row>
    <row r="660" spans="1:16" x14ac:dyDescent="0.25">
      <c r="A660" t="s">
        <v>1780</v>
      </c>
      <c r="B660" t="s">
        <v>1398</v>
      </c>
      <c r="C660" t="s">
        <v>1781</v>
      </c>
      <c r="D660" t="s">
        <v>101</v>
      </c>
      <c r="E660" t="s">
        <v>46</v>
      </c>
      <c r="F660">
        <v>130</v>
      </c>
      <c r="G660" t="s">
        <v>86</v>
      </c>
      <c r="H660" t="s">
        <v>31</v>
      </c>
      <c r="I660" t="s">
        <v>32</v>
      </c>
      <c r="J660">
        <v>106.03</v>
      </c>
      <c r="K660">
        <v>-2</v>
      </c>
      <c r="L660">
        <v>-10</v>
      </c>
      <c r="M660" t="s">
        <v>77</v>
      </c>
      <c r="N660" t="s">
        <v>91</v>
      </c>
      <c r="O660" t="s">
        <v>65</v>
      </c>
      <c r="P660">
        <v>2</v>
      </c>
    </row>
    <row r="661" spans="1:16" x14ac:dyDescent="0.25">
      <c r="A661" t="s">
        <v>1782</v>
      </c>
      <c r="B661" t="s">
        <v>1783</v>
      </c>
      <c r="C661" t="s">
        <v>1784</v>
      </c>
      <c r="D661" t="s">
        <v>101</v>
      </c>
      <c r="E661" t="s">
        <v>46</v>
      </c>
      <c r="F661">
        <v>130</v>
      </c>
      <c r="G661" t="s">
        <v>86</v>
      </c>
      <c r="H661" t="s">
        <v>22</v>
      </c>
      <c r="I661" t="s">
        <v>23</v>
      </c>
      <c r="J661">
        <v>249.72</v>
      </c>
      <c r="K661">
        <v>-2</v>
      </c>
      <c r="L661">
        <v>5</v>
      </c>
      <c r="N661" t="s">
        <v>25</v>
      </c>
      <c r="O661" t="s">
        <v>65</v>
      </c>
      <c r="P661">
        <v>3</v>
      </c>
    </row>
    <row r="662" spans="1:16" x14ac:dyDescent="0.25">
      <c r="A662" t="s">
        <v>1785</v>
      </c>
      <c r="B662" t="s">
        <v>1786</v>
      </c>
      <c r="C662" t="s">
        <v>1787</v>
      </c>
      <c r="D662" t="s">
        <v>45</v>
      </c>
      <c r="E662" t="s">
        <v>20</v>
      </c>
      <c r="F662">
        <v>8</v>
      </c>
      <c r="G662" t="s">
        <v>47</v>
      </c>
      <c r="H662" t="s">
        <v>121</v>
      </c>
      <c r="I662" t="s">
        <v>122</v>
      </c>
      <c r="J662">
        <v>14.14</v>
      </c>
      <c r="K662">
        <v>1</v>
      </c>
      <c r="L662">
        <v>10</v>
      </c>
      <c r="M662" t="s">
        <v>59</v>
      </c>
      <c r="N662" t="s">
        <v>41</v>
      </c>
      <c r="O662" t="s">
        <v>65</v>
      </c>
      <c r="P662">
        <v>3</v>
      </c>
    </row>
    <row r="663" spans="1:16" x14ac:dyDescent="0.25">
      <c r="A663" t="s">
        <v>1788</v>
      </c>
      <c r="B663" t="s">
        <v>1789</v>
      </c>
      <c r="C663" t="s">
        <v>1790</v>
      </c>
      <c r="D663" t="s">
        <v>19</v>
      </c>
      <c r="E663" t="s">
        <v>20</v>
      </c>
      <c r="F663">
        <v>8</v>
      </c>
      <c r="G663" t="s">
        <v>21</v>
      </c>
      <c r="H663" t="s">
        <v>22</v>
      </c>
      <c r="I663" t="s">
        <v>23</v>
      </c>
      <c r="J663">
        <v>62.98</v>
      </c>
      <c r="K663">
        <v>9</v>
      </c>
      <c r="L663">
        <v>-10</v>
      </c>
      <c r="M663" t="s">
        <v>77</v>
      </c>
      <c r="N663" t="s">
        <v>25</v>
      </c>
      <c r="O663" t="s">
        <v>26</v>
      </c>
      <c r="P663">
        <v>4</v>
      </c>
    </row>
    <row r="664" spans="1:16" x14ac:dyDescent="0.25">
      <c r="A664" t="s">
        <v>1791</v>
      </c>
      <c r="B664" t="s">
        <v>79</v>
      </c>
      <c r="C664" t="s">
        <v>1792</v>
      </c>
      <c r="D664" t="s">
        <v>69</v>
      </c>
      <c r="E664" t="s">
        <v>46</v>
      </c>
      <c r="F664">
        <v>130</v>
      </c>
      <c r="G664" t="s">
        <v>70</v>
      </c>
      <c r="H664" t="s">
        <v>22</v>
      </c>
      <c r="I664" t="s">
        <v>23</v>
      </c>
      <c r="J664">
        <v>349.17</v>
      </c>
      <c r="K664">
        <v>-2</v>
      </c>
      <c r="L664">
        <v>15</v>
      </c>
      <c r="M664" t="s">
        <v>77</v>
      </c>
      <c r="N664" t="s">
        <v>41</v>
      </c>
      <c r="O664" t="s">
        <v>82</v>
      </c>
      <c r="P664">
        <v>4</v>
      </c>
    </row>
    <row r="665" spans="1:16" x14ac:dyDescent="0.25">
      <c r="A665" t="s">
        <v>1793</v>
      </c>
      <c r="B665" t="s">
        <v>1794</v>
      </c>
      <c r="C665" t="s">
        <v>1795</v>
      </c>
      <c r="D665" t="s">
        <v>117</v>
      </c>
      <c r="E665" t="s">
        <v>46</v>
      </c>
      <c r="F665">
        <v>8</v>
      </c>
      <c r="G665" t="s">
        <v>30</v>
      </c>
      <c r="H665" t="s">
        <v>48</v>
      </c>
      <c r="I665" t="s">
        <v>49</v>
      </c>
      <c r="J665">
        <v>102.7</v>
      </c>
      <c r="K665">
        <v>2</v>
      </c>
      <c r="L665">
        <v>-10</v>
      </c>
      <c r="N665" t="s">
        <v>91</v>
      </c>
      <c r="O665" t="s">
        <v>26</v>
      </c>
      <c r="P665">
        <v>5</v>
      </c>
    </row>
    <row r="666" spans="1:16" x14ac:dyDescent="0.25">
      <c r="A666" t="s">
        <v>1796</v>
      </c>
      <c r="B666" t="s">
        <v>1315</v>
      </c>
      <c r="C666" t="s">
        <v>1797</v>
      </c>
      <c r="E666" t="s">
        <v>20</v>
      </c>
      <c r="F666">
        <v>39</v>
      </c>
      <c r="G666" t="s">
        <v>47</v>
      </c>
      <c r="H666" t="s">
        <v>22</v>
      </c>
      <c r="I666" t="s">
        <v>23</v>
      </c>
      <c r="J666">
        <v>310.35000000000002</v>
      </c>
      <c r="K666">
        <v>6</v>
      </c>
      <c r="L666">
        <v>15</v>
      </c>
      <c r="M666" t="s">
        <v>64</v>
      </c>
      <c r="N666" t="s">
        <v>81</v>
      </c>
      <c r="O666" t="s">
        <v>65</v>
      </c>
      <c r="P666">
        <v>4</v>
      </c>
    </row>
    <row r="667" spans="1:16" x14ac:dyDescent="0.25">
      <c r="A667" t="s">
        <v>1798</v>
      </c>
      <c r="B667" t="s">
        <v>1722</v>
      </c>
      <c r="C667" t="s">
        <v>1799</v>
      </c>
      <c r="D667" t="s">
        <v>19</v>
      </c>
      <c r="E667" t="s">
        <v>46</v>
      </c>
      <c r="F667">
        <v>8</v>
      </c>
      <c r="G667" t="s">
        <v>30</v>
      </c>
      <c r="H667" t="s">
        <v>39</v>
      </c>
      <c r="I667" t="s">
        <v>40</v>
      </c>
      <c r="J667">
        <v>418.39</v>
      </c>
      <c r="K667">
        <v>1</v>
      </c>
      <c r="L667">
        <v>15</v>
      </c>
      <c r="M667" t="s">
        <v>24</v>
      </c>
      <c r="N667" t="s">
        <v>41</v>
      </c>
      <c r="O667" t="s">
        <v>26</v>
      </c>
      <c r="P667">
        <v>1</v>
      </c>
    </row>
    <row r="668" spans="1:16" x14ac:dyDescent="0.25">
      <c r="A668" t="s">
        <v>1800</v>
      </c>
      <c r="B668" t="s">
        <v>1801</v>
      </c>
      <c r="C668" t="s">
        <v>1802</v>
      </c>
      <c r="D668" t="s">
        <v>63</v>
      </c>
      <c r="E668" t="s">
        <v>46</v>
      </c>
      <c r="F668">
        <v>130</v>
      </c>
      <c r="G668" t="s">
        <v>47</v>
      </c>
      <c r="H668" t="s">
        <v>54</v>
      </c>
      <c r="I668" t="s">
        <v>55</v>
      </c>
      <c r="J668">
        <v>11.63</v>
      </c>
      <c r="K668">
        <v>4</v>
      </c>
      <c r="L668">
        <v>15</v>
      </c>
      <c r="M668" t="s">
        <v>64</v>
      </c>
      <c r="N668" t="s">
        <v>81</v>
      </c>
      <c r="O668" t="s">
        <v>26</v>
      </c>
      <c r="P668">
        <v>5</v>
      </c>
    </row>
    <row r="669" spans="1:16" x14ac:dyDescent="0.25">
      <c r="A669" t="s">
        <v>1803</v>
      </c>
      <c r="B669" t="s">
        <v>1699</v>
      </c>
      <c r="C669" t="s">
        <v>1804</v>
      </c>
      <c r="E669" t="s">
        <v>20</v>
      </c>
      <c r="F669">
        <v>8</v>
      </c>
      <c r="G669" t="s">
        <v>70</v>
      </c>
      <c r="H669" t="s">
        <v>48</v>
      </c>
      <c r="I669" t="s">
        <v>49</v>
      </c>
      <c r="J669">
        <v>342.24</v>
      </c>
      <c r="K669">
        <v>8</v>
      </c>
      <c r="L669">
        <v>15</v>
      </c>
      <c r="N669" t="s">
        <v>81</v>
      </c>
      <c r="O669" t="s">
        <v>26</v>
      </c>
      <c r="P669">
        <v>4</v>
      </c>
    </row>
    <row r="670" spans="1:16" x14ac:dyDescent="0.25">
      <c r="A670" t="s">
        <v>1805</v>
      </c>
      <c r="B670" t="s">
        <v>1806</v>
      </c>
      <c r="C670" t="s">
        <v>1807</v>
      </c>
      <c r="D670" t="s">
        <v>37</v>
      </c>
      <c r="E670" t="s">
        <v>46</v>
      </c>
      <c r="F670">
        <v>130</v>
      </c>
      <c r="G670" t="s">
        <v>47</v>
      </c>
      <c r="H670" t="s">
        <v>54</v>
      </c>
      <c r="I670" t="s">
        <v>55</v>
      </c>
      <c r="J670">
        <v>395.79</v>
      </c>
      <c r="K670">
        <v>9</v>
      </c>
      <c r="L670">
        <v>10</v>
      </c>
      <c r="N670" t="s">
        <v>41</v>
      </c>
      <c r="O670" t="s">
        <v>26</v>
      </c>
      <c r="P670">
        <v>1</v>
      </c>
    </row>
    <row r="671" spans="1:16" x14ac:dyDescent="0.25">
      <c r="A671" t="s">
        <v>1808</v>
      </c>
      <c r="B671" t="s">
        <v>375</v>
      </c>
      <c r="C671" t="s">
        <v>1809</v>
      </c>
      <c r="D671" t="s">
        <v>45</v>
      </c>
      <c r="E671" t="s">
        <v>46</v>
      </c>
      <c r="F671">
        <v>130</v>
      </c>
      <c r="G671" t="s">
        <v>30</v>
      </c>
      <c r="H671" t="s">
        <v>121</v>
      </c>
      <c r="I671" t="s">
        <v>122</v>
      </c>
      <c r="J671">
        <v>362.15</v>
      </c>
      <c r="K671">
        <v>1</v>
      </c>
      <c r="L671">
        <v>0</v>
      </c>
      <c r="M671" t="s">
        <v>64</v>
      </c>
      <c r="N671" t="s">
        <v>25</v>
      </c>
      <c r="O671" t="s">
        <v>65</v>
      </c>
      <c r="P671">
        <v>5</v>
      </c>
    </row>
    <row r="672" spans="1:16" x14ac:dyDescent="0.25">
      <c r="A672" t="s">
        <v>1810</v>
      </c>
      <c r="B672" t="s">
        <v>217</v>
      </c>
      <c r="C672" t="s">
        <v>1811</v>
      </c>
      <c r="D672" t="s">
        <v>69</v>
      </c>
      <c r="E672" t="s">
        <v>46</v>
      </c>
      <c r="F672">
        <v>18</v>
      </c>
      <c r="G672" t="s">
        <v>86</v>
      </c>
      <c r="H672" t="s">
        <v>39</v>
      </c>
      <c r="I672" t="s">
        <v>40</v>
      </c>
      <c r="J672">
        <v>306.87</v>
      </c>
      <c r="K672">
        <v>2</v>
      </c>
      <c r="L672">
        <v>5</v>
      </c>
      <c r="M672" t="s">
        <v>24</v>
      </c>
      <c r="N672" t="s">
        <v>25</v>
      </c>
      <c r="O672" t="s">
        <v>82</v>
      </c>
      <c r="P672">
        <v>5</v>
      </c>
    </row>
    <row r="673" spans="1:16" x14ac:dyDescent="0.25">
      <c r="A673" t="s">
        <v>1812</v>
      </c>
      <c r="B673" t="s">
        <v>1813</v>
      </c>
      <c r="C673" t="s">
        <v>1814</v>
      </c>
      <c r="E673" t="s">
        <v>46</v>
      </c>
      <c r="F673">
        <v>130</v>
      </c>
      <c r="G673" t="s">
        <v>53</v>
      </c>
      <c r="H673" t="s">
        <v>121</v>
      </c>
      <c r="I673" t="s">
        <v>122</v>
      </c>
      <c r="J673">
        <v>53.77</v>
      </c>
      <c r="K673">
        <v>1</v>
      </c>
      <c r="L673">
        <v>-10</v>
      </c>
      <c r="N673" t="s">
        <v>41</v>
      </c>
      <c r="O673" t="s">
        <v>33</v>
      </c>
      <c r="P673">
        <v>5</v>
      </c>
    </row>
    <row r="674" spans="1:16" x14ac:dyDescent="0.25">
      <c r="A674" t="s">
        <v>1815</v>
      </c>
      <c r="B674" t="s">
        <v>659</v>
      </c>
      <c r="C674" t="s">
        <v>1816</v>
      </c>
      <c r="D674" t="s">
        <v>101</v>
      </c>
      <c r="E674" t="s">
        <v>20</v>
      </c>
      <c r="F674">
        <v>8</v>
      </c>
      <c r="G674" t="s">
        <v>30</v>
      </c>
      <c r="H674" t="s">
        <v>48</v>
      </c>
      <c r="I674" t="s">
        <v>49</v>
      </c>
      <c r="J674">
        <v>484.94</v>
      </c>
      <c r="K674">
        <v>-2</v>
      </c>
      <c r="L674">
        <v>120</v>
      </c>
      <c r="M674" t="s">
        <v>77</v>
      </c>
      <c r="N674" t="s">
        <v>81</v>
      </c>
      <c r="O674" t="s">
        <v>82</v>
      </c>
      <c r="P674">
        <v>2</v>
      </c>
    </row>
    <row r="675" spans="1:16" x14ac:dyDescent="0.25">
      <c r="A675" t="s">
        <v>1817</v>
      </c>
      <c r="B675" t="s">
        <v>1762</v>
      </c>
      <c r="C675" t="s">
        <v>1818</v>
      </c>
      <c r="D675" t="s">
        <v>19</v>
      </c>
      <c r="E675" t="s">
        <v>46</v>
      </c>
      <c r="F675">
        <v>32</v>
      </c>
      <c r="G675" t="s">
        <v>38</v>
      </c>
      <c r="H675" t="s">
        <v>121</v>
      </c>
      <c r="I675" t="s">
        <v>122</v>
      </c>
      <c r="J675">
        <v>106.31</v>
      </c>
      <c r="K675">
        <v>3</v>
      </c>
      <c r="L675">
        <v>0</v>
      </c>
      <c r="M675" t="s">
        <v>64</v>
      </c>
      <c r="N675" t="s">
        <v>81</v>
      </c>
      <c r="O675" t="s">
        <v>82</v>
      </c>
    </row>
    <row r="676" spans="1:16" x14ac:dyDescent="0.25">
      <c r="A676" t="s">
        <v>1819</v>
      </c>
      <c r="B676" t="s">
        <v>1820</v>
      </c>
      <c r="C676" t="s">
        <v>1821</v>
      </c>
      <c r="D676" t="s">
        <v>63</v>
      </c>
      <c r="E676" t="s">
        <v>46</v>
      </c>
      <c r="F676">
        <v>55</v>
      </c>
      <c r="G676" t="s">
        <v>38</v>
      </c>
      <c r="H676" t="s">
        <v>39</v>
      </c>
      <c r="I676" t="s">
        <v>40</v>
      </c>
      <c r="J676">
        <v>36.950000000000003</v>
      </c>
      <c r="K676">
        <v>-2</v>
      </c>
      <c r="L676">
        <v>5</v>
      </c>
      <c r="N676" t="s">
        <v>91</v>
      </c>
      <c r="O676" t="s">
        <v>82</v>
      </c>
      <c r="P676">
        <v>2</v>
      </c>
    </row>
    <row r="677" spans="1:16" x14ac:dyDescent="0.25">
      <c r="A677" t="s">
        <v>1822</v>
      </c>
      <c r="B677" t="s">
        <v>527</v>
      </c>
      <c r="C677" t="s">
        <v>1823</v>
      </c>
      <c r="E677" t="s">
        <v>46</v>
      </c>
      <c r="F677">
        <v>130</v>
      </c>
      <c r="G677" t="s">
        <v>53</v>
      </c>
      <c r="H677" t="s">
        <v>39</v>
      </c>
      <c r="I677" t="s">
        <v>40</v>
      </c>
      <c r="J677">
        <v>438.47</v>
      </c>
      <c r="K677">
        <v>-2</v>
      </c>
      <c r="L677">
        <v>15</v>
      </c>
      <c r="M677" t="s">
        <v>24</v>
      </c>
      <c r="N677" t="s">
        <v>41</v>
      </c>
      <c r="O677" t="s">
        <v>26</v>
      </c>
      <c r="P677">
        <v>5</v>
      </c>
    </row>
    <row r="678" spans="1:16" x14ac:dyDescent="0.25">
      <c r="A678" t="s">
        <v>1824</v>
      </c>
      <c r="B678" t="s">
        <v>1825</v>
      </c>
      <c r="C678" t="s">
        <v>1826</v>
      </c>
      <c r="D678" t="s">
        <v>63</v>
      </c>
      <c r="E678" t="s">
        <v>46</v>
      </c>
      <c r="F678">
        <v>8</v>
      </c>
      <c r="G678" t="s">
        <v>38</v>
      </c>
      <c r="H678" t="s">
        <v>87</v>
      </c>
      <c r="I678" t="s">
        <v>49</v>
      </c>
      <c r="J678">
        <v>428.84</v>
      </c>
      <c r="K678">
        <v>4</v>
      </c>
      <c r="L678">
        <v>10</v>
      </c>
      <c r="M678" t="s">
        <v>24</v>
      </c>
      <c r="N678" t="s">
        <v>91</v>
      </c>
      <c r="O678" t="s">
        <v>26</v>
      </c>
      <c r="P678">
        <v>5</v>
      </c>
    </row>
    <row r="679" spans="1:16" x14ac:dyDescent="0.25">
      <c r="A679" t="s">
        <v>1827</v>
      </c>
      <c r="B679" t="s">
        <v>571</v>
      </c>
      <c r="C679" t="s">
        <v>1828</v>
      </c>
      <c r="D679" t="s">
        <v>37</v>
      </c>
      <c r="E679" t="s">
        <v>20</v>
      </c>
      <c r="F679">
        <v>130</v>
      </c>
      <c r="G679" t="s">
        <v>38</v>
      </c>
      <c r="H679" t="s">
        <v>54</v>
      </c>
      <c r="I679" t="s">
        <v>55</v>
      </c>
      <c r="J679">
        <v>37.76</v>
      </c>
      <c r="K679">
        <v>-2</v>
      </c>
      <c r="L679">
        <v>0</v>
      </c>
      <c r="M679" t="s">
        <v>64</v>
      </c>
      <c r="N679" t="s">
        <v>91</v>
      </c>
      <c r="O679" t="s">
        <v>26</v>
      </c>
      <c r="P679">
        <v>4</v>
      </c>
    </row>
    <row r="680" spans="1:16" x14ac:dyDescent="0.25">
      <c r="A680" t="s">
        <v>1829</v>
      </c>
      <c r="B680" t="s">
        <v>1333</v>
      </c>
      <c r="C680" t="s">
        <v>1830</v>
      </c>
      <c r="D680" t="s">
        <v>45</v>
      </c>
      <c r="E680" t="s">
        <v>46</v>
      </c>
      <c r="F680">
        <v>8</v>
      </c>
      <c r="G680" t="s">
        <v>53</v>
      </c>
      <c r="H680" t="s">
        <v>31</v>
      </c>
      <c r="I680" t="s">
        <v>32</v>
      </c>
      <c r="J680">
        <v>444.69</v>
      </c>
      <c r="K680">
        <v>-2</v>
      </c>
      <c r="L680">
        <v>-10</v>
      </c>
      <c r="M680" t="s">
        <v>24</v>
      </c>
      <c r="N680" t="s">
        <v>25</v>
      </c>
      <c r="O680" t="s">
        <v>65</v>
      </c>
    </row>
    <row r="681" spans="1:16" x14ac:dyDescent="0.25">
      <c r="A681" t="s">
        <v>1831</v>
      </c>
      <c r="B681" t="s">
        <v>1832</v>
      </c>
      <c r="C681" t="s">
        <v>1833</v>
      </c>
      <c r="D681" t="s">
        <v>63</v>
      </c>
      <c r="E681" t="s">
        <v>20</v>
      </c>
      <c r="F681">
        <v>8</v>
      </c>
      <c r="G681" t="s">
        <v>70</v>
      </c>
      <c r="H681" t="s">
        <v>48</v>
      </c>
      <c r="I681" t="s">
        <v>49</v>
      </c>
      <c r="J681">
        <v>211.8</v>
      </c>
      <c r="K681">
        <v>-2</v>
      </c>
      <c r="L681">
        <v>10</v>
      </c>
      <c r="M681" t="s">
        <v>59</v>
      </c>
      <c r="N681" t="s">
        <v>41</v>
      </c>
      <c r="O681" t="s">
        <v>26</v>
      </c>
      <c r="P681">
        <v>4</v>
      </c>
    </row>
    <row r="682" spans="1:16" x14ac:dyDescent="0.25">
      <c r="A682" t="s">
        <v>1834</v>
      </c>
      <c r="B682" t="s">
        <v>1258</v>
      </c>
      <c r="C682" t="s">
        <v>1835</v>
      </c>
      <c r="E682" t="s">
        <v>20</v>
      </c>
      <c r="F682">
        <v>8</v>
      </c>
      <c r="G682" t="s">
        <v>70</v>
      </c>
      <c r="H682" t="s">
        <v>87</v>
      </c>
      <c r="I682" t="s">
        <v>49</v>
      </c>
      <c r="J682">
        <v>459.62</v>
      </c>
      <c r="K682">
        <v>9</v>
      </c>
      <c r="L682">
        <v>120</v>
      </c>
      <c r="M682" t="s">
        <v>24</v>
      </c>
      <c r="N682" t="s">
        <v>25</v>
      </c>
      <c r="O682" t="s">
        <v>82</v>
      </c>
      <c r="P682">
        <v>1</v>
      </c>
    </row>
    <row r="683" spans="1:16" x14ac:dyDescent="0.25">
      <c r="A683" t="s">
        <v>1836</v>
      </c>
      <c r="B683" t="s">
        <v>1641</v>
      </c>
      <c r="C683" t="s">
        <v>1837</v>
      </c>
      <c r="D683" t="s">
        <v>117</v>
      </c>
      <c r="E683" t="s">
        <v>46</v>
      </c>
      <c r="F683">
        <v>8</v>
      </c>
      <c r="G683" t="s">
        <v>53</v>
      </c>
      <c r="H683" t="s">
        <v>121</v>
      </c>
      <c r="I683" t="s">
        <v>122</v>
      </c>
      <c r="J683">
        <v>466.69</v>
      </c>
      <c r="K683">
        <v>-2</v>
      </c>
      <c r="L683">
        <v>5</v>
      </c>
      <c r="N683" t="s">
        <v>41</v>
      </c>
      <c r="O683" t="s">
        <v>26</v>
      </c>
      <c r="P683">
        <v>2</v>
      </c>
    </row>
    <row r="684" spans="1:16" x14ac:dyDescent="0.25">
      <c r="A684" t="s">
        <v>1838</v>
      </c>
      <c r="B684" t="s">
        <v>1612</v>
      </c>
      <c r="C684" t="s">
        <v>1839</v>
      </c>
      <c r="D684" t="s">
        <v>63</v>
      </c>
      <c r="E684" t="s">
        <v>20</v>
      </c>
      <c r="F684">
        <v>130</v>
      </c>
      <c r="G684" t="s">
        <v>21</v>
      </c>
      <c r="H684" t="s">
        <v>22</v>
      </c>
      <c r="I684" t="s">
        <v>23</v>
      </c>
      <c r="J684">
        <v>484.4</v>
      </c>
      <c r="K684">
        <v>9</v>
      </c>
      <c r="L684">
        <v>0</v>
      </c>
      <c r="M684" t="s">
        <v>24</v>
      </c>
      <c r="N684" t="s">
        <v>81</v>
      </c>
      <c r="O684" t="s">
        <v>26</v>
      </c>
      <c r="P684">
        <v>3</v>
      </c>
    </row>
    <row r="685" spans="1:16" x14ac:dyDescent="0.25">
      <c r="A685" t="s">
        <v>1840</v>
      </c>
      <c r="B685" t="s">
        <v>887</v>
      </c>
      <c r="C685" t="s">
        <v>1841</v>
      </c>
      <c r="E685" t="s">
        <v>20</v>
      </c>
      <c r="F685">
        <v>8</v>
      </c>
      <c r="G685" t="s">
        <v>30</v>
      </c>
      <c r="H685" t="s">
        <v>121</v>
      </c>
      <c r="I685" t="s">
        <v>122</v>
      </c>
      <c r="J685">
        <v>259.79000000000002</v>
      </c>
      <c r="K685">
        <v>7</v>
      </c>
      <c r="L685">
        <v>-10</v>
      </c>
      <c r="N685" t="s">
        <v>41</v>
      </c>
      <c r="O685" t="s">
        <v>82</v>
      </c>
      <c r="P685">
        <v>3</v>
      </c>
    </row>
    <row r="686" spans="1:16" x14ac:dyDescent="0.25">
      <c r="A686" t="s">
        <v>1842</v>
      </c>
      <c r="B686" t="s">
        <v>1843</v>
      </c>
      <c r="C686" t="s">
        <v>1844</v>
      </c>
      <c r="D686" t="s">
        <v>63</v>
      </c>
      <c r="E686" t="s">
        <v>20</v>
      </c>
      <c r="F686">
        <v>130</v>
      </c>
      <c r="G686" t="s">
        <v>53</v>
      </c>
      <c r="H686" t="s">
        <v>121</v>
      </c>
      <c r="I686" t="s">
        <v>122</v>
      </c>
      <c r="J686">
        <v>435.87</v>
      </c>
      <c r="K686">
        <v>-2</v>
      </c>
      <c r="L686">
        <v>10</v>
      </c>
      <c r="M686" t="s">
        <v>64</v>
      </c>
      <c r="N686" t="s">
        <v>41</v>
      </c>
      <c r="O686" t="s">
        <v>65</v>
      </c>
      <c r="P686">
        <v>1</v>
      </c>
    </row>
    <row r="687" spans="1:16" x14ac:dyDescent="0.25">
      <c r="A687" t="s">
        <v>1845</v>
      </c>
      <c r="B687" t="s">
        <v>1846</v>
      </c>
      <c r="C687" t="s">
        <v>1847</v>
      </c>
      <c r="D687" t="s">
        <v>45</v>
      </c>
      <c r="E687" t="s">
        <v>20</v>
      </c>
      <c r="F687">
        <v>130</v>
      </c>
      <c r="G687" t="s">
        <v>70</v>
      </c>
      <c r="H687" t="s">
        <v>22</v>
      </c>
      <c r="I687" t="s">
        <v>23</v>
      </c>
      <c r="J687">
        <v>337.79</v>
      </c>
      <c r="K687">
        <v>8</v>
      </c>
      <c r="L687">
        <v>0</v>
      </c>
      <c r="M687" t="s">
        <v>64</v>
      </c>
      <c r="N687" t="s">
        <v>25</v>
      </c>
      <c r="O687" t="s">
        <v>26</v>
      </c>
      <c r="P687">
        <v>2</v>
      </c>
    </row>
    <row r="688" spans="1:16" x14ac:dyDescent="0.25">
      <c r="A688" t="s">
        <v>1848</v>
      </c>
      <c r="B688" t="s">
        <v>771</v>
      </c>
      <c r="C688" t="s">
        <v>1849</v>
      </c>
      <c r="D688" t="s">
        <v>37</v>
      </c>
      <c r="E688" t="s">
        <v>46</v>
      </c>
      <c r="F688">
        <v>130</v>
      </c>
      <c r="G688" t="s">
        <v>53</v>
      </c>
      <c r="H688" t="s">
        <v>31</v>
      </c>
      <c r="I688" t="s">
        <v>32</v>
      </c>
      <c r="J688">
        <v>310.26</v>
      </c>
      <c r="K688">
        <v>9</v>
      </c>
      <c r="L688">
        <v>-10</v>
      </c>
      <c r="M688" t="s">
        <v>64</v>
      </c>
      <c r="N688" t="s">
        <v>41</v>
      </c>
      <c r="O688" t="s">
        <v>82</v>
      </c>
      <c r="P688">
        <v>2</v>
      </c>
    </row>
    <row r="689" spans="1:16" x14ac:dyDescent="0.25">
      <c r="A689" t="s">
        <v>1850</v>
      </c>
      <c r="B689" t="s">
        <v>1851</v>
      </c>
      <c r="C689" t="s">
        <v>1852</v>
      </c>
      <c r="D689" t="s">
        <v>63</v>
      </c>
      <c r="E689" t="s">
        <v>20</v>
      </c>
      <c r="F689">
        <v>22</v>
      </c>
      <c r="G689" t="s">
        <v>86</v>
      </c>
      <c r="H689" t="s">
        <v>39</v>
      </c>
      <c r="I689" t="s">
        <v>40</v>
      </c>
      <c r="J689">
        <v>466.6</v>
      </c>
      <c r="K689">
        <v>-2</v>
      </c>
      <c r="L689">
        <v>120</v>
      </c>
      <c r="M689" t="s">
        <v>24</v>
      </c>
      <c r="N689" t="s">
        <v>25</v>
      </c>
      <c r="O689" t="s">
        <v>65</v>
      </c>
    </row>
    <row r="690" spans="1:16" x14ac:dyDescent="0.25">
      <c r="A690" t="s">
        <v>1853</v>
      </c>
      <c r="B690" t="s">
        <v>1417</v>
      </c>
      <c r="C690" t="s">
        <v>1854</v>
      </c>
      <c r="D690" t="s">
        <v>63</v>
      </c>
      <c r="E690" t="s">
        <v>20</v>
      </c>
      <c r="F690">
        <v>130</v>
      </c>
      <c r="G690" t="s">
        <v>53</v>
      </c>
      <c r="H690" t="s">
        <v>31</v>
      </c>
      <c r="I690" t="s">
        <v>32</v>
      </c>
      <c r="J690">
        <v>424.19</v>
      </c>
      <c r="K690">
        <v>5</v>
      </c>
      <c r="L690">
        <v>5</v>
      </c>
      <c r="M690" t="s">
        <v>59</v>
      </c>
      <c r="N690" t="s">
        <v>25</v>
      </c>
      <c r="O690" t="s">
        <v>33</v>
      </c>
      <c r="P690">
        <v>3</v>
      </c>
    </row>
    <row r="691" spans="1:16" x14ac:dyDescent="0.25">
      <c r="A691" t="s">
        <v>1855</v>
      </c>
      <c r="B691" t="s">
        <v>1349</v>
      </c>
      <c r="C691" t="s">
        <v>1856</v>
      </c>
      <c r="D691" t="s">
        <v>19</v>
      </c>
      <c r="E691" t="s">
        <v>46</v>
      </c>
      <c r="F691">
        <v>130</v>
      </c>
      <c r="G691" t="s">
        <v>70</v>
      </c>
      <c r="H691" t="s">
        <v>31</v>
      </c>
      <c r="I691" t="s">
        <v>32</v>
      </c>
      <c r="J691">
        <v>216.74</v>
      </c>
      <c r="K691">
        <v>6</v>
      </c>
      <c r="L691">
        <v>15</v>
      </c>
      <c r="M691" t="s">
        <v>24</v>
      </c>
      <c r="N691" t="s">
        <v>91</v>
      </c>
      <c r="O691" t="s">
        <v>33</v>
      </c>
      <c r="P691">
        <v>2</v>
      </c>
    </row>
    <row r="692" spans="1:16" x14ac:dyDescent="0.25">
      <c r="A692" t="s">
        <v>1857</v>
      </c>
      <c r="B692" t="s">
        <v>754</v>
      </c>
      <c r="C692" t="s">
        <v>1858</v>
      </c>
      <c r="D692" t="s">
        <v>117</v>
      </c>
      <c r="E692" t="s">
        <v>46</v>
      </c>
      <c r="F692">
        <v>130</v>
      </c>
      <c r="G692" t="s">
        <v>47</v>
      </c>
      <c r="H692" t="s">
        <v>39</v>
      </c>
      <c r="I692" t="s">
        <v>40</v>
      </c>
      <c r="J692">
        <v>166.3</v>
      </c>
      <c r="K692">
        <v>3</v>
      </c>
      <c r="L692">
        <v>0</v>
      </c>
      <c r="M692" t="s">
        <v>24</v>
      </c>
      <c r="N692" t="s">
        <v>25</v>
      </c>
      <c r="O692" t="s">
        <v>33</v>
      </c>
    </row>
    <row r="693" spans="1:16" x14ac:dyDescent="0.25">
      <c r="A693" t="s">
        <v>1859</v>
      </c>
      <c r="B693" t="s">
        <v>1860</v>
      </c>
      <c r="C693" t="s">
        <v>1861</v>
      </c>
      <c r="D693" t="s">
        <v>45</v>
      </c>
      <c r="E693" t="s">
        <v>46</v>
      </c>
      <c r="F693">
        <v>130</v>
      </c>
      <c r="G693" t="s">
        <v>30</v>
      </c>
      <c r="H693" t="s">
        <v>121</v>
      </c>
      <c r="I693" t="s">
        <v>122</v>
      </c>
      <c r="J693">
        <v>249.14</v>
      </c>
      <c r="K693">
        <v>-2</v>
      </c>
      <c r="L693">
        <v>120</v>
      </c>
      <c r="N693" t="s">
        <v>81</v>
      </c>
      <c r="O693" t="s">
        <v>82</v>
      </c>
      <c r="P693">
        <v>1</v>
      </c>
    </row>
    <row r="694" spans="1:16" x14ac:dyDescent="0.25">
      <c r="A694" t="s">
        <v>1862</v>
      </c>
      <c r="B694" t="s">
        <v>483</v>
      </c>
      <c r="C694" t="s">
        <v>1863</v>
      </c>
      <c r="D694" t="s">
        <v>69</v>
      </c>
      <c r="E694" t="s">
        <v>20</v>
      </c>
      <c r="F694">
        <v>55</v>
      </c>
      <c r="G694" t="s">
        <v>21</v>
      </c>
      <c r="H694" t="s">
        <v>54</v>
      </c>
      <c r="I694" t="s">
        <v>55</v>
      </c>
      <c r="J694">
        <v>118.92</v>
      </c>
      <c r="K694">
        <v>-2</v>
      </c>
      <c r="L694">
        <v>15</v>
      </c>
      <c r="M694" t="s">
        <v>77</v>
      </c>
      <c r="N694" t="s">
        <v>41</v>
      </c>
      <c r="O694" t="s">
        <v>65</v>
      </c>
      <c r="P694">
        <v>3</v>
      </c>
    </row>
    <row r="695" spans="1:16" x14ac:dyDescent="0.25">
      <c r="A695" t="s">
        <v>1864</v>
      </c>
      <c r="B695" t="s">
        <v>1865</v>
      </c>
      <c r="C695" t="s">
        <v>1866</v>
      </c>
      <c r="D695" t="s">
        <v>45</v>
      </c>
      <c r="E695" t="s">
        <v>46</v>
      </c>
      <c r="F695">
        <v>130</v>
      </c>
      <c r="G695" t="s">
        <v>30</v>
      </c>
      <c r="H695" t="s">
        <v>31</v>
      </c>
      <c r="I695" t="s">
        <v>32</v>
      </c>
      <c r="J695">
        <v>252.42</v>
      </c>
      <c r="K695">
        <v>-2</v>
      </c>
      <c r="L695">
        <v>-10</v>
      </c>
      <c r="M695" t="s">
        <v>77</v>
      </c>
      <c r="N695" t="s">
        <v>91</v>
      </c>
      <c r="O695" t="s">
        <v>26</v>
      </c>
      <c r="P695">
        <v>2</v>
      </c>
    </row>
    <row r="696" spans="1:16" x14ac:dyDescent="0.25">
      <c r="A696" t="s">
        <v>1867</v>
      </c>
      <c r="B696" t="s">
        <v>653</v>
      </c>
      <c r="C696" t="s">
        <v>1868</v>
      </c>
      <c r="D696" t="s">
        <v>117</v>
      </c>
      <c r="E696" t="s">
        <v>46</v>
      </c>
      <c r="F696">
        <v>8</v>
      </c>
      <c r="G696" t="s">
        <v>21</v>
      </c>
      <c r="H696" t="s">
        <v>87</v>
      </c>
      <c r="I696" t="s">
        <v>49</v>
      </c>
      <c r="J696">
        <v>242.02</v>
      </c>
      <c r="K696">
        <v>-2</v>
      </c>
      <c r="L696">
        <v>10</v>
      </c>
      <c r="M696" t="s">
        <v>59</v>
      </c>
      <c r="N696" t="s">
        <v>81</v>
      </c>
      <c r="O696" t="s">
        <v>65</v>
      </c>
      <c r="P696">
        <v>2</v>
      </c>
    </row>
    <row r="697" spans="1:16" x14ac:dyDescent="0.25">
      <c r="A697" t="s">
        <v>1869</v>
      </c>
      <c r="B697" t="s">
        <v>341</v>
      </c>
      <c r="C697" t="s">
        <v>1870</v>
      </c>
      <c r="D697" t="s">
        <v>19</v>
      </c>
      <c r="E697" t="s">
        <v>20</v>
      </c>
      <c r="F697">
        <v>8</v>
      </c>
      <c r="G697" t="s">
        <v>86</v>
      </c>
      <c r="H697" t="s">
        <v>87</v>
      </c>
      <c r="I697" t="s">
        <v>49</v>
      </c>
      <c r="J697">
        <v>438.51</v>
      </c>
      <c r="K697">
        <v>-2</v>
      </c>
      <c r="L697">
        <v>10</v>
      </c>
      <c r="M697" t="s">
        <v>24</v>
      </c>
      <c r="N697" t="s">
        <v>25</v>
      </c>
      <c r="O697" t="s">
        <v>65</v>
      </c>
      <c r="P697">
        <v>1</v>
      </c>
    </row>
    <row r="698" spans="1:16" x14ac:dyDescent="0.25">
      <c r="A698" t="s">
        <v>1871</v>
      </c>
      <c r="B698" t="s">
        <v>520</v>
      </c>
      <c r="C698" t="s">
        <v>1872</v>
      </c>
      <c r="D698" t="s">
        <v>63</v>
      </c>
      <c r="E698" t="s">
        <v>20</v>
      </c>
      <c r="F698">
        <v>130</v>
      </c>
      <c r="G698" t="s">
        <v>21</v>
      </c>
      <c r="H698" t="s">
        <v>31</v>
      </c>
      <c r="I698" t="s">
        <v>32</v>
      </c>
      <c r="J698">
        <v>367.17</v>
      </c>
      <c r="K698">
        <v>-2</v>
      </c>
      <c r="L698">
        <v>-10</v>
      </c>
      <c r="M698" t="s">
        <v>77</v>
      </c>
      <c r="N698" t="s">
        <v>25</v>
      </c>
      <c r="O698" t="s">
        <v>65</v>
      </c>
      <c r="P698">
        <v>2</v>
      </c>
    </row>
    <row r="699" spans="1:16" x14ac:dyDescent="0.25">
      <c r="A699" t="s">
        <v>1873</v>
      </c>
      <c r="B699" t="s">
        <v>476</v>
      </c>
      <c r="C699" t="s">
        <v>1874</v>
      </c>
      <c r="D699" t="s">
        <v>69</v>
      </c>
      <c r="E699" t="s">
        <v>20</v>
      </c>
      <c r="F699">
        <v>45</v>
      </c>
      <c r="G699" t="s">
        <v>53</v>
      </c>
      <c r="H699" t="s">
        <v>121</v>
      </c>
      <c r="I699" t="s">
        <v>122</v>
      </c>
      <c r="J699">
        <v>128.29</v>
      </c>
      <c r="K699">
        <v>-2</v>
      </c>
      <c r="L699">
        <v>10</v>
      </c>
      <c r="M699" t="s">
        <v>24</v>
      </c>
      <c r="N699" t="s">
        <v>91</v>
      </c>
      <c r="O699" t="s">
        <v>26</v>
      </c>
    </row>
    <row r="700" spans="1:16" x14ac:dyDescent="0.25">
      <c r="A700" t="s">
        <v>1875</v>
      </c>
      <c r="B700" t="s">
        <v>1876</v>
      </c>
      <c r="C700" t="s">
        <v>1877</v>
      </c>
      <c r="D700" t="s">
        <v>117</v>
      </c>
      <c r="E700" t="s">
        <v>46</v>
      </c>
      <c r="F700">
        <v>130</v>
      </c>
      <c r="G700" t="s">
        <v>47</v>
      </c>
      <c r="H700" t="s">
        <v>39</v>
      </c>
      <c r="I700" t="s">
        <v>40</v>
      </c>
      <c r="J700">
        <v>477.78</v>
      </c>
      <c r="K700">
        <v>9</v>
      </c>
      <c r="L700">
        <v>0</v>
      </c>
      <c r="M700" t="s">
        <v>24</v>
      </c>
      <c r="N700" t="s">
        <v>91</v>
      </c>
      <c r="O700" t="s">
        <v>65</v>
      </c>
      <c r="P700">
        <v>4</v>
      </c>
    </row>
    <row r="701" spans="1:16" x14ac:dyDescent="0.25">
      <c r="A701" t="s">
        <v>1878</v>
      </c>
      <c r="B701" t="s">
        <v>692</v>
      </c>
      <c r="C701" t="s">
        <v>1879</v>
      </c>
      <c r="D701" t="s">
        <v>19</v>
      </c>
      <c r="E701" t="s">
        <v>46</v>
      </c>
      <c r="F701">
        <v>130</v>
      </c>
      <c r="G701" t="s">
        <v>86</v>
      </c>
      <c r="H701" t="s">
        <v>54</v>
      </c>
      <c r="I701" t="s">
        <v>55</v>
      </c>
      <c r="J701">
        <v>468.25</v>
      </c>
      <c r="K701">
        <v>-2</v>
      </c>
      <c r="L701">
        <v>10</v>
      </c>
      <c r="N701" t="s">
        <v>81</v>
      </c>
      <c r="O701" t="s">
        <v>82</v>
      </c>
      <c r="P701">
        <v>5</v>
      </c>
    </row>
    <row r="702" spans="1:16" x14ac:dyDescent="0.25">
      <c r="A702" t="s">
        <v>1880</v>
      </c>
      <c r="B702" t="s">
        <v>774</v>
      </c>
      <c r="C702" t="s">
        <v>1881</v>
      </c>
      <c r="D702" t="s">
        <v>19</v>
      </c>
      <c r="E702" t="s">
        <v>46</v>
      </c>
      <c r="F702">
        <v>8</v>
      </c>
      <c r="G702" t="s">
        <v>30</v>
      </c>
      <c r="H702" t="s">
        <v>48</v>
      </c>
      <c r="I702" t="s">
        <v>49</v>
      </c>
      <c r="J702">
        <v>157.15</v>
      </c>
      <c r="K702">
        <v>2</v>
      </c>
      <c r="L702">
        <v>10</v>
      </c>
      <c r="N702" t="s">
        <v>41</v>
      </c>
      <c r="O702" t="s">
        <v>26</v>
      </c>
      <c r="P702">
        <v>3</v>
      </c>
    </row>
    <row r="703" spans="1:16" x14ac:dyDescent="0.25">
      <c r="A703" t="s">
        <v>1882</v>
      </c>
      <c r="B703" t="s">
        <v>1883</v>
      </c>
      <c r="C703" t="s">
        <v>1884</v>
      </c>
      <c r="D703" t="s">
        <v>45</v>
      </c>
      <c r="E703" t="s">
        <v>46</v>
      </c>
      <c r="F703">
        <v>8</v>
      </c>
      <c r="G703" t="s">
        <v>86</v>
      </c>
      <c r="H703" t="s">
        <v>48</v>
      </c>
      <c r="I703" t="s">
        <v>49</v>
      </c>
      <c r="J703">
        <v>418.43</v>
      </c>
      <c r="K703">
        <v>6</v>
      </c>
      <c r="L703">
        <v>10</v>
      </c>
      <c r="M703" t="s">
        <v>64</v>
      </c>
      <c r="N703" t="s">
        <v>81</v>
      </c>
      <c r="O703" t="s">
        <v>82</v>
      </c>
      <c r="P703">
        <v>1</v>
      </c>
    </row>
    <row r="704" spans="1:16" x14ac:dyDescent="0.25">
      <c r="A704" t="s">
        <v>1885</v>
      </c>
      <c r="B704" t="s">
        <v>470</v>
      </c>
      <c r="C704" t="s">
        <v>1886</v>
      </c>
      <c r="D704" t="s">
        <v>101</v>
      </c>
      <c r="E704" t="s">
        <v>46</v>
      </c>
      <c r="F704">
        <v>8</v>
      </c>
      <c r="G704" t="s">
        <v>47</v>
      </c>
      <c r="H704" t="s">
        <v>121</v>
      </c>
      <c r="I704" t="s">
        <v>122</v>
      </c>
      <c r="J704">
        <v>493.32</v>
      </c>
      <c r="K704">
        <v>-2</v>
      </c>
      <c r="L704">
        <v>15</v>
      </c>
      <c r="N704" t="s">
        <v>41</v>
      </c>
      <c r="O704" t="s">
        <v>33</v>
      </c>
      <c r="P704">
        <v>5</v>
      </c>
    </row>
    <row r="705" spans="1:16" x14ac:dyDescent="0.25">
      <c r="A705" t="s">
        <v>1887</v>
      </c>
      <c r="B705" t="s">
        <v>1437</v>
      </c>
      <c r="C705" t="s">
        <v>1888</v>
      </c>
      <c r="D705" t="s">
        <v>19</v>
      </c>
      <c r="E705" t="s">
        <v>46</v>
      </c>
      <c r="F705">
        <v>130</v>
      </c>
      <c r="G705" t="s">
        <v>21</v>
      </c>
      <c r="H705" t="s">
        <v>39</v>
      </c>
      <c r="I705" t="s">
        <v>40</v>
      </c>
      <c r="J705">
        <v>245.82</v>
      </c>
      <c r="K705">
        <v>-2</v>
      </c>
      <c r="L705">
        <v>0</v>
      </c>
      <c r="N705" t="s">
        <v>25</v>
      </c>
      <c r="O705" t="s">
        <v>26</v>
      </c>
    </row>
    <row r="706" spans="1:16" x14ac:dyDescent="0.25">
      <c r="A706" t="s">
        <v>1889</v>
      </c>
      <c r="B706" t="s">
        <v>841</v>
      </c>
      <c r="C706" t="s">
        <v>1890</v>
      </c>
      <c r="E706" t="s">
        <v>20</v>
      </c>
      <c r="F706">
        <v>8</v>
      </c>
      <c r="G706" t="s">
        <v>53</v>
      </c>
      <c r="H706" t="s">
        <v>54</v>
      </c>
      <c r="I706" t="s">
        <v>55</v>
      </c>
      <c r="J706">
        <v>153.78</v>
      </c>
      <c r="K706">
        <v>-2</v>
      </c>
      <c r="L706">
        <v>10</v>
      </c>
      <c r="N706" t="s">
        <v>91</v>
      </c>
      <c r="O706" t="s">
        <v>65</v>
      </c>
      <c r="P706">
        <v>2</v>
      </c>
    </row>
    <row r="707" spans="1:16" x14ac:dyDescent="0.25">
      <c r="A707" t="s">
        <v>1891</v>
      </c>
      <c r="B707" t="s">
        <v>1892</v>
      </c>
      <c r="C707" t="s">
        <v>1893</v>
      </c>
      <c r="E707" t="s">
        <v>20</v>
      </c>
      <c r="F707">
        <v>8</v>
      </c>
      <c r="G707" t="s">
        <v>86</v>
      </c>
      <c r="H707" t="s">
        <v>121</v>
      </c>
      <c r="I707" t="s">
        <v>122</v>
      </c>
      <c r="J707">
        <v>111.3</v>
      </c>
      <c r="K707">
        <v>-2</v>
      </c>
      <c r="L707">
        <v>0</v>
      </c>
      <c r="M707" t="s">
        <v>24</v>
      </c>
      <c r="N707" t="s">
        <v>41</v>
      </c>
      <c r="O707" t="s">
        <v>33</v>
      </c>
      <c r="P707">
        <v>1</v>
      </c>
    </row>
    <row r="708" spans="1:16" x14ac:dyDescent="0.25">
      <c r="A708" t="s">
        <v>1894</v>
      </c>
      <c r="B708" t="s">
        <v>1895</v>
      </c>
      <c r="C708" t="s">
        <v>1896</v>
      </c>
      <c r="D708" t="s">
        <v>37</v>
      </c>
      <c r="E708" t="s">
        <v>46</v>
      </c>
      <c r="F708">
        <v>8</v>
      </c>
      <c r="G708" t="s">
        <v>47</v>
      </c>
      <c r="H708" t="s">
        <v>31</v>
      </c>
      <c r="I708" t="s">
        <v>32</v>
      </c>
      <c r="J708">
        <v>335.06</v>
      </c>
      <c r="K708">
        <v>8</v>
      </c>
      <c r="L708">
        <v>5</v>
      </c>
      <c r="M708" t="s">
        <v>24</v>
      </c>
      <c r="N708" t="s">
        <v>81</v>
      </c>
      <c r="O708" t="s">
        <v>26</v>
      </c>
      <c r="P708">
        <v>3</v>
      </c>
    </row>
    <row r="709" spans="1:16" x14ac:dyDescent="0.25">
      <c r="A709" t="s">
        <v>1897</v>
      </c>
      <c r="B709" t="s">
        <v>170</v>
      </c>
      <c r="C709" t="s">
        <v>1898</v>
      </c>
      <c r="E709" t="s">
        <v>20</v>
      </c>
      <c r="F709">
        <v>8</v>
      </c>
      <c r="G709" t="s">
        <v>70</v>
      </c>
      <c r="H709" t="s">
        <v>121</v>
      </c>
      <c r="I709" t="s">
        <v>122</v>
      </c>
      <c r="J709">
        <v>70.39</v>
      </c>
      <c r="K709">
        <v>-2</v>
      </c>
      <c r="L709">
        <v>10</v>
      </c>
      <c r="M709" t="s">
        <v>77</v>
      </c>
      <c r="N709" t="s">
        <v>41</v>
      </c>
      <c r="O709" t="s">
        <v>33</v>
      </c>
      <c r="P709">
        <v>1</v>
      </c>
    </row>
    <row r="710" spans="1:16" x14ac:dyDescent="0.25">
      <c r="A710" t="s">
        <v>1899</v>
      </c>
      <c r="B710" t="s">
        <v>1900</v>
      </c>
      <c r="C710" t="s">
        <v>1901</v>
      </c>
      <c r="D710" t="s">
        <v>69</v>
      </c>
      <c r="E710" t="s">
        <v>20</v>
      </c>
      <c r="F710">
        <v>130</v>
      </c>
      <c r="G710" t="s">
        <v>21</v>
      </c>
      <c r="H710" t="s">
        <v>31</v>
      </c>
      <c r="I710" t="s">
        <v>32</v>
      </c>
      <c r="J710">
        <v>142.19</v>
      </c>
      <c r="K710">
        <v>10</v>
      </c>
      <c r="L710">
        <v>120</v>
      </c>
      <c r="M710" t="s">
        <v>59</v>
      </c>
      <c r="N710" t="s">
        <v>25</v>
      </c>
      <c r="O710" t="s">
        <v>82</v>
      </c>
      <c r="P710">
        <v>2</v>
      </c>
    </row>
    <row r="711" spans="1:16" x14ac:dyDescent="0.25">
      <c r="A711" t="s">
        <v>1902</v>
      </c>
      <c r="B711" t="s">
        <v>470</v>
      </c>
      <c r="C711" t="s">
        <v>1903</v>
      </c>
      <c r="D711" t="s">
        <v>63</v>
      </c>
      <c r="E711" t="s">
        <v>46</v>
      </c>
      <c r="F711">
        <v>58</v>
      </c>
      <c r="G711" t="s">
        <v>53</v>
      </c>
      <c r="H711" t="s">
        <v>54</v>
      </c>
      <c r="I711" t="s">
        <v>55</v>
      </c>
      <c r="J711">
        <v>49.38</v>
      </c>
      <c r="K711">
        <v>-2</v>
      </c>
      <c r="L711">
        <v>15</v>
      </c>
      <c r="M711" t="s">
        <v>64</v>
      </c>
      <c r="N711" t="s">
        <v>81</v>
      </c>
      <c r="O711" t="s">
        <v>82</v>
      </c>
      <c r="P711">
        <v>3</v>
      </c>
    </row>
    <row r="712" spans="1:16" x14ac:dyDescent="0.25">
      <c r="A712" t="s">
        <v>1904</v>
      </c>
      <c r="B712" t="s">
        <v>106</v>
      </c>
      <c r="C712" t="s">
        <v>1905</v>
      </c>
      <c r="D712" t="s">
        <v>63</v>
      </c>
      <c r="E712" t="s">
        <v>20</v>
      </c>
      <c r="F712">
        <v>8</v>
      </c>
      <c r="G712" t="s">
        <v>86</v>
      </c>
      <c r="H712" t="s">
        <v>54</v>
      </c>
      <c r="I712" t="s">
        <v>55</v>
      </c>
      <c r="J712">
        <v>459.67</v>
      </c>
      <c r="K712">
        <v>-2</v>
      </c>
      <c r="L712">
        <v>0</v>
      </c>
      <c r="M712" t="s">
        <v>77</v>
      </c>
      <c r="N712" t="s">
        <v>91</v>
      </c>
      <c r="O712" t="s">
        <v>65</v>
      </c>
      <c r="P712">
        <v>2</v>
      </c>
    </row>
    <row r="713" spans="1:16" x14ac:dyDescent="0.25">
      <c r="A713" t="s">
        <v>1906</v>
      </c>
      <c r="B713" t="s">
        <v>1039</v>
      </c>
      <c r="C713" t="s">
        <v>1907</v>
      </c>
      <c r="D713" t="s">
        <v>37</v>
      </c>
      <c r="E713" t="s">
        <v>20</v>
      </c>
      <c r="F713">
        <v>130</v>
      </c>
      <c r="G713" t="s">
        <v>47</v>
      </c>
      <c r="H713" t="s">
        <v>31</v>
      </c>
      <c r="I713" t="s">
        <v>32</v>
      </c>
      <c r="J713">
        <v>214.46</v>
      </c>
      <c r="K713">
        <v>6</v>
      </c>
      <c r="L713">
        <v>5</v>
      </c>
      <c r="M713" t="s">
        <v>64</v>
      </c>
      <c r="N713" t="s">
        <v>81</v>
      </c>
      <c r="O713" t="s">
        <v>26</v>
      </c>
      <c r="P713">
        <v>2</v>
      </c>
    </row>
    <row r="714" spans="1:16" x14ac:dyDescent="0.25">
      <c r="A714" t="s">
        <v>1908</v>
      </c>
      <c r="B714" t="s">
        <v>1909</v>
      </c>
      <c r="C714" t="s">
        <v>1910</v>
      </c>
      <c r="E714" t="s">
        <v>20</v>
      </c>
      <c r="F714">
        <v>35</v>
      </c>
      <c r="G714" t="s">
        <v>86</v>
      </c>
      <c r="H714" t="s">
        <v>54</v>
      </c>
      <c r="I714" t="s">
        <v>55</v>
      </c>
      <c r="J714">
        <v>124.65</v>
      </c>
      <c r="K714">
        <v>6</v>
      </c>
      <c r="L714">
        <v>10</v>
      </c>
      <c r="M714" t="s">
        <v>77</v>
      </c>
      <c r="N714" t="s">
        <v>91</v>
      </c>
      <c r="O714" t="s">
        <v>33</v>
      </c>
      <c r="P714">
        <v>5</v>
      </c>
    </row>
    <row r="715" spans="1:16" x14ac:dyDescent="0.25">
      <c r="A715" t="s">
        <v>1911</v>
      </c>
      <c r="B715" t="s">
        <v>226</v>
      </c>
      <c r="C715" t="s">
        <v>1912</v>
      </c>
      <c r="D715" t="s">
        <v>117</v>
      </c>
      <c r="E715" t="s">
        <v>20</v>
      </c>
      <c r="F715">
        <v>130</v>
      </c>
      <c r="G715" t="s">
        <v>30</v>
      </c>
      <c r="H715" t="s">
        <v>54</v>
      </c>
      <c r="I715" t="s">
        <v>55</v>
      </c>
      <c r="J715">
        <v>408.47</v>
      </c>
      <c r="K715">
        <v>-2</v>
      </c>
      <c r="L715">
        <v>10</v>
      </c>
      <c r="N715" t="s">
        <v>81</v>
      </c>
      <c r="O715" t="s">
        <v>33</v>
      </c>
      <c r="P715">
        <v>2</v>
      </c>
    </row>
    <row r="716" spans="1:16" x14ac:dyDescent="0.25">
      <c r="A716" t="s">
        <v>1913</v>
      </c>
      <c r="B716" t="s">
        <v>791</v>
      </c>
      <c r="C716" t="s">
        <v>1914</v>
      </c>
      <c r="E716" t="s">
        <v>46</v>
      </c>
      <c r="F716">
        <v>8</v>
      </c>
      <c r="G716" t="s">
        <v>21</v>
      </c>
      <c r="H716" t="s">
        <v>22</v>
      </c>
      <c r="I716" t="s">
        <v>23</v>
      </c>
      <c r="J716">
        <v>221.28</v>
      </c>
      <c r="K716">
        <v>-2</v>
      </c>
      <c r="L716">
        <v>120</v>
      </c>
      <c r="N716" t="s">
        <v>41</v>
      </c>
      <c r="O716" t="s">
        <v>65</v>
      </c>
      <c r="P716">
        <v>3</v>
      </c>
    </row>
    <row r="717" spans="1:16" x14ac:dyDescent="0.25">
      <c r="A717" t="s">
        <v>1915</v>
      </c>
      <c r="B717" t="s">
        <v>341</v>
      </c>
      <c r="C717" t="s">
        <v>1916</v>
      </c>
      <c r="D717" t="s">
        <v>117</v>
      </c>
      <c r="E717" t="s">
        <v>20</v>
      </c>
      <c r="F717">
        <v>21</v>
      </c>
      <c r="G717" t="s">
        <v>38</v>
      </c>
      <c r="H717" t="s">
        <v>121</v>
      </c>
      <c r="I717" t="s">
        <v>122</v>
      </c>
      <c r="J717">
        <v>202.07</v>
      </c>
      <c r="K717">
        <v>-2</v>
      </c>
      <c r="L717">
        <v>0</v>
      </c>
      <c r="N717" t="s">
        <v>41</v>
      </c>
      <c r="O717" t="s">
        <v>33</v>
      </c>
      <c r="P717">
        <v>5</v>
      </c>
    </row>
    <row r="718" spans="1:16" x14ac:dyDescent="0.25">
      <c r="A718" t="s">
        <v>1917</v>
      </c>
      <c r="B718" t="s">
        <v>443</v>
      </c>
      <c r="C718" t="s">
        <v>1918</v>
      </c>
      <c r="D718" t="s">
        <v>117</v>
      </c>
      <c r="E718" t="s">
        <v>20</v>
      </c>
      <c r="F718">
        <v>130</v>
      </c>
      <c r="G718" t="s">
        <v>47</v>
      </c>
      <c r="H718" t="s">
        <v>22</v>
      </c>
      <c r="I718" t="s">
        <v>23</v>
      </c>
      <c r="J718">
        <v>134.79</v>
      </c>
      <c r="K718">
        <v>7</v>
      </c>
      <c r="L718">
        <v>10</v>
      </c>
      <c r="N718" t="s">
        <v>25</v>
      </c>
      <c r="O718" t="s">
        <v>33</v>
      </c>
      <c r="P718">
        <v>1</v>
      </c>
    </row>
    <row r="719" spans="1:16" x14ac:dyDescent="0.25">
      <c r="A719" t="s">
        <v>1919</v>
      </c>
      <c r="B719" t="s">
        <v>1349</v>
      </c>
      <c r="C719" t="s">
        <v>1920</v>
      </c>
      <c r="D719" t="s">
        <v>63</v>
      </c>
      <c r="E719" t="s">
        <v>20</v>
      </c>
      <c r="F719">
        <v>8</v>
      </c>
      <c r="G719" t="s">
        <v>21</v>
      </c>
      <c r="H719" t="s">
        <v>87</v>
      </c>
      <c r="I719" t="s">
        <v>49</v>
      </c>
      <c r="J719">
        <v>340.37</v>
      </c>
      <c r="K719">
        <v>2</v>
      </c>
      <c r="L719">
        <v>10</v>
      </c>
      <c r="M719" t="s">
        <v>24</v>
      </c>
      <c r="N719" t="s">
        <v>81</v>
      </c>
      <c r="O719" t="s">
        <v>33</v>
      </c>
      <c r="P719">
        <v>2</v>
      </c>
    </row>
    <row r="720" spans="1:16" x14ac:dyDescent="0.25">
      <c r="A720" t="s">
        <v>1921</v>
      </c>
      <c r="B720" t="s">
        <v>226</v>
      </c>
      <c r="C720" t="s">
        <v>1613</v>
      </c>
      <c r="D720" t="s">
        <v>69</v>
      </c>
      <c r="E720" t="s">
        <v>46</v>
      </c>
      <c r="F720">
        <v>130</v>
      </c>
      <c r="G720" t="s">
        <v>53</v>
      </c>
      <c r="H720" t="s">
        <v>31</v>
      </c>
      <c r="I720" t="s">
        <v>32</v>
      </c>
      <c r="J720">
        <v>140.34</v>
      </c>
      <c r="K720">
        <v>-2</v>
      </c>
      <c r="L720">
        <v>10</v>
      </c>
      <c r="M720" t="s">
        <v>59</v>
      </c>
      <c r="N720" t="s">
        <v>91</v>
      </c>
      <c r="O720" t="s">
        <v>33</v>
      </c>
      <c r="P720">
        <v>2</v>
      </c>
    </row>
    <row r="721" spans="1:16" x14ac:dyDescent="0.25">
      <c r="A721" t="s">
        <v>1922</v>
      </c>
      <c r="B721" t="s">
        <v>1923</v>
      </c>
      <c r="C721" t="s">
        <v>1924</v>
      </c>
      <c r="D721" t="s">
        <v>63</v>
      </c>
      <c r="E721" t="s">
        <v>20</v>
      </c>
      <c r="F721">
        <v>57</v>
      </c>
      <c r="G721" t="s">
        <v>53</v>
      </c>
      <c r="H721" t="s">
        <v>121</v>
      </c>
      <c r="I721" t="s">
        <v>122</v>
      </c>
      <c r="J721">
        <v>448.82</v>
      </c>
      <c r="K721">
        <v>-2</v>
      </c>
      <c r="L721">
        <v>10</v>
      </c>
      <c r="M721" t="s">
        <v>77</v>
      </c>
      <c r="N721" t="s">
        <v>41</v>
      </c>
      <c r="O721" t="s">
        <v>33</v>
      </c>
      <c r="P721">
        <v>4</v>
      </c>
    </row>
    <row r="722" spans="1:16" x14ac:dyDescent="0.25">
      <c r="A722" t="s">
        <v>1925</v>
      </c>
      <c r="B722" t="s">
        <v>917</v>
      </c>
      <c r="C722" t="s">
        <v>1926</v>
      </c>
      <c r="D722" t="s">
        <v>69</v>
      </c>
      <c r="E722" t="s">
        <v>20</v>
      </c>
      <c r="F722">
        <v>50</v>
      </c>
      <c r="G722" t="s">
        <v>70</v>
      </c>
      <c r="H722" t="s">
        <v>31</v>
      </c>
      <c r="I722" t="s">
        <v>32</v>
      </c>
      <c r="J722">
        <v>161.80000000000001</v>
      </c>
      <c r="K722">
        <v>-2</v>
      </c>
      <c r="L722">
        <v>120</v>
      </c>
      <c r="M722" t="s">
        <v>59</v>
      </c>
      <c r="N722" t="s">
        <v>81</v>
      </c>
      <c r="O722" t="s">
        <v>33</v>
      </c>
      <c r="P722">
        <v>5</v>
      </c>
    </row>
    <row r="723" spans="1:16" x14ac:dyDescent="0.25">
      <c r="A723" t="s">
        <v>1927</v>
      </c>
      <c r="B723" t="s">
        <v>240</v>
      </c>
      <c r="C723" t="s">
        <v>1928</v>
      </c>
      <c r="D723" t="s">
        <v>101</v>
      </c>
      <c r="E723" t="s">
        <v>20</v>
      </c>
      <c r="F723">
        <v>8</v>
      </c>
      <c r="G723" t="s">
        <v>47</v>
      </c>
      <c r="H723" t="s">
        <v>31</v>
      </c>
      <c r="I723" t="s">
        <v>32</v>
      </c>
      <c r="J723">
        <v>414.67</v>
      </c>
      <c r="K723">
        <v>-2</v>
      </c>
      <c r="L723">
        <v>5</v>
      </c>
      <c r="M723" t="s">
        <v>77</v>
      </c>
      <c r="N723" t="s">
        <v>41</v>
      </c>
      <c r="O723" t="s">
        <v>26</v>
      </c>
      <c r="P723">
        <v>4</v>
      </c>
    </row>
    <row r="724" spans="1:16" x14ac:dyDescent="0.25">
      <c r="A724" t="s">
        <v>1929</v>
      </c>
      <c r="B724" t="s">
        <v>1895</v>
      </c>
      <c r="C724" t="s">
        <v>1930</v>
      </c>
      <c r="E724" t="s">
        <v>46</v>
      </c>
      <c r="F724">
        <v>130</v>
      </c>
      <c r="G724" t="s">
        <v>21</v>
      </c>
      <c r="H724" t="s">
        <v>54</v>
      </c>
      <c r="I724" t="s">
        <v>55</v>
      </c>
      <c r="J724">
        <v>93.2</v>
      </c>
      <c r="K724">
        <v>-2</v>
      </c>
      <c r="L724">
        <v>120</v>
      </c>
      <c r="M724" t="s">
        <v>24</v>
      </c>
      <c r="N724" t="s">
        <v>91</v>
      </c>
      <c r="O724" t="s">
        <v>82</v>
      </c>
      <c r="P724">
        <v>3</v>
      </c>
    </row>
    <row r="725" spans="1:16" x14ac:dyDescent="0.25">
      <c r="A725" t="s">
        <v>1931</v>
      </c>
      <c r="B725" t="s">
        <v>1932</v>
      </c>
      <c r="C725" t="s">
        <v>1933</v>
      </c>
      <c r="D725" t="s">
        <v>117</v>
      </c>
      <c r="E725" t="s">
        <v>46</v>
      </c>
      <c r="F725">
        <v>130</v>
      </c>
      <c r="G725" t="s">
        <v>30</v>
      </c>
      <c r="H725" t="s">
        <v>54</v>
      </c>
      <c r="I725" t="s">
        <v>55</v>
      </c>
      <c r="J725">
        <v>404.59</v>
      </c>
      <c r="K725">
        <v>-2</v>
      </c>
      <c r="L725">
        <v>-10</v>
      </c>
      <c r="M725" t="s">
        <v>24</v>
      </c>
      <c r="N725" t="s">
        <v>25</v>
      </c>
      <c r="O725" t="s">
        <v>33</v>
      </c>
      <c r="P725">
        <v>3</v>
      </c>
    </row>
    <row r="726" spans="1:16" x14ac:dyDescent="0.25">
      <c r="A726" t="s">
        <v>1934</v>
      </c>
      <c r="B726" t="s">
        <v>1935</v>
      </c>
      <c r="C726" t="s">
        <v>1936</v>
      </c>
      <c r="D726" t="s">
        <v>19</v>
      </c>
      <c r="E726" t="s">
        <v>46</v>
      </c>
      <c r="F726">
        <v>8</v>
      </c>
      <c r="G726" t="s">
        <v>30</v>
      </c>
      <c r="H726" t="s">
        <v>87</v>
      </c>
      <c r="I726" t="s">
        <v>49</v>
      </c>
      <c r="J726">
        <v>18.27</v>
      </c>
      <c r="K726">
        <v>-2</v>
      </c>
      <c r="L726">
        <v>10</v>
      </c>
      <c r="M726" t="s">
        <v>64</v>
      </c>
      <c r="N726" t="s">
        <v>81</v>
      </c>
      <c r="O726" t="s">
        <v>26</v>
      </c>
      <c r="P726">
        <v>1</v>
      </c>
    </row>
    <row r="727" spans="1:16" x14ac:dyDescent="0.25">
      <c r="A727" t="s">
        <v>1937</v>
      </c>
      <c r="B727" t="s">
        <v>1938</v>
      </c>
      <c r="C727" t="s">
        <v>605</v>
      </c>
      <c r="D727" t="s">
        <v>69</v>
      </c>
      <c r="E727" t="s">
        <v>46</v>
      </c>
      <c r="F727">
        <v>130</v>
      </c>
      <c r="G727" t="s">
        <v>70</v>
      </c>
      <c r="H727" t="s">
        <v>48</v>
      </c>
      <c r="I727" t="s">
        <v>49</v>
      </c>
      <c r="J727">
        <v>355.98</v>
      </c>
      <c r="K727">
        <v>9</v>
      </c>
      <c r="L727">
        <v>15</v>
      </c>
      <c r="M727" t="s">
        <v>24</v>
      </c>
      <c r="N727" t="s">
        <v>25</v>
      </c>
      <c r="O727" t="s">
        <v>65</v>
      </c>
      <c r="P727">
        <v>3</v>
      </c>
    </row>
    <row r="728" spans="1:16" x14ac:dyDescent="0.25">
      <c r="A728" t="s">
        <v>1939</v>
      </c>
      <c r="B728" t="s">
        <v>1940</v>
      </c>
      <c r="C728" t="s">
        <v>1941</v>
      </c>
      <c r="D728" t="s">
        <v>37</v>
      </c>
      <c r="E728" t="s">
        <v>46</v>
      </c>
      <c r="F728">
        <v>8</v>
      </c>
      <c r="G728" t="s">
        <v>21</v>
      </c>
      <c r="H728" t="s">
        <v>31</v>
      </c>
      <c r="I728" t="s">
        <v>32</v>
      </c>
      <c r="J728">
        <v>36.130000000000003</v>
      </c>
      <c r="K728">
        <v>-2</v>
      </c>
      <c r="L728">
        <v>0</v>
      </c>
      <c r="M728" t="s">
        <v>64</v>
      </c>
      <c r="N728" t="s">
        <v>81</v>
      </c>
      <c r="O728" t="s">
        <v>65</v>
      </c>
      <c r="P728">
        <v>1</v>
      </c>
    </row>
    <row r="729" spans="1:16" x14ac:dyDescent="0.25">
      <c r="A729" t="s">
        <v>1942</v>
      </c>
      <c r="B729" t="s">
        <v>473</v>
      </c>
      <c r="C729" t="s">
        <v>1943</v>
      </c>
      <c r="D729" t="s">
        <v>19</v>
      </c>
      <c r="E729" t="s">
        <v>20</v>
      </c>
      <c r="F729">
        <v>8</v>
      </c>
      <c r="G729" t="s">
        <v>53</v>
      </c>
      <c r="H729" t="s">
        <v>39</v>
      </c>
      <c r="I729" t="s">
        <v>40</v>
      </c>
      <c r="J729">
        <v>271.72000000000003</v>
      </c>
      <c r="K729">
        <v>-2</v>
      </c>
      <c r="L729">
        <v>15</v>
      </c>
      <c r="M729" t="s">
        <v>59</v>
      </c>
      <c r="N729" t="s">
        <v>91</v>
      </c>
      <c r="O729" t="s">
        <v>65</v>
      </c>
      <c r="P729">
        <v>5</v>
      </c>
    </row>
    <row r="730" spans="1:16" x14ac:dyDescent="0.25">
      <c r="A730" t="s">
        <v>1944</v>
      </c>
      <c r="B730" t="s">
        <v>1635</v>
      </c>
      <c r="C730" t="s">
        <v>1945</v>
      </c>
      <c r="D730" t="s">
        <v>117</v>
      </c>
      <c r="E730" t="s">
        <v>46</v>
      </c>
      <c r="F730">
        <v>8</v>
      </c>
      <c r="G730" t="s">
        <v>86</v>
      </c>
      <c r="H730" t="s">
        <v>87</v>
      </c>
      <c r="I730" t="s">
        <v>49</v>
      </c>
      <c r="J730">
        <v>482.4</v>
      </c>
      <c r="K730">
        <v>-2</v>
      </c>
      <c r="L730">
        <v>120</v>
      </c>
      <c r="N730" t="s">
        <v>41</v>
      </c>
      <c r="O730" t="s">
        <v>33</v>
      </c>
      <c r="P730">
        <v>5</v>
      </c>
    </row>
    <row r="731" spans="1:16" x14ac:dyDescent="0.25">
      <c r="A731" t="s">
        <v>1946</v>
      </c>
      <c r="B731" t="s">
        <v>115</v>
      </c>
      <c r="C731" t="s">
        <v>1947</v>
      </c>
      <c r="D731" t="s">
        <v>69</v>
      </c>
      <c r="E731" t="s">
        <v>46</v>
      </c>
      <c r="F731">
        <v>130</v>
      </c>
      <c r="G731" t="s">
        <v>53</v>
      </c>
      <c r="H731" t="s">
        <v>48</v>
      </c>
      <c r="I731" t="s">
        <v>49</v>
      </c>
      <c r="J731">
        <v>168.45</v>
      </c>
      <c r="K731">
        <v>-2</v>
      </c>
      <c r="L731">
        <v>10</v>
      </c>
      <c r="N731" t="s">
        <v>91</v>
      </c>
      <c r="O731" t="s">
        <v>33</v>
      </c>
      <c r="P731">
        <v>2</v>
      </c>
    </row>
    <row r="732" spans="1:16" x14ac:dyDescent="0.25">
      <c r="A732" t="s">
        <v>1948</v>
      </c>
      <c r="B732" t="s">
        <v>1949</v>
      </c>
      <c r="C732" t="s">
        <v>1950</v>
      </c>
      <c r="D732" t="s">
        <v>69</v>
      </c>
      <c r="E732" t="s">
        <v>46</v>
      </c>
      <c r="F732">
        <v>130</v>
      </c>
      <c r="G732" t="s">
        <v>30</v>
      </c>
      <c r="H732" t="s">
        <v>121</v>
      </c>
      <c r="I732" t="s">
        <v>122</v>
      </c>
      <c r="J732">
        <v>448.25</v>
      </c>
      <c r="K732">
        <v>6</v>
      </c>
      <c r="L732">
        <v>5</v>
      </c>
      <c r="M732" t="s">
        <v>24</v>
      </c>
      <c r="N732" t="s">
        <v>81</v>
      </c>
      <c r="O732" t="s">
        <v>33</v>
      </c>
      <c r="P732">
        <v>4</v>
      </c>
    </row>
    <row r="733" spans="1:16" x14ac:dyDescent="0.25">
      <c r="A733" t="s">
        <v>1951</v>
      </c>
      <c r="B733" t="s">
        <v>1064</v>
      </c>
      <c r="C733" t="s">
        <v>1952</v>
      </c>
      <c r="D733" t="s">
        <v>69</v>
      </c>
      <c r="E733" t="s">
        <v>46</v>
      </c>
      <c r="F733">
        <v>55</v>
      </c>
      <c r="G733" t="s">
        <v>30</v>
      </c>
      <c r="H733" t="s">
        <v>87</v>
      </c>
      <c r="I733" t="s">
        <v>49</v>
      </c>
      <c r="J733">
        <v>332.15</v>
      </c>
      <c r="K733">
        <v>4</v>
      </c>
      <c r="L733">
        <v>10</v>
      </c>
      <c r="M733" t="s">
        <v>24</v>
      </c>
      <c r="N733" t="s">
        <v>81</v>
      </c>
      <c r="O733" t="s">
        <v>65</v>
      </c>
      <c r="P733">
        <v>5</v>
      </c>
    </row>
    <row r="734" spans="1:16" x14ac:dyDescent="0.25">
      <c r="A734" t="s">
        <v>1953</v>
      </c>
      <c r="B734" t="s">
        <v>1954</v>
      </c>
      <c r="C734" t="s">
        <v>1955</v>
      </c>
      <c r="D734" t="s">
        <v>37</v>
      </c>
      <c r="E734" t="s">
        <v>20</v>
      </c>
      <c r="F734">
        <v>130</v>
      </c>
      <c r="G734" t="s">
        <v>70</v>
      </c>
      <c r="H734" t="s">
        <v>39</v>
      </c>
      <c r="I734" t="s">
        <v>40</v>
      </c>
      <c r="J734">
        <v>227.53</v>
      </c>
      <c r="K734">
        <v>9</v>
      </c>
      <c r="L734">
        <v>5</v>
      </c>
      <c r="M734" t="s">
        <v>24</v>
      </c>
      <c r="N734" t="s">
        <v>91</v>
      </c>
      <c r="O734" t="s">
        <v>33</v>
      </c>
      <c r="P734">
        <v>1</v>
      </c>
    </row>
    <row r="735" spans="1:16" x14ac:dyDescent="0.25">
      <c r="A735" t="s">
        <v>1956</v>
      </c>
      <c r="B735" t="s">
        <v>1940</v>
      </c>
      <c r="C735" t="s">
        <v>1957</v>
      </c>
      <c r="D735" t="s">
        <v>63</v>
      </c>
      <c r="E735" t="s">
        <v>46</v>
      </c>
      <c r="F735">
        <v>130</v>
      </c>
      <c r="G735" t="s">
        <v>21</v>
      </c>
      <c r="H735" t="s">
        <v>22</v>
      </c>
      <c r="I735" t="s">
        <v>23</v>
      </c>
      <c r="J735">
        <v>290.77999999999997</v>
      </c>
      <c r="K735">
        <v>-2</v>
      </c>
      <c r="L735">
        <v>-10</v>
      </c>
      <c r="M735" t="s">
        <v>24</v>
      </c>
      <c r="N735" t="s">
        <v>91</v>
      </c>
      <c r="O735" t="s">
        <v>33</v>
      </c>
      <c r="P735">
        <v>4</v>
      </c>
    </row>
    <row r="736" spans="1:16" x14ac:dyDescent="0.25">
      <c r="A736" t="s">
        <v>1958</v>
      </c>
      <c r="B736" t="s">
        <v>1327</v>
      </c>
      <c r="C736" t="s">
        <v>1959</v>
      </c>
      <c r="D736" t="s">
        <v>19</v>
      </c>
      <c r="E736" t="s">
        <v>20</v>
      </c>
      <c r="F736">
        <v>8</v>
      </c>
      <c r="G736" t="s">
        <v>47</v>
      </c>
      <c r="H736" t="s">
        <v>87</v>
      </c>
      <c r="I736" t="s">
        <v>49</v>
      </c>
      <c r="J736">
        <v>56.79</v>
      </c>
      <c r="K736">
        <v>-2</v>
      </c>
      <c r="L736">
        <v>0</v>
      </c>
      <c r="N736" t="s">
        <v>81</v>
      </c>
      <c r="O736" t="s">
        <v>33</v>
      </c>
      <c r="P736">
        <v>4</v>
      </c>
    </row>
    <row r="737" spans="1:16" x14ac:dyDescent="0.25">
      <c r="A737" t="s">
        <v>1960</v>
      </c>
      <c r="B737" t="s">
        <v>1628</v>
      </c>
      <c r="C737" t="s">
        <v>1961</v>
      </c>
      <c r="D737" t="s">
        <v>63</v>
      </c>
      <c r="E737" t="s">
        <v>46</v>
      </c>
      <c r="F737">
        <v>39</v>
      </c>
      <c r="G737" t="s">
        <v>53</v>
      </c>
      <c r="H737" t="s">
        <v>22</v>
      </c>
      <c r="I737" t="s">
        <v>23</v>
      </c>
      <c r="J737">
        <v>392.13</v>
      </c>
      <c r="K737">
        <v>1</v>
      </c>
      <c r="L737">
        <v>-10</v>
      </c>
      <c r="M737" t="s">
        <v>77</v>
      </c>
      <c r="N737" t="s">
        <v>25</v>
      </c>
      <c r="O737" t="s">
        <v>33</v>
      </c>
      <c r="P737">
        <v>3</v>
      </c>
    </row>
    <row r="738" spans="1:16" x14ac:dyDescent="0.25">
      <c r="A738" t="s">
        <v>1962</v>
      </c>
      <c r="B738" t="s">
        <v>1092</v>
      </c>
      <c r="C738" t="s">
        <v>1963</v>
      </c>
      <c r="D738" t="s">
        <v>101</v>
      </c>
      <c r="E738" t="s">
        <v>46</v>
      </c>
      <c r="F738">
        <v>130</v>
      </c>
      <c r="G738" t="s">
        <v>86</v>
      </c>
      <c r="H738" t="s">
        <v>54</v>
      </c>
      <c r="I738" t="s">
        <v>55</v>
      </c>
      <c r="J738">
        <v>153.41999999999999</v>
      </c>
      <c r="K738">
        <v>6</v>
      </c>
      <c r="L738">
        <v>120</v>
      </c>
      <c r="M738" t="s">
        <v>59</v>
      </c>
      <c r="N738" t="s">
        <v>25</v>
      </c>
      <c r="O738" t="s">
        <v>65</v>
      </c>
      <c r="P738">
        <v>2</v>
      </c>
    </row>
    <row r="739" spans="1:16" x14ac:dyDescent="0.25">
      <c r="A739" t="s">
        <v>1964</v>
      </c>
      <c r="B739" t="s">
        <v>440</v>
      </c>
      <c r="C739" t="s">
        <v>1965</v>
      </c>
      <c r="D739" t="s">
        <v>101</v>
      </c>
      <c r="E739" t="s">
        <v>20</v>
      </c>
      <c r="F739">
        <v>8</v>
      </c>
      <c r="G739" t="s">
        <v>47</v>
      </c>
      <c r="H739" t="s">
        <v>22</v>
      </c>
      <c r="I739" t="s">
        <v>23</v>
      </c>
      <c r="J739">
        <v>199.05</v>
      </c>
      <c r="K739">
        <v>-2</v>
      </c>
      <c r="L739">
        <v>120</v>
      </c>
      <c r="M739" t="s">
        <v>24</v>
      </c>
      <c r="N739" t="s">
        <v>41</v>
      </c>
      <c r="O739" t="s">
        <v>33</v>
      </c>
      <c r="P739">
        <v>3</v>
      </c>
    </row>
    <row r="740" spans="1:16" x14ac:dyDescent="0.25">
      <c r="A740" t="s">
        <v>1966</v>
      </c>
      <c r="B740" t="s">
        <v>1967</v>
      </c>
      <c r="C740" t="s">
        <v>1968</v>
      </c>
      <c r="D740" t="s">
        <v>19</v>
      </c>
      <c r="E740" t="s">
        <v>20</v>
      </c>
      <c r="F740">
        <v>8</v>
      </c>
      <c r="G740" t="s">
        <v>86</v>
      </c>
      <c r="H740" t="s">
        <v>54</v>
      </c>
      <c r="I740" t="s">
        <v>55</v>
      </c>
      <c r="J740">
        <v>332.52</v>
      </c>
      <c r="K740">
        <v>-2</v>
      </c>
      <c r="L740">
        <v>5</v>
      </c>
      <c r="M740" t="s">
        <v>77</v>
      </c>
      <c r="N740" t="s">
        <v>41</v>
      </c>
      <c r="O740" t="s">
        <v>65</v>
      </c>
      <c r="P740">
        <v>1</v>
      </c>
    </row>
    <row r="741" spans="1:16" x14ac:dyDescent="0.25">
      <c r="A741" t="s">
        <v>1969</v>
      </c>
      <c r="B741" t="s">
        <v>1312</v>
      </c>
      <c r="C741" t="s">
        <v>1970</v>
      </c>
      <c r="D741" t="s">
        <v>37</v>
      </c>
      <c r="E741" t="s">
        <v>46</v>
      </c>
      <c r="F741">
        <v>8</v>
      </c>
      <c r="G741" t="s">
        <v>53</v>
      </c>
      <c r="H741" t="s">
        <v>39</v>
      </c>
      <c r="I741" t="s">
        <v>40</v>
      </c>
      <c r="J741">
        <v>286.72000000000003</v>
      </c>
      <c r="K741">
        <v>-2</v>
      </c>
      <c r="L741">
        <v>-10</v>
      </c>
      <c r="M741" t="s">
        <v>24</v>
      </c>
      <c r="N741" t="s">
        <v>25</v>
      </c>
      <c r="O741" t="s">
        <v>82</v>
      </c>
      <c r="P741">
        <v>2</v>
      </c>
    </row>
    <row r="742" spans="1:16" x14ac:dyDescent="0.25">
      <c r="A742" t="s">
        <v>1971</v>
      </c>
      <c r="B742" t="s">
        <v>1972</v>
      </c>
      <c r="C742" t="s">
        <v>1973</v>
      </c>
      <c r="D742" t="s">
        <v>45</v>
      </c>
      <c r="E742" t="s">
        <v>20</v>
      </c>
      <c r="F742">
        <v>8</v>
      </c>
      <c r="G742" t="s">
        <v>30</v>
      </c>
      <c r="H742" t="s">
        <v>87</v>
      </c>
      <c r="I742" t="s">
        <v>49</v>
      </c>
      <c r="J742">
        <v>481.45</v>
      </c>
      <c r="K742">
        <v>-2</v>
      </c>
      <c r="L742">
        <v>0</v>
      </c>
      <c r="N742" t="s">
        <v>81</v>
      </c>
      <c r="O742" t="s">
        <v>82</v>
      </c>
      <c r="P742">
        <v>2</v>
      </c>
    </row>
    <row r="743" spans="1:16" x14ac:dyDescent="0.25">
      <c r="A743" t="s">
        <v>1974</v>
      </c>
      <c r="B743" t="s">
        <v>1089</v>
      </c>
      <c r="C743" t="s">
        <v>1975</v>
      </c>
      <c r="D743" t="s">
        <v>19</v>
      </c>
      <c r="E743" t="s">
        <v>46</v>
      </c>
      <c r="F743">
        <v>130</v>
      </c>
      <c r="G743" t="s">
        <v>53</v>
      </c>
      <c r="H743" t="s">
        <v>121</v>
      </c>
      <c r="I743" t="s">
        <v>122</v>
      </c>
      <c r="J743">
        <v>329.19</v>
      </c>
      <c r="K743">
        <v>3</v>
      </c>
      <c r="L743">
        <v>10</v>
      </c>
      <c r="M743" t="s">
        <v>59</v>
      </c>
      <c r="N743" t="s">
        <v>25</v>
      </c>
      <c r="O743" t="s">
        <v>26</v>
      </c>
      <c r="P743">
        <v>2</v>
      </c>
    </row>
    <row r="744" spans="1:16" x14ac:dyDescent="0.25">
      <c r="A744" t="s">
        <v>1976</v>
      </c>
      <c r="B744" t="s">
        <v>820</v>
      </c>
      <c r="C744" t="s">
        <v>1977</v>
      </c>
      <c r="E744" t="s">
        <v>46</v>
      </c>
      <c r="F744">
        <v>130</v>
      </c>
      <c r="G744" t="s">
        <v>86</v>
      </c>
      <c r="H744" t="s">
        <v>22</v>
      </c>
      <c r="I744" t="s">
        <v>23</v>
      </c>
      <c r="J744">
        <v>457.91</v>
      </c>
      <c r="K744">
        <v>-2</v>
      </c>
      <c r="L744">
        <v>5</v>
      </c>
      <c r="M744" t="s">
        <v>59</v>
      </c>
      <c r="N744" t="s">
        <v>91</v>
      </c>
      <c r="O744" t="s">
        <v>33</v>
      </c>
    </row>
    <row r="745" spans="1:16" x14ac:dyDescent="0.25">
      <c r="A745" t="s">
        <v>1978</v>
      </c>
      <c r="B745" t="s">
        <v>1979</v>
      </c>
      <c r="C745" t="s">
        <v>1980</v>
      </c>
      <c r="D745" t="s">
        <v>117</v>
      </c>
      <c r="E745" t="s">
        <v>46</v>
      </c>
      <c r="F745">
        <v>8</v>
      </c>
      <c r="G745" t="s">
        <v>38</v>
      </c>
      <c r="H745" t="s">
        <v>39</v>
      </c>
      <c r="I745" t="s">
        <v>40</v>
      </c>
      <c r="J745">
        <v>484.32</v>
      </c>
      <c r="K745">
        <v>-2</v>
      </c>
      <c r="L745">
        <v>0</v>
      </c>
      <c r="M745" t="s">
        <v>24</v>
      </c>
      <c r="N745" t="s">
        <v>91</v>
      </c>
      <c r="O745" t="s">
        <v>65</v>
      </c>
      <c r="P745">
        <v>2</v>
      </c>
    </row>
    <row r="746" spans="1:16" x14ac:dyDescent="0.25">
      <c r="A746" t="s">
        <v>1981</v>
      </c>
      <c r="B746" t="s">
        <v>1982</v>
      </c>
      <c r="C746" t="s">
        <v>1983</v>
      </c>
      <c r="D746" t="s">
        <v>45</v>
      </c>
      <c r="E746" t="s">
        <v>46</v>
      </c>
      <c r="F746">
        <v>8</v>
      </c>
      <c r="G746" t="s">
        <v>86</v>
      </c>
      <c r="H746" t="s">
        <v>31</v>
      </c>
      <c r="I746" t="s">
        <v>32</v>
      </c>
      <c r="J746">
        <v>202.1</v>
      </c>
      <c r="K746">
        <v>-2</v>
      </c>
      <c r="L746">
        <v>0</v>
      </c>
      <c r="N746" t="s">
        <v>81</v>
      </c>
      <c r="O746" t="s">
        <v>26</v>
      </c>
      <c r="P746">
        <v>5</v>
      </c>
    </row>
    <row r="747" spans="1:16" x14ac:dyDescent="0.25">
      <c r="A747" t="s">
        <v>1984</v>
      </c>
      <c r="B747" t="s">
        <v>249</v>
      </c>
      <c r="C747" t="s">
        <v>717</v>
      </c>
      <c r="D747" t="s">
        <v>37</v>
      </c>
      <c r="E747" t="s">
        <v>20</v>
      </c>
      <c r="F747">
        <v>130</v>
      </c>
      <c r="G747" t="s">
        <v>86</v>
      </c>
      <c r="H747" t="s">
        <v>22</v>
      </c>
      <c r="I747" t="s">
        <v>23</v>
      </c>
      <c r="J747">
        <v>493.07</v>
      </c>
      <c r="K747">
        <v>-2</v>
      </c>
      <c r="L747">
        <v>15</v>
      </c>
      <c r="M747" t="s">
        <v>77</v>
      </c>
      <c r="N747" t="s">
        <v>91</v>
      </c>
      <c r="O747" t="s">
        <v>33</v>
      </c>
      <c r="P747">
        <v>2</v>
      </c>
    </row>
    <row r="748" spans="1:16" x14ac:dyDescent="0.25">
      <c r="A748" t="s">
        <v>1985</v>
      </c>
      <c r="B748" t="s">
        <v>1437</v>
      </c>
      <c r="C748" t="s">
        <v>1986</v>
      </c>
      <c r="D748" t="s">
        <v>45</v>
      </c>
      <c r="E748" t="s">
        <v>46</v>
      </c>
      <c r="F748">
        <v>37</v>
      </c>
      <c r="G748" t="s">
        <v>38</v>
      </c>
      <c r="H748" t="s">
        <v>48</v>
      </c>
      <c r="I748" t="s">
        <v>49</v>
      </c>
      <c r="J748">
        <v>319.5</v>
      </c>
      <c r="K748">
        <v>-2</v>
      </c>
      <c r="L748">
        <v>10</v>
      </c>
      <c r="M748" t="s">
        <v>77</v>
      </c>
      <c r="N748" t="s">
        <v>41</v>
      </c>
      <c r="O748" t="s">
        <v>33</v>
      </c>
    </row>
    <row r="749" spans="1:16" x14ac:dyDescent="0.25">
      <c r="A749" t="s">
        <v>1987</v>
      </c>
      <c r="B749" t="s">
        <v>590</v>
      </c>
      <c r="C749" t="s">
        <v>1988</v>
      </c>
      <c r="D749" t="s">
        <v>101</v>
      </c>
      <c r="E749" t="s">
        <v>46</v>
      </c>
      <c r="F749">
        <v>130</v>
      </c>
      <c r="G749" t="s">
        <v>53</v>
      </c>
      <c r="H749" t="s">
        <v>121</v>
      </c>
      <c r="I749" t="s">
        <v>122</v>
      </c>
      <c r="J749">
        <v>384.7</v>
      </c>
      <c r="K749">
        <v>6</v>
      </c>
      <c r="L749">
        <v>10</v>
      </c>
      <c r="N749" t="s">
        <v>25</v>
      </c>
      <c r="O749" t="s">
        <v>33</v>
      </c>
      <c r="P749">
        <v>4</v>
      </c>
    </row>
    <row r="750" spans="1:16" x14ac:dyDescent="0.25">
      <c r="A750" t="s">
        <v>343</v>
      </c>
      <c r="B750" t="s">
        <v>568</v>
      </c>
      <c r="C750" t="s">
        <v>145</v>
      </c>
      <c r="D750" t="s">
        <v>63</v>
      </c>
      <c r="E750" t="s">
        <v>20</v>
      </c>
      <c r="F750">
        <v>130</v>
      </c>
      <c r="G750" t="s">
        <v>21</v>
      </c>
      <c r="H750" t="s">
        <v>22</v>
      </c>
      <c r="I750" t="s">
        <v>23</v>
      </c>
      <c r="J750">
        <v>383.41</v>
      </c>
      <c r="K750">
        <v>-2</v>
      </c>
      <c r="L750">
        <v>0</v>
      </c>
      <c r="N750" t="s">
        <v>25</v>
      </c>
      <c r="O750" t="s">
        <v>26</v>
      </c>
      <c r="P750">
        <v>4</v>
      </c>
    </row>
    <row r="751" spans="1:16" x14ac:dyDescent="0.25">
      <c r="A751" t="s">
        <v>1989</v>
      </c>
      <c r="B751" t="s">
        <v>1612</v>
      </c>
      <c r="C751" t="s">
        <v>1990</v>
      </c>
      <c r="D751" t="s">
        <v>69</v>
      </c>
      <c r="E751" t="s">
        <v>20</v>
      </c>
      <c r="F751">
        <v>8</v>
      </c>
      <c r="G751" t="s">
        <v>53</v>
      </c>
      <c r="H751" t="s">
        <v>121</v>
      </c>
      <c r="I751" t="s">
        <v>122</v>
      </c>
      <c r="J751">
        <v>191.5</v>
      </c>
      <c r="K751">
        <v>7</v>
      </c>
      <c r="L751">
        <v>15</v>
      </c>
      <c r="M751" t="s">
        <v>77</v>
      </c>
      <c r="N751" t="s">
        <v>41</v>
      </c>
      <c r="O751" t="s">
        <v>82</v>
      </c>
    </row>
    <row r="752" spans="1:16" x14ac:dyDescent="0.25">
      <c r="A752" t="s">
        <v>1991</v>
      </c>
      <c r="B752" t="s">
        <v>79</v>
      </c>
      <c r="C752" t="s">
        <v>1992</v>
      </c>
      <c r="D752" t="s">
        <v>63</v>
      </c>
      <c r="E752" t="s">
        <v>46</v>
      </c>
      <c r="F752">
        <v>8</v>
      </c>
      <c r="G752" t="s">
        <v>53</v>
      </c>
      <c r="H752" t="s">
        <v>87</v>
      </c>
      <c r="I752" t="s">
        <v>49</v>
      </c>
      <c r="J752">
        <v>472.78</v>
      </c>
      <c r="K752">
        <v>-2</v>
      </c>
      <c r="L752">
        <v>5</v>
      </c>
      <c r="M752" t="s">
        <v>77</v>
      </c>
      <c r="N752" t="s">
        <v>25</v>
      </c>
      <c r="O752" t="s">
        <v>65</v>
      </c>
      <c r="P752">
        <v>1</v>
      </c>
    </row>
    <row r="753" spans="1:16" x14ac:dyDescent="0.25">
      <c r="A753" t="s">
        <v>1993</v>
      </c>
      <c r="B753" t="s">
        <v>1846</v>
      </c>
      <c r="C753" t="s">
        <v>1994</v>
      </c>
      <c r="D753" t="s">
        <v>45</v>
      </c>
      <c r="E753" t="s">
        <v>46</v>
      </c>
      <c r="F753">
        <v>30</v>
      </c>
      <c r="G753" t="s">
        <v>86</v>
      </c>
      <c r="H753" t="s">
        <v>39</v>
      </c>
      <c r="I753" t="s">
        <v>40</v>
      </c>
      <c r="J753">
        <v>138.71</v>
      </c>
      <c r="K753">
        <v>3</v>
      </c>
      <c r="L753">
        <v>15</v>
      </c>
      <c r="M753" t="s">
        <v>64</v>
      </c>
      <c r="N753" t="s">
        <v>41</v>
      </c>
      <c r="O753" t="s">
        <v>26</v>
      </c>
      <c r="P753">
        <v>5</v>
      </c>
    </row>
    <row r="754" spans="1:16" x14ac:dyDescent="0.25">
      <c r="A754" t="s">
        <v>1995</v>
      </c>
      <c r="B754" t="s">
        <v>1996</v>
      </c>
      <c r="C754" t="s">
        <v>1997</v>
      </c>
      <c r="E754" t="s">
        <v>46</v>
      </c>
      <c r="F754">
        <v>130</v>
      </c>
      <c r="G754" t="s">
        <v>21</v>
      </c>
      <c r="H754" t="s">
        <v>48</v>
      </c>
      <c r="I754" t="s">
        <v>49</v>
      </c>
      <c r="J754">
        <v>410.49</v>
      </c>
      <c r="K754">
        <v>-2</v>
      </c>
      <c r="L754">
        <v>0</v>
      </c>
      <c r="M754" t="s">
        <v>77</v>
      </c>
      <c r="N754" t="s">
        <v>41</v>
      </c>
      <c r="O754" t="s">
        <v>82</v>
      </c>
    </row>
    <row r="755" spans="1:16" x14ac:dyDescent="0.25">
      <c r="A755" t="s">
        <v>1998</v>
      </c>
      <c r="B755" t="s">
        <v>282</v>
      </c>
      <c r="C755" t="s">
        <v>726</v>
      </c>
      <c r="D755" t="s">
        <v>117</v>
      </c>
      <c r="E755" t="s">
        <v>46</v>
      </c>
      <c r="F755">
        <v>62</v>
      </c>
      <c r="G755" t="s">
        <v>30</v>
      </c>
      <c r="H755" t="s">
        <v>39</v>
      </c>
      <c r="I755" t="s">
        <v>40</v>
      </c>
      <c r="J755">
        <v>141.74</v>
      </c>
      <c r="K755">
        <v>-2</v>
      </c>
      <c r="L755">
        <v>15</v>
      </c>
      <c r="M755" t="s">
        <v>59</v>
      </c>
      <c r="N755" t="s">
        <v>25</v>
      </c>
      <c r="O755" t="s">
        <v>82</v>
      </c>
      <c r="P755">
        <v>3</v>
      </c>
    </row>
    <row r="756" spans="1:16" x14ac:dyDescent="0.25">
      <c r="A756" t="s">
        <v>1999</v>
      </c>
      <c r="B756" t="s">
        <v>2000</v>
      </c>
      <c r="C756" t="s">
        <v>2001</v>
      </c>
      <c r="D756" t="s">
        <v>45</v>
      </c>
      <c r="E756" t="s">
        <v>46</v>
      </c>
      <c r="F756">
        <v>8</v>
      </c>
      <c r="G756" t="s">
        <v>70</v>
      </c>
      <c r="H756" t="s">
        <v>48</v>
      </c>
      <c r="I756" t="s">
        <v>49</v>
      </c>
      <c r="J756">
        <v>94.75</v>
      </c>
      <c r="K756">
        <v>10</v>
      </c>
      <c r="L756">
        <v>120</v>
      </c>
      <c r="N756" t="s">
        <v>81</v>
      </c>
      <c r="O756" t="s">
        <v>26</v>
      </c>
    </row>
    <row r="757" spans="1:16" x14ac:dyDescent="0.25">
      <c r="A757" t="s">
        <v>2002</v>
      </c>
      <c r="B757" t="s">
        <v>536</v>
      </c>
      <c r="C757" t="s">
        <v>2003</v>
      </c>
      <c r="E757" t="s">
        <v>46</v>
      </c>
      <c r="F757">
        <v>8</v>
      </c>
      <c r="G757" t="s">
        <v>53</v>
      </c>
      <c r="H757" t="s">
        <v>31</v>
      </c>
      <c r="I757" t="s">
        <v>32</v>
      </c>
      <c r="J757">
        <v>304.31</v>
      </c>
      <c r="K757">
        <v>-2</v>
      </c>
      <c r="L757">
        <v>120</v>
      </c>
      <c r="M757" t="s">
        <v>64</v>
      </c>
      <c r="N757" t="s">
        <v>81</v>
      </c>
      <c r="O757" t="s">
        <v>65</v>
      </c>
    </row>
    <row r="758" spans="1:16" x14ac:dyDescent="0.25">
      <c r="A758" t="s">
        <v>2004</v>
      </c>
      <c r="B758" t="s">
        <v>2005</v>
      </c>
      <c r="C758" t="s">
        <v>2006</v>
      </c>
      <c r="D758" t="s">
        <v>37</v>
      </c>
      <c r="E758" t="s">
        <v>46</v>
      </c>
      <c r="F758">
        <v>130</v>
      </c>
      <c r="G758" t="s">
        <v>86</v>
      </c>
      <c r="H758" t="s">
        <v>31</v>
      </c>
      <c r="I758" t="s">
        <v>32</v>
      </c>
      <c r="J758">
        <v>481.32</v>
      </c>
      <c r="K758">
        <v>-2</v>
      </c>
      <c r="L758">
        <v>15</v>
      </c>
      <c r="N758" t="s">
        <v>81</v>
      </c>
      <c r="O758" t="s">
        <v>65</v>
      </c>
    </row>
    <row r="759" spans="1:16" x14ac:dyDescent="0.25">
      <c r="A759" t="s">
        <v>2007</v>
      </c>
      <c r="B759" t="s">
        <v>232</v>
      </c>
      <c r="C759" t="s">
        <v>2008</v>
      </c>
      <c r="D759" t="s">
        <v>37</v>
      </c>
      <c r="E759" t="s">
        <v>20</v>
      </c>
      <c r="F759">
        <v>52</v>
      </c>
      <c r="G759" t="s">
        <v>38</v>
      </c>
      <c r="H759" t="s">
        <v>121</v>
      </c>
      <c r="I759" t="s">
        <v>122</v>
      </c>
      <c r="J759">
        <v>192.14</v>
      </c>
      <c r="K759">
        <v>8</v>
      </c>
      <c r="L759">
        <v>0</v>
      </c>
      <c r="M759" t="s">
        <v>77</v>
      </c>
      <c r="N759" t="s">
        <v>41</v>
      </c>
      <c r="O759" t="s">
        <v>33</v>
      </c>
      <c r="P759">
        <v>4</v>
      </c>
    </row>
    <row r="760" spans="1:16" x14ac:dyDescent="0.25">
      <c r="A760" t="s">
        <v>2009</v>
      </c>
      <c r="B760" t="s">
        <v>1465</v>
      </c>
      <c r="C760" t="s">
        <v>2010</v>
      </c>
      <c r="D760" t="s">
        <v>101</v>
      </c>
      <c r="E760" t="s">
        <v>20</v>
      </c>
      <c r="F760">
        <v>53</v>
      </c>
      <c r="G760" t="s">
        <v>21</v>
      </c>
      <c r="H760" t="s">
        <v>121</v>
      </c>
      <c r="I760" t="s">
        <v>122</v>
      </c>
      <c r="J760">
        <v>86.46</v>
      </c>
      <c r="K760">
        <v>7</v>
      </c>
      <c r="L760">
        <v>120</v>
      </c>
      <c r="M760" t="s">
        <v>77</v>
      </c>
      <c r="N760" t="s">
        <v>41</v>
      </c>
      <c r="O760" t="s">
        <v>26</v>
      </c>
      <c r="P760">
        <v>5</v>
      </c>
    </row>
    <row r="761" spans="1:16" x14ac:dyDescent="0.25">
      <c r="A761" t="s">
        <v>2011</v>
      </c>
      <c r="B761" t="s">
        <v>2012</v>
      </c>
      <c r="C761" t="s">
        <v>2013</v>
      </c>
      <c r="D761" t="s">
        <v>69</v>
      </c>
      <c r="E761" t="s">
        <v>20</v>
      </c>
      <c r="F761">
        <v>8</v>
      </c>
      <c r="G761" t="s">
        <v>38</v>
      </c>
      <c r="H761" t="s">
        <v>22</v>
      </c>
      <c r="I761" t="s">
        <v>23</v>
      </c>
      <c r="J761">
        <v>346.85</v>
      </c>
      <c r="K761">
        <v>-2</v>
      </c>
      <c r="L761">
        <v>15</v>
      </c>
      <c r="N761" t="s">
        <v>91</v>
      </c>
      <c r="O761" t="s">
        <v>33</v>
      </c>
      <c r="P761">
        <v>3</v>
      </c>
    </row>
    <row r="762" spans="1:16" x14ac:dyDescent="0.25">
      <c r="A762" t="s">
        <v>2014</v>
      </c>
      <c r="B762" t="s">
        <v>1135</v>
      </c>
      <c r="C762" t="s">
        <v>2015</v>
      </c>
      <c r="D762" t="s">
        <v>19</v>
      </c>
      <c r="E762" t="s">
        <v>46</v>
      </c>
      <c r="F762">
        <v>8</v>
      </c>
      <c r="G762" t="s">
        <v>70</v>
      </c>
      <c r="H762" t="s">
        <v>48</v>
      </c>
      <c r="I762" t="s">
        <v>49</v>
      </c>
      <c r="J762">
        <v>113.78</v>
      </c>
      <c r="K762">
        <v>-2</v>
      </c>
      <c r="L762">
        <v>10</v>
      </c>
      <c r="M762" t="s">
        <v>59</v>
      </c>
      <c r="N762" t="s">
        <v>91</v>
      </c>
      <c r="O762" t="s">
        <v>33</v>
      </c>
      <c r="P762">
        <v>1</v>
      </c>
    </row>
    <row r="763" spans="1:16" x14ac:dyDescent="0.25">
      <c r="A763" t="s">
        <v>2016</v>
      </c>
      <c r="B763" t="s">
        <v>1422</v>
      </c>
      <c r="C763" t="s">
        <v>2017</v>
      </c>
      <c r="D763" t="s">
        <v>101</v>
      </c>
      <c r="E763" t="s">
        <v>20</v>
      </c>
      <c r="F763">
        <v>20</v>
      </c>
      <c r="G763" t="s">
        <v>30</v>
      </c>
      <c r="H763" t="s">
        <v>22</v>
      </c>
      <c r="I763" t="s">
        <v>23</v>
      </c>
      <c r="J763">
        <v>18.73</v>
      </c>
      <c r="K763">
        <v>-2</v>
      </c>
      <c r="L763">
        <v>-10</v>
      </c>
      <c r="M763" t="s">
        <v>64</v>
      </c>
      <c r="N763" t="s">
        <v>25</v>
      </c>
      <c r="O763" t="s">
        <v>33</v>
      </c>
    </row>
    <row r="764" spans="1:16" x14ac:dyDescent="0.25">
      <c r="A764" t="s">
        <v>2018</v>
      </c>
      <c r="B764" t="s">
        <v>375</v>
      </c>
      <c r="C764" t="s">
        <v>2019</v>
      </c>
      <c r="D764" t="s">
        <v>117</v>
      </c>
      <c r="E764" t="s">
        <v>46</v>
      </c>
      <c r="F764">
        <v>8</v>
      </c>
      <c r="G764" t="s">
        <v>47</v>
      </c>
      <c r="H764" t="s">
        <v>48</v>
      </c>
      <c r="I764" t="s">
        <v>49</v>
      </c>
      <c r="J764">
        <v>425.64</v>
      </c>
      <c r="K764">
        <v>-2</v>
      </c>
      <c r="L764">
        <v>0</v>
      </c>
      <c r="M764" t="s">
        <v>64</v>
      </c>
      <c r="N764" t="s">
        <v>91</v>
      </c>
      <c r="O764" t="s">
        <v>26</v>
      </c>
      <c r="P764">
        <v>2</v>
      </c>
    </row>
    <row r="765" spans="1:16" x14ac:dyDescent="0.25">
      <c r="A765" t="s">
        <v>2020</v>
      </c>
      <c r="B765" t="s">
        <v>2021</v>
      </c>
      <c r="C765" t="s">
        <v>2022</v>
      </c>
      <c r="D765" t="s">
        <v>37</v>
      </c>
      <c r="E765" t="s">
        <v>46</v>
      </c>
      <c r="F765">
        <v>48</v>
      </c>
      <c r="G765" t="s">
        <v>47</v>
      </c>
      <c r="H765" t="s">
        <v>39</v>
      </c>
      <c r="I765" t="s">
        <v>40</v>
      </c>
      <c r="J765">
        <v>79.61</v>
      </c>
      <c r="K765">
        <v>-2</v>
      </c>
      <c r="L765">
        <v>5</v>
      </c>
      <c r="N765" t="s">
        <v>91</v>
      </c>
      <c r="O765" t="s">
        <v>65</v>
      </c>
      <c r="P765">
        <v>5</v>
      </c>
    </row>
    <row r="766" spans="1:16" x14ac:dyDescent="0.25">
      <c r="A766" t="s">
        <v>2023</v>
      </c>
      <c r="B766" t="s">
        <v>1165</v>
      </c>
      <c r="C766" t="s">
        <v>2024</v>
      </c>
      <c r="D766" t="s">
        <v>117</v>
      </c>
      <c r="E766" t="s">
        <v>20</v>
      </c>
      <c r="F766">
        <v>8</v>
      </c>
      <c r="G766" t="s">
        <v>30</v>
      </c>
      <c r="H766" t="s">
        <v>121</v>
      </c>
      <c r="I766" t="s">
        <v>122</v>
      </c>
      <c r="J766">
        <v>161.32</v>
      </c>
      <c r="K766">
        <v>-2</v>
      </c>
      <c r="L766">
        <v>15</v>
      </c>
      <c r="N766" t="s">
        <v>25</v>
      </c>
      <c r="O766" t="s">
        <v>26</v>
      </c>
    </row>
    <row r="767" spans="1:16" x14ac:dyDescent="0.25">
      <c r="A767" t="s">
        <v>2025</v>
      </c>
      <c r="B767" t="s">
        <v>1705</v>
      </c>
      <c r="C767" t="s">
        <v>2026</v>
      </c>
      <c r="E767" t="s">
        <v>46</v>
      </c>
      <c r="F767">
        <v>20</v>
      </c>
      <c r="G767" t="s">
        <v>38</v>
      </c>
      <c r="H767" t="s">
        <v>121</v>
      </c>
      <c r="I767" t="s">
        <v>122</v>
      </c>
      <c r="J767">
        <v>232.79</v>
      </c>
      <c r="K767">
        <v>7</v>
      </c>
      <c r="L767">
        <v>10</v>
      </c>
      <c r="M767" t="s">
        <v>24</v>
      </c>
      <c r="N767" t="s">
        <v>81</v>
      </c>
      <c r="O767" t="s">
        <v>26</v>
      </c>
      <c r="P767">
        <v>3</v>
      </c>
    </row>
    <row r="768" spans="1:16" x14ac:dyDescent="0.25">
      <c r="A768" t="s">
        <v>2027</v>
      </c>
      <c r="B768" t="s">
        <v>2028</v>
      </c>
      <c r="C768" t="s">
        <v>2029</v>
      </c>
      <c r="D768" t="s">
        <v>69</v>
      </c>
      <c r="E768" t="s">
        <v>20</v>
      </c>
      <c r="F768">
        <v>130</v>
      </c>
      <c r="G768" t="s">
        <v>53</v>
      </c>
      <c r="H768" t="s">
        <v>48</v>
      </c>
      <c r="I768" t="s">
        <v>49</v>
      </c>
      <c r="J768">
        <v>28.75</v>
      </c>
      <c r="K768">
        <v>-2</v>
      </c>
      <c r="L768">
        <v>15</v>
      </c>
      <c r="M768" t="s">
        <v>24</v>
      </c>
      <c r="N768" t="s">
        <v>41</v>
      </c>
      <c r="O768" t="s">
        <v>33</v>
      </c>
      <c r="P768">
        <v>1</v>
      </c>
    </row>
    <row r="769" spans="1:16" x14ac:dyDescent="0.25">
      <c r="A769" t="s">
        <v>2030</v>
      </c>
      <c r="B769" t="s">
        <v>235</v>
      </c>
      <c r="C769" t="s">
        <v>2031</v>
      </c>
      <c r="D769" t="s">
        <v>19</v>
      </c>
      <c r="E769" t="s">
        <v>20</v>
      </c>
      <c r="F769">
        <v>22</v>
      </c>
      <c r="G769" t="s">
        <v>53</v>
      </c>
      <c r="H769" t="s">
        <v>48</v>
      </c>
      <c r="I769" t="s">
        <v>49</v>
      </c>
      <c r="J769">
        <v>369.69</v>
      </c>
      <c r="K769">
        <v>8</v>
      </c>
      <c r="L769">
        <v>15</v>
      </c>
      <c r="M769" t="s">
        <v>24</v>
      </c>
      <c r="N769" t="s">
        <v>25</v>
      </c>
      <c r="O769" t="s">
        <v>82</v>
      </c>
      <c r="P769">
        <v>5</v>
      </c>
    </row>
    <row r="770" spans="1:16" x14ac:dyDescent="0.25">
      <c r="A770" t="s">
        <v>2032</v>
      </c>
      <c r="B770" t="s">
        <v>2033</v>
      </c>
      <c r="C770" t="s">
        <v>2034</v>
      </c>
      <c r="D770" t="s">
        <v>45</v>
      </c>
      <c r="E770" t="s">
        <v>20</v>
      </c>
      <c r="F770">
        <v>130</v>
      </c>
      <c r="G770" t="s">
        <v>21</v>
      </c>
      <c r="H770" t="s">
        <v>31</v>
      </c>
      <c r="I770" t="s">
        <v>32</v>
      </c>
      <c r="J770">
        <v>336.84</v>
      </c>
      <c r="K770">
        <v>1</v>
      </c>
      <c r="L770">
        <v>15</v>
      </c>
      <c r="M770" t="s">
        <v>64</v>
      </c>
      <c r="N770" t="s">
        <v>81</v>
      </c>
      <c r="O770" t="s">
        <v>33</v>
      </c>
      <c r="P770">
        <v>1</v>
      </c>
    </row>
    <row r="771" spans="1:16" x14ac:dyDescent="0.25">
      <c r="A771" t="s">
        <v>2035</v>
      </c>
      <c r="B771" t="s">
        <v>473</v>
      </c>
      <c r="C771" t="s">
        <v>2036</v>
      </c>
      <c r="D771" t="s">
        <v>101</v>
      </c>
      <c r="E771" t="s">
        <v>46</v>
      </c>
      <c r="F771">
        <v>61</v>
      </c>
      <c r="G771" t="s">
        <v>30</v>
      </c>
      <c r="H771" t="s">
        <v>39</v>
      </c>
      <c r="I771" t="s">
        <v>40</v>
      </c>
      <c r="J771">
        <v>473.41</v>
      </c>
      <c r="K771">
        <v>-2</v>
      </c>
      <c r="L771">
        <v>-10</v>
      </c>
      <c r="M771" t="s">
        <v>59</v>
      </c>
      <c r="N771" t="s">
        <v>81</v>
      </c>
      <c r="O771" t="s">
        <v>82</v>
      </c>
      <c r="P771">
        <v>1</v>
      </c>
    </row>
    <row r="772" spans="1:16" x14ac:dyDescent="0.25">
      <c r="A772" t="s">
        <v>2037</v>
      </c>
      <c r="B772" t="s">
        <v>202</v>
      </c>
      <c r="C772" t="s">
        <v>2038</v>
      </c>
      <c r="D772" t="s">
        <v>101</v>
      </c>
      <c r="E772" t="s">
        <v>46</v>
      </c>
      <c r="F772">
        <v>8</v>
      </c>
      <c r="G772" t="s">
        <v>30</v>
      </c>
      <c r="H772" t="s">
        <v>48</v>
      </c>
      <c r="I772" t="s">
        <v>49</v>
      </c>
      <c r="J772">
        <v>94.89</v>
      </c>
      <c r="K772">
        <v>2</v>
      </c>
      <c r="L772">
        <v>10</v>
      </c>
      <c r="N772" t="s">
        <v>25</v>
      </c>
      <c r="O772" t="s">
        <v>65</v>
      </c>
      <c r="P772">
        <v>3</v>
      </c>
    </row>
    <row r="773" spans="1:16" x14ac:dyDescent="0.25">
      <c r="A773" t="s">
        <v>2039</v>
      </c>
      <c r="B773" t="s">
        <v>2040</v>
      </c>
      <c r="C773" t="s">
        <v>2041</v>
      </c>
      <c r="D773" t="s">
        <v>117</v>
      </c>
      <c r="E773" t="s">
        <v>46</v>
      </c>
      <c r="F773">
        <v>8</v>
      </c>
      <c r="G773" t="s">
        <v>21</v>
      </c>
      <c r="H773" t="s">
        <v>39</v>
      </c>
      <c r="I773" t="s">
        <v>40</v>
      </c>
      <c r="J773">
        <v>66.97</v>
      </c>
      <c r="K773">
        <v>-2</v>
      </c>
      <c r="L773">
        <v>15</v>
      </c>
      <c r="M773" t="s">
        <v>64</v>
      </c>
      <c r="N773" t="s">
        <v>25</v>
      </c>
      <c r="O773" t="s">
        <v>26</v>
      </c>
      <c r="P773">
        <v>2</v>
      </c>
    </row>
    <row r="774" spans="1:16" x14ac:dyDescent="0.25">
      <c r="A774" t="s">
        <v>2042</v>
      </c>
      <c r="B774" t="s">
        <v>193</v>
      </c>
      <c r="C774" t="s">
        <v>2043</v>
      </c>
      <c r="D774" t="s">
        <v>45</v>
      </c>
      <c r="E774" t="s">
        <v>46</v>
      </c>
      <c r="F774">
        <v>130</v>
      </c>
      <c r="G774" t="s">
        <v>38</v>
      </c>
      <c r="H774" t="s">
        <v>87</v>
      </c>
      <c r="I774" t="s">
        <v>49</v>
      </c>
      <c r="J774">
        <v>388.77</v>
      </c>
      <c r="K774">
        <v>-2</v>
      </c>
      <c r="L774">
        <v>15</v>
      </c>
      <c r="M774" t="s">
        <v>77</v>
      </c>
      <c r="N774" t="s">
        <v>91</v>
      </c>
      <c r="O774" t="s">
        <v>26</v>
      </c>
      <c r="P774">
        <v>4</v>
      </c>
    </row>
    <row r="775" spans="1:16" x14ac:dyDescent="0.25">
      <c r="A775" t="s">
        <v>2044</v>
      </c>
      <c r="B775" t="s">
        <v>1432</v>
      </c>
      <c r="C775" t="s">
        <v>2045</v>
      </c>
      <c r="D775" t="s">
        <v>45</v>
      </c>
      <c r="E775" t="s">
        <v>20</v>
      </c>
      <c r="F775">
        <v>130</v>
      </c>
      <c r="G775" t="s">
        <v>70</v>
      </c>
      <c r="H775" t="s">
        <v>39</v>
      </c>
      <c r="I775" t="s">
        <v>40</v>
      </c>
      <c r="J775">
        <v>61.34</v>
      </c>
      <c r="K775">
        <v>2</v>
      </c>
      <c r="L775">
        <v>0</v>
      </c>
      <c r="M775" t="s">
        <v>59</v>
      </c>
      <c r="N775" t="s">
        <v>81</v>
      </c>
      <c r="O775" t="s">
        <v>33</v>
      </c>
      <c r="P775">
        <v>5</v>
      </c>
    </row>
    <row r="776" spans="1:16" x14ac:dyDescent="0.25">
      <c r="A776" t="s">
        <v>2046</v>
      </c>
      <c r="B776" t="s">
        <v>2047</v>
      </c>
      <c r="C776" t="s">
        <v>2048</v>
      </c>
      <c r="D776" t="s">
        <v>101</v>
      </c>
      <c r="E776" t="s">
        <v>20</v>
      </c>
      <c r="F776">
        <v>130</v>
      </c>
      <c r="G776" t="s">
        <v>30</v>
      </c>
      <c r="H776" t="s">
        <v>48</v>
      </c>
      <c r="I776" t="s">
        <v>49</v>
      </c>
      <c r="J776">
        <v>380.18</v>
      </c>
      <c r="K776">
        <v>-2</v>
      </c>
      <c r="L776">
        <v>15</v>
      </c>
      <c r="M776" t="s">
        <v>24</v>
      </c>
      <c r="N776" t="s">
        <v>91</v>
      </c>
      <c r="O776" t="s">
        <v>65</v>
      </c>
      <c r="P776">
        <v>2</v>
      </c>
    </row>
    <row r="777" spans="1:16" x14ac:dyDescent="0.25">
      <c r="A777" t="s">
        <v>2049</v>
      </c>
      <c r="B777" t="s">
        <v>2050</v>
      </c>
      <c r="C777" t="s">
        <v>2051</v>
      </c>
      <c r="D777" t="s">
        <v>117</v>
      </c>
      <c r="E777" t="s">
        <v>20</v>
      </c>
      <c r="F777">
        <v>8</v>
      </c>
      <c r="G777" t="s">
        <v>21</v>
      </c>
      <c r="H777" t="s">
        <v>54</v>
      </c>
      <c r="I777" t="s">
        <v>55</v>
      </c>
      <c r="J777">
        <v>467.53</v>
      </c>
      <c r="K777">
        <v>7</v>
      </c>
      <c r="L777">
        <v>0</v>
      </c>
      <c r="M777" t="s">
        <v>77</v>
      </c>
      <c r="N777" t="s">
        <v>25</v>
      </c>
      <c r="O777" t="s">
        <v>33</v>
      </c>
      <c r="P777">
        <v>4</v>
      </c>
    </row>
    <row r="778" spans="1:16" x14ac:dyDescent="0.25">
      <c r="A778" t="s">
        <v>2052</v>
      </c>
      <c r="B778" t="s">
        <v>2053</v>
      </c>
      <c r="C778" t="s">
        <v>2054</v>
      </c>
      <c r="D778" t="s">
        <v>45</v>
      </c>
      <c r="E778" t="s">
        <v>46</v>
      </c>
      <c r="F778">
        <v>8</v>
      </c>
      <c r="G778" t="s">
        <v>53</v>
      </c>
      <c r="H778" t="s">
        <v>22</v>
      </c>
      <c r="I778" t="s">
        <v>23</v>
      </c>
      <c r="J778">
        <v>176.66</v>
      </c>
      <c r="K778">
        <v>-2</v>
      </c>
      <c r="L778">
        <v>-10</v>
      </c>
      <c r="M778" t="s">
        <v>59</v>
      </c>
      <c r="N778" t="s">
        <v>81</v>
      </c>
      <c r="O778" t="s">
        <v>65</v>
      </c>
      <c r="P778">
        <v>3</v>
      </c>
    </row>
    <row r="779" spans="1:16" x14ac:dyDescent="0.25">
      <c r="A779" t="s">
        <v>2055</v>
      </c>
      <c r="B779" t="s">
        <v>2056</v>
      </c>
      <c r="C779" t="s">
        <v>1492</v>
      </c>
      <c r="D779" t="s">
        <v>69</v>
      </c>
      <c r="E779" t="s">
        <v>20</v>
      </c>
      <c r="F779">
        <v>8</v>
      </c>
      <c r="G779" t="s">
        <v>70</v>
      </c>
      <c r="H779" t="s">
        <v>54</v>
      </c>
      <c r="I779" t="s">
        <v>55</v>
      </c>
      <c r="J779">
        <v>422.34</v>
      </c>
      <c r="K779">
        <v>-2</v>
      </c>
      <c r="L779">
        <v>5</v>
      </c>
      <c r="N779" t="s">
        <v>81</v>
      </c>
      <c r="O779" t="s">
        <v>65</v>
      </c>
      <c r="P779">
        <v>2</v>
      </c>
    </row>
    <row r="780" spans="1:16" x14ac:dyDescent="0.25">
      <c r="A780" t="s">
        <v>2057</v>
      </c>
      <c r="B780" t="s">
        <v>2058</v>
      </c>
      <c r="C780" t="s">
        <v>2059</v>
      </c>
      <c r="E780" t="s">
        <v>20</v>
      </c>
      <c r="F780">
        <v>130</v>
      </c>
      <c r="G780" t="s">
        <v>86</v>
      </c>
      <c r="H780" t="s">
        <v>22</v>
      </c>
      <c r="I780" t="s">
        <v>23</v>
      </c>
      <c r="J780">
        <v>16.28</v>
      </c>
      <c r="K780">
        <v>5</v>
      </c>
      <c r="L780">
        <v>10</v>
      </c>
      <c r="M780" t="s">
        <v>64</v>
      </c>
      <c r="N780" t="s">
        <v>91</v>
      </c>
      <c r="O780" t="s">
        <v>65</v>
      </c>
      <c r="P780">
        <v>3</v>
      </c>
    </row>
    <row r="781" spans="1:16" x14ac:dyDescent="0.25">
      <c r="A781" t="s">
        <v>2060</v>
      </c>
      <c r="B781" t="s">
        <v>896</v>
      </c>
      <c r="C781" t="s">
        <v>2061</v>
      </c>
      <c r="D781" t="s">
        <v>45</v>
      </c>
      <c r="E781" t="s">
        <v>20</v>
      </c>
      <c r="F781">
        <v>130</v>
      </c>
      <c r="G781" t="s">
        <v>70</v>
      </c>
      <c r="H781" t="s">
        <v>22</v>
      </c>
      <c r="I781" t="s">
        <v>23</v>
      </c>
      <c r="J781">
        <v>79.88</v>
      </c>
      <c r="K781">
        <v>6</v>
      </c>
      <c r="L781">
        <v>5</v>
      </c>
      <c r="M781" t="s">
        <v>64</v>
      </c>
      <c r="N781" t="s">
        <v>25</v>
      </c>
      <c r="O781" t="s">
        <v>26</v>
      </c>
      <c r="P781">
        <v>4</v>
      </c>
    </row>
    <row r="782" spans="1:16" x14ac:dyDescent="0.25">
      <c r="A782" t="s">
        <v>2062</v>
      </c>
      <c r="B782" t="s">
        <v>1064</v>
      </c>
      <c r="C782" t="s">
        <v>2063</v>
      </c>
      <c r="E782" t="s">
        <v>46</v>
      </c>
      <c r="F782">
        <v>8</v>
      </c>
      <c r="G782" t="s">
        <v>70</v>
      </c>
      <c r="H782" t="s">
        <v>48</v>
      </c>
      <c r="I782" t="s">
        <v>49</v>
      </c>
      <c r="J782">
        <v>159.82</v>
      </c>
      <c r="K782">
        <v>8</v>
      </c>
      <c r="L782">
        <v>15</v>
      </c>
      <c r="M782" t="s">
        <v>59</v>
      </c>
      <c r="N782" t="s">
        <v>81</v>
      </c>
      <c r="O782" t="s">
        <v>82</v>
      </c>
      <c r="P782">
        <v>5</v>
      </c>
    </row>
    <row r="783" spans="1:16" x14ac:dyDescent="0.25">
      <c r="A783" t="s">
        <v>2064</v>
      </c>
      <c r="B783" t="s">
        <v>961</v>
      </c>
      <c r="C783" t="s">
        <v>2065</v>
      </c>
      <c r="D783" t="s">
        <v>101</v>
      </c>
      <c r="E783" t="s">
        <v>20</v>
      </c>
      <c r="F783">
        <v>56</v>
      </c>
      <c r="G783" t="s">
        <v>38</v>
      </c>
      <c r="H783" t="s">
        <v>87</v>
      </c>
      <c r="I783" t="s">
        <v>49</v>
      </c>
      <c r="J783">
        <v>465.6</v>
      </c>
      <c r="K783">
        <v>-2</v>
      </c>
      <c r="L783">
        <v>120</v>
      </c>
      <c r="M783" t="s">
        <v>59</v>
      </c>
      <c r="N783" t="s">
        <v>81</v>
      </c>
      <c r="O783" t="s">
        <v>65</v>
      </c>
      <c r="P783">
        <v>4</v>
      </c>
    </row>
    <row r="784" spans="1:16" x14ac:dyDescent="0.25">
      <c r="A784" t="s">
        <v>2066</v>
      </c>
      <c r="B784" t="s">
        <v>2067</v>
      </c>
      <c r="C784" t="s">
        <v>2068</v>
      </c>
      <c r="D784" t="s">
        <v>117</v>
      </c>
      <c r="E784" t="s">
        <v>20</v>
      </c>
      <c r="F784">
        <v>36</v>
      </c>
      <c r="G784" t="s">
        <v>38</v>
      </c>
      <c r="H784" t="s">
        <v>48</v>
      </c>
      <c r="I784" t="s">
        <v>49</v>
      </c>
      <c r="J784">
        <v>211.77</v>
      </c>
      <c r="K784">
        <v>1</v>
      </c>
      <c r="L784">
        <v>-10</v>
      </c>
      <c r="M784" t="s">
        <v>59</v>
      </c>
      <c r="N784" t="s">
        <v>25</v>
      </c>
      <c r="O784" t="s">
        <v>65</v>
      </c>
      <c r="P784">
        <v>4</v>
      </c>
    </row>
    <row r="785" spans="1:16" x14ac:dyDescent="0.25">
      <c r="A785" t="s">
        <v>2069</v>
      </c>
      <c r="B785" t="s">
        <v>2070</v>
      </c>
      <c r="C785" t="s">
        <v>2071</v>
      </c>
      <c r="D785" t="s">
        <v>101</v>
      </c>
      <c r="E785" t="s">
        <v>20</v>
      </c>
      <c r="F785">
        <v>130</v>
      </c>
      <c r="G785" t="s">
        <v>86</v>
      </c>
      <c r="H785" t="s">
        <v>31</v>
      </c>
      <c r="I785" t="s">
        <v>32</v>
      </c>
      <c r="J785">
        <v>141.4</v>
      </c>
      <c r="K785">
        <v>-2</v>
      </c>
      <c r="L785">
        <v>15</v>
      </c>
      <c r="M785" t="s">
        <v>24</v>
      </c>
      <c r="N785" t="s">
        <v>41</v>
      </c>
      <c r="O785" t="s">
        <v>33</v>
      </c>
      <c r="P785">
        <v>3</v>
      </c>
    </row>
    <row r="786" spans="1:16" x14ac:dyDescent="0.25">
      <c r="A786" t="s">
        <v>2072</v>
      </c>
      <c r="B786" t="s">
        <v>2073</v>
      </c>
      <c r="C786" t="s">
        <v>2074</v>
      </c>
      <c r="D786" t="s">
        <v>69</v>
      </c>
      <c r="E786" t="s">
        <v>20</v>
      </c>
      <c r="F786">
        <v>8</v>
      </c>
      <c r="G786" t="s">
        <v>47</v>
      </c>
      <c r="H786" t="s">
        <v>39</v>
      </c>
      <c r="I786" t="s">
        <v>40</v>
      </c>
      <c r="J786">
        <v>432.47</v>
      </c>
      <c r="K786">
        <v>-2</v>
      </c>
      <c r="L786">
        <v>0</v>
      </c>
      <c r="M786" t="s">
        <v>24</v>
      </c>
      <c r="N786" t="s">
        <v>91</v>
      </c>
      <c r="O786" t="s">
        <v>33</v>
      </c>
      <c r="P786">
        <v>4</v>
      </c>
    </row>
    <row r="787" spans="1:16" x14ac:dyDescent="0.25">
      <c r="A787" t="s">
        <v>2075</v>
      </c>
      <c r="B787" t="s">
        <v>150</v>
      </c>
      <c r="C787" t="s">
        <v>2076</v>
      </c>
      <c r="D787" t="s">
        <v>19</v>
      </c>
      <c r="E787" t="s">
        <v>46</v>
      </c>
      <c r="F787">
        <v>58</v>
      </c>
      <c r="G787" t="s">
        <v>30</v>
      </c>
      <c r="H787" t="s">
        <v>87</v>
      </c>
      <c r="I787" t="s">
        <v>49</v>
      </c>
      <c r="J787">
        <v>170.81</v>
      </c>
      <c r="K787">
        <v>-2</v>
      </c>
      <c r="L787">
        <v>15</v>
      </c>
      <c r="N787" t="s">
        <v>91</v>
      </c>
      <c r="O787" t="s">
        <v>26</v>
      </c>
      <c r="P787">
        <v>5</v>
      </c>
    </row>
    <row r="788" spans="1:16" x14ac:dyDescent="0.25">
      <c r="A788" t="s">
        <v>2077</v>
      </c>
      <c r="B788" t="s">
        <v>1324</v>
      </c>
      <c r="C788" t="s">
        <v>2078</v>
      </c>
      <c r="D788" t="s">
        <v>63</v>
      </c>
      <c r="E788" t="s">
        <v>46</v>
      </c>
      <c r="F788">
        <v>8</v>
      </c>
      <c r="G788" t="s">
        <v>47</v>
      </c>
      <c r="H788" t="s">
        <v>22</v>
      </c>
      <c r="I788" t="s">
        <v>23</v>
      </c>
      <c r="J788">
        <v>131.66</v>
      </c>
      <c r="K788">
        <v>-2</v>
      </c>
      <c r="L788">
        <v>0</v>
      </c>
      <c r="M788" t="s">
        <v>24</v>
      </c>
      <c r="N788" t="s">
        <v>25</v>
      </c>
      <c r="O788" t="s">
        <v>33</v>
      </c>
      <c r="P788">
        <v>3</v>
      </c>
    </row>
    <row r="789" spans="1:16" x14ac:dyDescent="0.25">
      <c r="A789" t="s">
        <v>2079</v>
      </c>
      <c r="B789" t="s">
        <v>2080</v>
      </c>
      <c r="C789" t="s">
        <v>2081</v>
      </c>
      <c r="E789" t="s">
        <v>20</v>
      </c>
      <c r="F789">
        <v>130</v>
      </c>
      <c r="G789" t="s">
        <v>86</v>
      </c>
      <c r="H789" t="s">
        <v>31</v>
      </c>
      <c r="I789" t="s">
        <v>32</v>
      </c>
      <c r="J789">
        <v>226.38</v>
      </c>
      <c r="K789">
        <v>9</v>
      </c>
      <c r="L789">
        <v>120</v>
      </c>
      <c r="M789" t="s">
        <v>64</v>
      </c>
      <c r="N789" t="s">
        <v>41</v>
      </c>
      <c r="O789" t="s">
        <v>26</v>
      </c>
      <c r="P789">
        <v>2</v>
      </c>
    </row>
    <row r="790" spans="1:16" x14ac:dyDescent="0.25">
      <c r="A790" t="s">
        <v>2082</v>
      </c>
      <c r="B790" t="s">
        <v>235</v>
      </c>
      <c r="C790" t="s">
        <v>2083</v>
      </c>
      <c r="D790" t="s">
        <v>19</v>
      </c>
      <c r="E790" t="s">
        <v>46</v>
      </c>
      <c r="F790">
        <v>63</v>
      </c>
      <c r="G790" t="s">
        <v>70</v>
      </c>
      <c r="H790" t="s">
        <v>39</v>
      </c>
      <c r="I790" t="s">
        <v>40</v>
      </c>
      <c r="J790">
        <v>403.36</v>
      </c>
      <c r="K790">
        <v>1</v>
      </c>
      <c r="L790">
        <v>5</v>
      </c>
      <c r="M790" t="s">
        <v>64</v>
      </c>
      <c r="N790" t="s">
        <v>25</v>
      </c>
      <c r="O790" t="s">
        <v>26</v>
      </c>
      <c r="P790">
        <v>4</v>
      </c>
    </row>
    <row r="791" spans="1:16" x14ac:dyDescent="0.25">
      <c r="A791" t="s">
        <v>2084</v>
      </c>
      <c r="B791" t="s">
        <v>2085</v>
      </c>
      <c r="C791" t="s">
        <v>2086</v>
      </c>
      <c r="D791" t="s">
        <v>19</v>
      </c>
      <c r="E791" t="s">
        <v>20</v>
      </c>
      <c r="F791">
        <v>8</v>
      </c>
      <c r="G791" t="s">
        <v>53</v>
      </c>
      <c r="H791" t="s">
        <v>39</v>
      </c>
      <c r="I791" t="s">
        <v>40</v>
      </c>
      <c r="J791">
        <v>117.03</v>
      </c>
      <c r="K791">
        <v>-2</v>
      </c>
      <c r="L791">
        <v>120</v>
      </c>
      <c r="M791" t="s">
        <v>59</v>
      </c>
      <c r="N791" t="s">
        <v>81</v>
      </c>
      <c r="O791" t="s">
        <v>65</v>
      </c>
      <c r="P791">
        <v>3</v>
      </c>
    </row>
    <row r="792" spans="1:16" x14ac:dyDescent="0.25">
      <c r="A792" t="s">
        <v>2087</v>
      </c>
      <c r="B792" t="s">
        <v>2088</v>
      </c>
      <c r="C792" t="s">
        <v>2089</v>
      </c>
      <c r="D792" t="s">
        <v>19</v>
      </c>
      <c r="E792" t="s">
        <v>20</v>
      </c>
      <c r="F792">
        <v>130</v>
      </c>
      <c r="G792" t="s">
        <v>21</v>
      </c>
      <c r="H792" t="s">
        <v>54</v>
      </c>
      <c r="I792" t="s">
        <v>55</v>
      </c>
      <c r="J792">
        <v>220.48</v>
      </c>
      <c r="K792">
        <v>-2</v>
      </c>
      <c r="L792">
        <v>-10</v>
      </c>
      <c r="M792" t="s">
        <v>64</v>
      </c>
      <c r="N792" t="s">
        <v>41</v>
      </c>
      <c r="O792" t="s">
        <v>65</v>
      </c>
    </row>
    <row r="793" spans="1:16" x14ac:dyDescent="0.25">
      <c r="A793" t="s">
        <v>2090</v>
      </c>
      <c r="B793" t="s">
        <v>249</v>
      </c>
      <c r="C793" t="s">
        <v>2091</v>
      </c>
      <c r="D793" t="s">
        <v>37</v>
      </c>
      <c r="E793" t="s">
        <v>46</v>
      </c>
      <c r="F793">
        <v>130</v>
      </c>
      <c r="G793" t="s">
        <v>86</v>
      </c>
      <c r="H793" t="s">
        <v>121</v>
      </c>
      <c r="I793" t="s">
        <v>122</v>
      </c>
      <c r="J793">
        <v>477.78</v>
      </c>
      <c r="K793">
        <v>9</v>
      </c>
      <c r="L793">
        <v>10</v>
      </c>
      <c r="M793" t="s">
        <v>24</v>
      </c>
      <c r="N793" t="s">
        <v>41</v>
      </c>
      <c r="O793" t="s">
        <v>26</v>
      </c>
      <c r="P793">
        <v>5</v>
      </c>
    </row>
    <row r="794" spans="1:16" x14ac:dyDescent="0.25">
      <c r="A794" t="s">
        <v>2092</v>
      </c>
      <c r="B794" t="s">
        <v>51</v>
      </c>
      <c r="C794" t="s">
        <v>2093</v>
      </c>
      <c r="D794" t="s">
        <v>45</v>
      </c>
      <c r="E794" t="s">
        <v>20</v>
      </c>
      <c r="F794">
        <v>30</v>
      </c>
      <c r="G794" t="s">
        <v>86</v>
      </c>
      <c r="H794" t="s">
        <v>31</v>
      </c>
      <c r="I794" t="s">
        <v>32</v>
      </c>
      <c r="J794">
        <v>154.04</v>
      </c>
      <c r="K794">
        <v>-2</v>
      </c>
      <c r="L794">
        <v>120</v>
      </c>
      <c r="M794" t="s">
        <v>64</v>
      </c>
      <c r="N794" t="s">
        <v>41</v>
      </c>
      <c r="O794" t="s">
        <v>65</v>
      </c>
      <c r="P794">
        <v>2</v>
      </c>
    </row>
    <row r="795" spans="1:16" x14ac:dyDescent="0.25">
      <c r="A795" t="s">
        <v>2094</v>
      </c>
      <c r="B795" t="s">
        <v>323</v>
      </c>
      <c r="C795" t="s">
        <v>2095</v>
      </c>
      <c r="D795" t="s">
        <v>37</v>
      </c>
      <c r="E795" t="s">
        <v>20</v>
      </c>
      <c r="F795">
        <v>21</v>
      </c>
      <c r="G795" t="s">
        <v>70</v>
      </c>
      <c r="H795" t="s">
        <v>48</v>
      </c>
      <c r="I795" t="s">
        <v>49</v>
      </c>
      <c r="J795">
        <v>444.53</v>
      </c>
      <c r="K795">
        <v>-2</v>
      </c>
      <c r="L795">
        <v>10</v>
      </c>
      <c r="M795" t="s">
        <v>59</v>
      </c>
      <c r="N795" t="s">
        <v>25</v>
      </c>
      <c r="O795" t="s">
        <v>26</v>
      </c>
      <c r="P795">
        <v>3</v>
      </c>
    </row>
    <row r="796" spans="1:16" x14ac:dyDescent="0.25">
      <c r="A796" t="s">
        <v>2096</v>
      </c>
      <c r="B796" t="s">
        <v>938</v>
      </c>
      <c r="C796" t="s">
        <v>2097</v>
      </c>
      <c r="D796" t="s">
        <v>69</v>
      </c>
      <c r="E796" t="s">
        <v>46</v>
      </c>
      <c r="F796">
        <v>130</v>
      </c>
      <c r="G796" t="s">
        <v>30</v>
      </c>
      <c r="H796" t="s">
        <v>54</v>
      </c>
      <c r="I796" t="s">
        <v>55</v>
      </c>
      <c r="J796">
        <v>6.65</v>
      </c>
      <c r="K796">
        <v>-2</v>
      </c>
      <c r="L796">
        <v>5</v>
      </c>
      <c r="M796" t="s">
        <v>59</v>
      </c>
      <c r="N796" t="s">
        <v>81</v>
      </c>
      <c r="O796" t="s">
        <v>26</v>
      </c>
      <c r="P796">
        <v>1</v>
      </c>
    </row>
    <row r="797" spans="1:16" x14ac:dyDescent="0.25">
      <c r="A797" t="s">
        <v>2098</v>
      </c>
      <c r="B797" t="s">
        <v>2099</v>
      </c>
      <c r="C797" t="s">
        <v>2100</v>
      </c>
      <c r="D797" t="s">
        <v>69</v>
      </c>
      <c r="E797" t="s">
        <v>46</v>
      </c>
      <c r="F797">
        <v>130</v>
      </c>
      <c r="G797" t="s">
        <v>86</v>
      </c>
      <c r="H797" t="s">
        <v>48</v>
      </c>
      <c r="I797" t="s">
        <v>49</v>
      </c>
      <c r="J797">
        <v>260.77</v>
      </c>
      <c r="K797">
        <v>-2</v>
      </c>
      <c r="L797">
        <v>5</v>
      </c>
      <c r="M797" t="s">
        <v>24</v>
      </c>
      <c r="N797" t="s">
        <v>91</v>
      </c>
      <c r="O797" t="s">
        <v>82</v>
      </c>
      <c r="P797">
        <v>4</v>
      </c>
    </row>
    <row r="798" spans="1:16" x14ac:dyDescent="0.25">
      <c r="A798" t="s">
        <v>2101</v>
      </c>
      <c r="B798" t="s">
        <v>2102</v>
      </c>
      <c r="C798" t="s">
        <v>1062</v>
      </c>
      <c r="D798" t="s">
        <v>117</v>
      </c>
      <c r="E798" t="s">
        <v>20</v>
      </c>
      <c r="F798">
        <v>8</v>
      </c>
      <c r="G798" t="s">
        <v>21</v>
      </c>
      <c r="H798" t="s">
        <v>31</v>
      </c>
      <c r="I798" t="s">
        <v>32</v>
      </c>
      <c r="J798">
        <v>373.19</v>
      </c>
      <c r="K798">
        <v>2</v>
      </c>
      <c r="L798">
        <v>0</v>
      </c>
      <c r="M798" t="s">
        <v>64</v>
      </c>
      <c r="N798" t="s">
        <v>41</v>
      </c>
      <c r="O798" t="s">
        <v>26</v>
      </c>
      <c r="P798">
        <v>5</v>
      </c>
    </row>
    <row r="799" spans="1:16" x14ac:dyDescent="0.25">
      <c r="A799" t="s">
        <v>2103</v>
      </c>
      <c r="B799" t="s">
        <v>2104</v>
      </c>
      <c r="C799" t="s">
        <v>1007</v>
      </c>
      <c r="D799" t="s">
        <v>19</v>
      </c>
      <c r="E799" t="s">
        <v>46</v>
      </c>
      <c r="F799">
        <v>23</v>
      </c>
      <c r="G799" t="s">
        <v>70</v>
      </c>
      <c r="H799" t="s">
        <v>39</v>
      </c>
      <c r="I799" t="s">
        <v>40</v>
      </c>
      <c r="J799">
        <v>130.62</v>
      </c>
      <c r="K799">
        <v>4</v>
      </c>
      <c r="L799">
        <v>120</v>
      </c>
      <c r="N799" t="s">
        <v>25</v>
      </c>
      <c r="O799" t="s">
        <v>82</v>
      </c>
      <c r="P799">
        <v>2</v>
      </c>
    </row>
    <row r="800" spans="1:16" x14ac:dyDescent="0.25">
      <c r="A800" t="s">
        <v>2105</v>
      </c>
      <c r="B800" t="s">
        <v>1729</v>
      </c>
      <c r="C800" t="s">
        <v>2106</v>
      </c>
      <c r="D800" t="s">
        <v>37</v>
      </c>
      <c r="E800" t="s">
        <v>20</v>
      </c>
      <c r="F800">
        <v>8</v>
      </c>
      <c r="G800" t="s">
        <v>70</v>
      </c>
      <c r="H800" t="s">
        <v>48</v>
      </c>
      <c r="I800" t="s">
        <v>49</v>
      </c>
      <c r="J800">
        <v>426.83</v>
      </c>
      <c r="K800">
        <v>-2</v>
      </c>
      <c r="L800">
        <v>-10</v>
      </c>
      <c r="N800" t="s">
        <v>81</v>
      </c>
      <c r="O800" t="s">
        <v>26</v>
      </c>
    </row>
    <row r="801" spans="1:16" x14ac:dyDescent="0.25">
      <c r="A801" t="s">
        <v>2107</v>
      </c>
      <c r="B801" t="s">
        <v>199</v>
      </c>
      <c r="C801" t="s">
        <v>2108</v>
      </c>
      <c r="D801" t="s">
        <v>45</v>
      </c>
      <c r="E801" t="s">
        <v>20</v>
      </c>
      <c r="F801">
        <v>8</v>
      </c>
      <c r="G801" t="s">
        <v>70</v>
      </c>
      <c r="H801" t="s">
        <v>54</v>
      </c>
      <c r="I801" t="s">
        <v>55</v>
      </c>
      <c r="J801">
        <v>146.33000000000001</v>
      </c>
      <c r="K801">
        <v>-2</v>
      </c>
      <c r="L801">
        <v>10</v>
      </c>
      <c r="M801" t="s">
        <v>77</v>
      </c>
      <c r="N801" t="s">
        <v>81</v>
      </c>
      <c r="O801" t="s">
        <v>26</v>
      </c>
      <c r="P801">
        <v>2</v>
      </c>
    </row>
    <row r="802" spans="1:16" x14ac:dyDescent="0.25">
      <c r="A802" t="s">
        <v>2109</v>
      </c>
      <c r="B802" t="s">
        <v>249</v>
      </c>
      <c r="C802" t="s">
        <v>2110</v>
      </c>
      <c r="D802" t="s">
        <v>19</v>
      </c>
      <c r="E802" t="s">
        <v>20</v>
      </c>
      <c r="F802">
        <v>35</v>
      </c>
      <c r="G802" t="s">
        <v>47</v>
      </c>
      <c r="H802" t="s">
        <v>54</v>
      </c>
      <c r="I802" t="s">
        <v>55</v>
      </c>
      <c r="J802">
        <v>338.76</v>
      </c>
      <c r="K802">
        <v>5</v>
      </c>
      <c r="L802">
        <v>10</v>
      </c>
      <c r="N802" t="s">
        <v>81</v>
      </c>
      <c r="O802" t="s">
        <v>82</v>
      </c>
      <c r="P802">
        <v>1</v>
      </c>
    </row>
    <row r="803" spans="1:16" x14ac:dyDescent="0.25">
      <c r="A803" t="s">
        <v>2111</v>
      </c>
      <c r="B803" t="s">
        <v>1374</v>
      </c>
      <c r="C803" t="s">
        <v>2112</v>
      </c>
      <c r="D803" t="s">
        <v>45</v>
      </c>
      <c r="E803" t="s">
        <v>46</v>
      </c>
      <c r="F803">
        <v>51</v>
      </c>
      <c r="G803" t="s">
        <v>53</v>
      </c>
      <c r="H803" t="s">
        <v>31</v>
      </c>
      <c r="I803" t="s">
        <v>32</v>
      </c>
      <c r="J803">
        <v>479.78</v>
      </c>
      <c r="K803">
        <v>5</v>
      </c>
      <c r="L803">
        <v>-10</v>
      </c>
      <c r="M803" t="s">
        <v>64</v>
      </c>
      <c r="N803" t="s">
        <v>25</v>
      </c>
      <c r="O803" t="s">
        <v>26</v>
      </c>
      <c r="P803">
        <v>2</v>
      </c>
    </row>
    <row r="804" spans="1:16" x14ac:dyDescent="0.25">
      <c r="A804" t="s">
        <v>2113</v>
      </c>
      <c r="B804" t="s">
        <v>1226</v>
      </c>
      <c r="C804" t="s">
        <v>2114</v>
      </c>
      <c r="D804" t="s">
        <v>19</v>
      </c>
      <c r="E804" t="s">
        <v>46</v>
      </c>
      <c r="F804">
        <v>130</v>
      </c>
      <c r="G804" t="s">
        <v>21</v>
      </c>
      <c r="H804" t="s">
        <v>39</v>
      </c>
      <c r="I804" t="s">
        <v>40</v>
      </c>
      <c r="J804">
        <v>140.81</v>
      </c>
      <c r="K804">
        <v>-2</v>
      </c>
      <c r="L804">
        <v>10</v>
      </c>
      <c r="M804" t="s">
        <v>24</v>
      </c>
      <c r="N804" t="s">
        <v>41</v>
      </c>
      <c r="O804" t="s">
        <v>82</v>
      </c>
      <c r="P804">
        <v>4</v>
      </c>
    </row>
    <row r="805" spans="1:16" x14ac:dyDescent="0.25">
      <c r="A805" t="s">
        <v>2115</v>
      </c>
      <c r="B805" t="s">
        <v>2116</v>
      </c>
      <c r="C805" t="s">
        <v>2117</v>
      </c>
      <c r="D805" t="s">
        <v>117</v>
      </c>
      <c r="E805" t="s">
        <v>20</v>
      </c>
      <c r="F805">
        <v>55</v>
      </c>
      <c r="G805" t="s">
        <v>70</v>
      </c>
      <c r="H805" t="s">
        <v>87</v>
      </c>
      <c r="I805" t="s">
        <v>49</v>
      </c>
      <c r="J805">
        <v>339.31</v>
      </c>
      <c r="K805">
        <v>10</v>
      </c>
      <c r="L805">
        <v>5</v>
      </c>
      <c r="M805" t="s">
        <v>77</v>
      </c>
      <c r="N805" t="s">
        <v>41</v>
      </c>
      <c r="O805" t="s">
        <v>33</v>
      </c>
      <c r="P805">
        <v>4</v>
      </c>
    </row>
    <row r="806" spans="1:16" x14ac:dyDescent="0.25">
      <c r="A806" t="s">
        <v>2118</v>
      </c>
      <c r="B806" t="s">
        <v>2119</v>
      </c>
      <c r="C806" t="s">
        <v>2120</v>
      </c>
      <c r="D806" t="s">
        <v>63</v>
      </c>
      <c r="E806" t="s">
        <v>20</v>
      </c>
      <c r="F806">
        <v>8</v>
      </c>
      <c r="G806" t="s">
        <v>53</v>
      </c>
      <c r="H806" t="s">
        <v>87</v>
      </c>
      <c r="I806" t="s">
        <v>49</v>
      </c>
      <c r="J806">
        <v>377.01</v>
      </c>
      <c r="K806">
        <v>4</v>
      </c>
      <c r="L806">
        <v>-10</v>
      </c>
      <c r="M806" t="s">
        <v>24</v>
      </c>
      <c r="N806" t="s">
        <v>41</v>
      </c>
      <c r="O806" t="s">
        <v>26</v>
      </c>
      <c r="P806">
        <v>4</v>
      </c>
    </row>
    <row r="807" spans="1:16" x14ac:dyDescent="0.25">
      <c r="A807" t="s">
        <v>2121</v>
      </c>
      <c r="B807" t="s">
        <v>1226</v>
      </c>
      <c r="C807" t="s">
        <v>2122</v>
      </c>
      <c r="D807" t="s">
        <v>63</v>
      </c>
      <c r="E807" t="s">
        <v>46</v>
      </c>
      <c r="F807">
        <v>51</v>
      </c>
      <c r="G807" t="s">
        <v>86</v>
      </c>
      <c r="H807" t="s">
        <v>22</v>
      </c>
      <c r="I807" t="s">
        <v>23</v>
      </c>
      <c r="J807">
        <v>326.77</v>
      </c>
      <c r="K807">
        <v>2</v>
      </c>
      <c r="L807">
        <v>5</v>
      </c>
      <c r="M807" t="s">
        <v>59</v>
      </c>
      <c r="N807" t="s">
        <v>41</v>
      </c>
      <c r="O807" t="s">
        <v>82</v>
      </c>
      <c r="P807">
        <v>4</v>
      </c>
    </row>
    <row r="808" spans="1:16" x14ac:dyDescent="0.25">
      <c r="A808" t="s">
        <v>2123</v>
      </c>
      <c r="B808" t="s">
        <v>1324</v>
      </c>
      <c r="C808" t="s">
        <v>2124</v>
      </c>
      <c r="D808" t="s">
        <v>63</v>
      </c>
      <c r="E808" t="s">
        <v>46</v>
      </c>
      <c r="F808">
        <v>8</v>
      </c>
      <c r="G808" t="s">
        <v>38</v>
      </c>
      <c r="H808" t="s">
        <v>39</v>
      </c>
      <c r="I808" t="s">
        <v>40</v>
      </c>
      <c r="J808">
        <v>292.8</v>
      </c>
      <c r="K808">
        <v>6</v>
      </c>
      <c r="L808">
        <v>5</v>
      </c>
      <c r="M808" t="s">
        <v>77</v>
      </c>
      <c r="N808" t="s">
        <v>81</v>
      </c>
      <c r="O808" t="s">
        <v>26</v>
      </c>
      <c r="P808">
        <v>2</v>
      </c>
    </row>
    <row r="809" spans="1:16" x14ac:dyDescent="0.25">
      <c r="A809" t="s">
        <v>2125</v>
      </c>
      <c r="B809" t="s">
        <v>476</v>
      </c>
      <c r="C809" t="s">
        <v>2126</v>
      </c>
      <c r="D809" t="s">
        <v>19</v>
      </c>
      <c r="E809" t="s">
        <v>20</v>
      </c>
      <c r="F809">
        <v>130</v>
      </c>
      <c r="G809" t="s">
        <v>70</v>
      </c>
      <c r="H809" t="s">
        <v>54</v>
      </c>
      <c r="I809" t="s">
        <v>55</v>
      </c>
      <c r="J809">
        <v>244.71</v>
      </c>
      <c r="K809">
        <v>-2</v>
      </c>
      <c r="L809">
        <v>-10</v>
      </c>
      <c r="M809" t="s">
        <v>59</v>
      </c>
      <c r="N809" t="s">
        <v>81</v>
      </c>
      <c r="O809" t="s">
        <v>33</v>
      </c>
      <c r="P809">
        <v>4</v>
      </c>
    </row>
    <row r="810" spans="1:16" x14ac:dyDescent="0.25">
      <c r="A810" t="s">
        <v>2127</v>
      </c>
      <c r="B810" t="s">
        <v>682</v>
      </c>
      <c r="C810" t="s">
        <v>2128</v>
      </c>
      <c r="D810" t="s">
        <v>19</v>
      </c>
      <c r="E810" t="s">
        <v>46</v>
      </c>
      <c r="F810">
        <v>49</v>
      </c>
      <c r="G810" t="s">
        <v>86</v>
      </c>
      <c r="H810" t="s">
        <v>121</v>
      </c>
      <c r="I810" t="s">
        <v>122</v>
      </c>
      <c r="J810">
        <v>228.51</v>
      </c>
      <c r="K810">
        <v>-2</v>
      </c>
      <c r="L810">
        <v>0</v>
      </c>
      <c r="M810" t="s">
        <v>59</v>
      </c>
      <c r="N810" t="s">
        <v>25</v>
      </c>
      <c r="O810" t="s">
        <v>26</v>
      </c>
    </row>
    <row r="811" spans="1:16" x14ac:dyDescent="0.25">
      <c r="A811" t="s">
        <v>2129</v>
      </c>
      <c r="B811" t="s">
        <v>659</v>
      </c>
      <c r="C811" t="s">
        <v>1197</v>
      </c>
      <c r="D811" t="s">
        <v>63</v>
      </c>
      <c r="E811" t="s">
        <v>46</v>
      </c>
      <c r="F811">
        <v>8</v>
      </c>
      <c r="G811" t="s">
        <v>47</v>
      </c>
      <c r="H811" t="s">
        <v>31</v>
      </c>
      <c r="I811" t="s">
        <v>32</v>
      </c>
      <c r="J811">
        <v>41.23</v>
      </c>
      <c r="K811">
        <v>1</v>
      </c>
      <c r="L811">
        <v>-10</v>
      </c>
      <c r="M811" t="s">
        <v>24</v>
      </c>
      <c r="N811" t="s">
        <v>25</v>
      </c>
      <c r="O811" t="s">
        <v>26</v>
      </c>
      <c r="P811">
        <v>3</v>
      </c>
    </row>
    <row r="812" spans="1:16" x14ac:dyDescent="0.25">
      <c r="A812" t="s">
        <v>2130</v>
      </c>
      <c r="B812" t="s">
        <v>999</v>
      </c>
      <c r="C812" t="s">
        <v>2131</v>
      </c>
      <c r="D812" t="s">
        <v>63</v>
      </c>
      <c r="E812" t="s">
        <v>46</v>
      </c>
      <c r="F812">
        <v>23</v>
      </c>
      <c r="G812" t="s">
        <v>47</v>
      </c>
      <c r="H812" t="s">
        <v>87</v>
      </c>
      <c r="I812" t="s">
        <v>49</v>
      </c>
      <c r="J812">
        <v>439.81</v>
      </c>
      <c r="K812">
        <v>5</v>
      </c>
      <c r="L812">
        <v>0</v>
      </c>
      <c r="N812" t="s">
        <v>25</v>
      </c>
      <c r="O812" t="s">
        <v>82</v>
      </c>
      <c r="P812">
        <v>2</v>
      </c>
    </row>
    <row r="813" spans="1:16" x14ac:dyDescent="0.25">
      <c r="A813" t="s">
        <v>2132</v>
      </c>
      <c r="B813" t="s">
        <v>2133</v>
      </c>
      <c r="C813" t="s">
        <v>2134</v>
      </c>
      <c r="D813" t="s">
        <v>63</v>
      </c>
      <c r="E813" t="s">
        <v>20</v>
      </c>
      <c r="F813">
        <v>8</v>
      </c>
      <c r="G813" t="s">
        <v>70</v>
      </c>
      <c r="H813" t="s">
        <v>48</v>
      </c>
      <c r="I813" t="s">
        <v>49</v>
      </c>
      <c r="J813">
        <v>156.19999999999999</v>
      </c>
      <c r="K813">
        <v>10</v>
      </c>
      <c r="L813">
        <v>120</v>
      </c>
      <c r="M813" t="s">
        <v>64</v>
      </c>
      <c r="N813" t="s">
        <v>41</v>
      </c>
      <c r="O813" t="s">
        <v>65</v>
      </c>
      <c r="P813">
        <v>5</v>
      </c>
    </row>
    <row r="814" spans="1:16" x14ac:dyDescent="0.25">
      <c r="A814" t="s">
        <v>2135</v>
      </c>
      <c r="B814" t="s">
        <v>2136</v>
      </c>
      <c r="C814" t="s">
        <v>2137</v>
      </c>
      <c r="D814" t="s">
        <v>63</v>
      </c>
      <c r="E814" t="s">
        <v>20</v>
      </c>
      <c r="F814">
        <v>130</v>
      </c>
      <c r="G814" t="s">
        <v>30</v>
      </c>
      <c r="H814" t="s">
        <v>31</v>
      </c>
      <c r="I814" t="s">
        <v>32</v>
      </c>
      <c r="J814">
        <v>269.33999999999997</v>
      </c>
      <c r="K814">
        <v>4</v>
      </c>
      <c r="L814">
        <v>5</v>
      </c>
      <c r="N814" t="s">
        <v>81</v>
      </c>
      <c r="O814" t="s">
        <v>65</v>
      </c>
    </row>
    <row r="815" spans="1:16" x14ac:dyDescent="0.25">
      <c r="A815" t="s">
        <v>2138</v>
      </c>
      <c r="B815" t="s">
        <v>1982</v>
      </c>
      <c r="C815" t="s">
        <v>2139</v>
      </c>
      <c r="D815" t="s">
        <v>63</v>
      </c>
      <c r="E815" t="s">
        <v>20</v>
      </c>
      <c r="F815">
        <v>63</v>
      </c>
      <c r="G815" t="s">
        <v>21</v>
      </c>
      <c r="H815" t="s">
        <v>121</v>
      </c>
      <c r="I815" t="s">
        <v>122</v>
      </c>
      <c r="J815">
        <v>278.3</v>
      </c>
      <c r="K815">
        <v>4</v>
      </c>
      <c r="L815">
        <v>-10</v>
      </c>
      <c r="M815" t="s">
        <v>64</v>
      </c>
      <c r="N815" t="s">
        <v>25</v>
      </c>
      <c r="O815" t="s">
        <v>33</v>
      </c>
    </row>
    <row r="816" spans="1:16" x14ac:dyDescent="0.25">
      <c r="A816" t="s">
        <v>2140</v>
      </c>
      <c r="B816" t="s">
        <v>226</v>
      </c>
      <c r="C816" t="s">
        <v>2141</v>
      </c>
      <c r="E816" t="s">
        <v>46</v>
      </c>
      <c r="F816">
        <v>130</v>
      </c>
      <c r="G816" t="s">
        <v>86</v>
      </c>
      <c r="H816" t="s">
        <v>31</v>
      </c>
      <c r="I816" t="s">
        <v>32</v>
      </c>
      <c r="J816">
        <v>492.42</v>
      </c>
      <c r="K816">
        <v>-2</v>
      </c>
      <c r="L816">
        <v>120</v>
      </c>
      <c r="N816" t="s">
        <v>25</v>
      </c>
      <c r="O816" t="s">
        <v>26</v>
      </c>
      <c r="P816">
        <v>1</v>
      </c>
    </row>
    <row r="817" spans="1:16" x14ac:dyDescent="0.25">
      <c r="A817" t="s">
        <v>2142</v>
      </c>
      <c r="B817" t="s">
        <v>695</v>
      </c>
      <c r="C817" t="s">
        <v>2143</v>
      </c>
      <c r="D817" t="s">
        <v>69</v>
      </c>
      <c r="E817" t="s">
        <v>20</v>
      </c>
      <c r="F817">
        <v>59</v>
      </c>
      <c r="G817" t="s">
        <v>38</v>
      </c>
      <c r="H817" t="s">
        <v>54</v>
      </c>
      <c r="I817" t="s">
        <v>55</v>
      </c>
      <c r="J817">
        <v>284.29000000000002</v>
      </c>
      <c r="K817">
        <v>3</v>
      </c>
      <c r="L817">
        <v>0</v>
      </c>
      <c r="N817" t="s">
        <v>25</v>
      </c>
      <c r="O817" t="s">
        <v>82</v>
      </c>
      <c r="P817">
        <v>2</v>
      </c>
    </row>
    <row r="818" spans="1:16" x14ac:dyDescent="0.25">
      <c r="A818" t="s">
        <v>2144</v>
      </c>
      <c r="B818" t="s">
        <v>2145</v>
      </c>
      <c r="C818" t="s">
        <v>2146</v>
      </c>
      <c r="D818" t="s">
        <v>101</v>
      </c>
      <c r="E818" t="s">
        <v>46</v>
      </c>
      <c r="F818">
        <v>8</v>
      </c>
      <c r="G818" t="s">
        <v>70</v>
      </c>
      <c r="H818" t="s">
        <v>22</v>
      </c>
      <c r="I818" t="s">
        <v>23</v>
      </c>
      <c r="J818">
        <v>424.69</v>
      </c>
      <c r="K818">
        <v>8</v>
      </c>
      <c r="L818">
        <v>5</v>
      </c>
      <c r="M818" t="s">
        <v>64</v>
      </c>
      <c r="N818" t="s">
        <v>81</v>
      </c>
      <c r="O818" t="s">
        <v>26</v>
      </c>
      <c r="P818">
        <v>4</v>
      </c>
    </row>
    <row r="819" spans="1:16" x14ac:dyDescent="0.25">
      <c r="A819" t="s">
        <v>2147</v>
      </c>
      <c r="B819" t="s">
        <v>2148</v>
      </c>
      <c r="C819" t="s">
        <v>2149</v>
      </c>
      <c r="D819" t="s">
        <v>63</v>
      </c>
      <c r="E819" t="s">
        <v>20</v>
      </c>
      <c r="F819">
        <v>130</v>
      </c>
      <c r="G819" t="s">
        <v>53</v>
      </c>
      <c r="H819" t="s">
        <v>22</v>
      </c>
      <c r="I819" t="s">
        <v>23</v>
      </c>
      <c r="J819">
        <v>418.4</v>
      </c>
      <c r="K819">
        <v>-2</v>
      </c>
      <c r="L819">
        <v>0</v>
      </c>
      <c r="M819" t="s">
        <v>64</v>
      </c>
      <c r="N819" t="s">
        <v>25</v>
      </c>
      <c r="O819" t="s">
        <v>82</v>
      </c>
      <c r="P819">
        <v>4</v>
      </c>
    </row>
    <row r="820" spans="1:16" x14ac:dyDescent="0.25">
      <c r="A820" t="s">
        <v>2150</v>
      </c>
      <c r="B820" t="s">
        <v>1285</v>
      </c>
      <c r="C820" t="s">
        <v>2151</v>
      </c>
      <c r="D820" t="s">
        <v>45</v>
      </c>
      <c r="E820" t="s">
        <v>20</v>
      </c>
      <c r="F820">
        <v>8</v>
      </c>
      <c r="G820" t="s">
        <v>47</v>
      </c>
      <c r="H820" t="s">
        <v>22</v>
      </c>
      <c r="I820" t="s">
        <v>23</v>
      </c>
      <c r="J820">
        <v>401.44</v>
      </c>
      <c r="K820">
        <v>-2</v>
      </c>
      <c r="L820">
        <v>-10</v>
      </c>
      <c r="M820" t="s">
        <v>64</v>
      </c>
      <c r="N820" t="s">
        <v>91</v>
      </c>
      <c r="O820" t="s">
        <v>26</v>
      </c>
      <c r="P820">
        <v>5</v>
      </c>
    </row>
    <row r="821" spans="1:16" x14ac:dyDescent="0.25">
      <c r="A821" t="s">
        <v>2152</v>
      </c>
      <c r="B821" t="s">
        <v>1779</v>
      </c>
      <c r="C821" t="s">
        <v>2153</v>
      </c>
      <c r="D821" t="s">
        <v>63</v>
      </c>
      <c r="E821" t="s">
        <v>20</v>
      </c>
      <c r="F821">
        <v>8</v>
      </c>
      <c r="G821" t="s">
        <v>86</v>
      </c>
      <c r="H821" t="s">
        <v>31</v>
      </c>
      <c r="I821" t="s">
        <v>32</v>
      </c>
      <c r="J821">
        <v>492.9</v>
      </c>
      <c r="K821">
        <v>10</v>
      </c>
      <c r="L821">
        <v>10</v>
      </c>
      <c r="N821" t="s">
        <v>25</v>
      </c>
      <c r="O821" t="s">
        <v>26</v>
      </c>
      <c r="P821">
        <v>2</v>
      </c>
    </row>
    <row r="822" spans="1:16" x14ac:dyDescent="0.25">
      <c r="A822" t="s">
        <v>2154</v>
      </c>
      <c r="B822" t="s">
        <v>167</v>
      </c>
      <c r="C822" t="s">
        <v>2155</v>
      </c>
      <c r="D822" t="s">
        <v>19</v>
      </c>
      <c r="E822" t="s">
        <v>46</v>
      </c>
      <c r="F822">
        <v>38</v>
      </c>
      <c r="G822" t="s">
        <v>86</v>
      </c>
      <c r="H822" t="s">
        <v>22</v>
      </c>
      <c r="I822" t="s">
        <v>23</v>
      </c>
      <c r="J822">
        <v>116.66</v>
      </c>
      <c r="K822">
        <v>1</v>
      </c>
      <c r="L822">
        <v>10</v>
      </c>
      <c r="M822" t="s">
        <v>77</v>
      </c>
      <c r="N822" t="s">
        <v>81</v>
      </c>
      <c r="O822" t="s">
        <v>65</v>
      </c>
      <c r="P822">
        <v>1</v>
      </c>
    </row>
    <row r="823" spans="1:16" x14ac:dyDescent="0.25">
      <c r="A823" t="s">
        <v>2156</v>
      </c>
      <c r="B823" t="s">
        <v>170</v>
      </c>
      <c r="C823" t="s">
        <v>2157</v>
      </c>
      <c r="E823" t="s">
        <v>46</v>
      </c>
      <c r="F823">
        <v>41</v>
      </c>
      <c r="G823" t="s">
        <v>70</v>
      </c>
      <c r="H823" t="s">
        <v>31</v>
      </c>
      <c r="I823" t="s">
        <v>32</v>
      </c>
      <c r="J823">
        <v>461.59</v>
      </c>
      <c r="K823">
        <v>-2</v>
      </c>
      <c r="L823">
        <v>10</v>
      </c>
      <c r="M823" t="s">
        <v>59</v>
      </c>
      <c r="N823" t="s">
        <v>81</v>
      </c>
      <c r="O823" t="s">
        <v>33</v>
      </c>
    </row>
    <row r="824" spans="1:16" x14ac:dyDescent="0.25">
      <c r="A824" t="s">
        <v>2158</v>
      </c>
      <c r="B824" t="s">
        <v>1996</v>
      </c>
      <c r="C824" t="s">
        <v>2159</v>
      </c>
      <c r="D824" t="s">
        <v>63</v>
      </c>
      <c r="E824" t="s">
        <v>20</v>
      </c>
      <c r="F824">
        <v>8</v>
      </c>
      <c r="G824" t="s">
        <v>21</v>
      </c>
      <c r="H824" t="s">
        <v>54</v>
      </c>
      <c r="I824" t="s">
        <v>55</v>
      </c>
      <c r="J824">
        <v>320.07</v>
      </c>
      <c r="K824">
        <v>6</v>
      </c>
      <c r="L824">
        <v>5</v>
      </c>
      <c r="M824" t="s">
        <v>77</v>
      </c>
      <c r="N824" t="s">
        <v>25</v>
      </c>
      <c r="O824" t="s">
        <v>26</v>
      </c>
      <c r="P824">
        <v>3</v>
      </c>
    </row>
    <row r="825" spans="1:16" x14ac:dyDescent="0.25">
      <c r="A825" t="s">
        <v>2160</v>
      </c>
      <c r="B825" t="s">
        <v>2161</v>
      </c>
      <c r="C825" t="s">
        <v>2162</v>
      </c>
      <c r="D825" t="s">
        <v>101</v>
      </c>
      <c r="E825" t="s">
        <v>46</v>
      </c>
      <c r="F825">
        <v>8</v>
      </c>
      <c r="G825" t="s">
        <v>47</v>
      </c>
      <c r="H825" t="s">
        <v>54</v>
      </c>
      <c r="I825" t="s">
        <v>55</v>
      </c>
      <c r="J825">
        <v>251.33</v>
      </c>
      <c r="K825">
        <v>-2</v>
      </c>
      <c r="L825">
        <v>120</v>
      </c>
      <c r="N825" t="s">
        <v>25</v>
      </c>
      <c r="O825" t="s">
        <v>82</v>
      </c>
      <c r="P825">
        <v>1</v>
      </c>
    </row>
    <row r="826" spans="1:16" x14ac:dyDescent="0.25">
      <c r="A826" t="s">
        <v>2163</v>
      </c>
      <c r="B826" t="s">
        <v>2164</v>
      </c>
      <c r="C826" t="s">
        <v>2165</v>
      </c>
      <c r="E826" t="s">
        <v>46</v>
      </c>
      <c r="F826">
        <v>35</v>
      </c>
      <c r="G826" t="s">
        <v>38</v>
      </c>
      <c r="H826" t="s">
        <v>31</v>
      </c>
      <c r="I826" t="s">
        <v>32</v>
      </c>
      <c r="J826">
        <v>301.43</v>
      </c>
      <c r="K826">
        <v>2</v>
      </c>
      <c r="L826">
        <v>5</v>
      </c>
      <c r="M826" t="s">
        <v>64</v>
      </c>
      <c r="N826" t="s">
        <v>25</v>
      </c>
      <c r="O826" t="s">
        <v>65</v>
      </c>
      <c r="P826">
        <v>5</v>
      </c>
    </row>
    <row r="827" spans="1:16" x14ac:dyDescent="0.25">
      <c r="A827" t="s">
        <v>2166</v>
      </c>
      <c r="B827" t="s">
        <v>1547</v>
      </c>
      <c r="C827" t="s">
        <v>678</v>
      </c>
      <c r="E827" t="s">
        <v>20</v>
      </c>
      <c r="F827">
        <v>8</v>
      </c>
      <c r="G827" t="s">
        <v>86</v>
      </c>
      <c r="H827" t="s">
        <v>39</v>
      </c>
      <c r="I827" t="s">
        <v>40</v>
      </c>
      <c r="J827">
        <v>336.98</v>
      </c>
      <c r="K827">
        <v>-2</v>
      </c>
      <c r="L827">
        <v>0</v>
      </c>
      <c r="N827" t="s">
        <v>41</v>
      </c>
      <c r="O827" t="s">
        <v>33</v>
      </c>
    </row>
    <row r="828" spans="1:16" x14ac:dyDescent="0.25">
      <c r="A828" t="s">
        <v>2167</v>
      </c>
      <c r="B828" t="s">
        <v>1346</v>
      </c>
      <c r="C828" t="s">
        <v>2168</v>
      </c>
      <c r="E828" t="s">
        <v>46</v>
      </c>
      <c r="F828">
        <v>18</v>
      </c>
      <c r="G828" t="s">
        <v>38</v>
      </c>
      <c r="H828" t="s">
        <v>87</v>
      </c>
      <c r="I828" t="s">
        <v>49</v>
      </c>
      <c r="J828">
        <v>112.64</v>
      </c>
      <c r="K828">
        <v>5</v>
      </c>
      <c r="L828">
        <v>10</v>
      </c>
      <c r="M828" t="s">
        <v>64</v>
      </c>
      <c r="N828" t="s">
        <v>41</v>
      </c>
      <c r="O828" t="s">
        <v>26</v>
      </c>
      <c r="P828">
        <v>3</v>
      </c>
    </row>
    <row r="829" spans="1:16" x14ac:dyDescent="0.25">
      <c r="A829" t="s">
        <v>2169</v>
      </c>
      <c r="B829" t="s">
        <v>492</v>
      </c>
      <c r="C829" t="s">
        <v>2170</v>
      </c>
      <c r="D829" t="s">
        <v>37</v>
      </c>
      <c r="E829" t="s">
        <v>46</v>
      </c>
      <c r="F829">
        <v>130</v>
      </c>
      <c r="G829" t="s">
        <v>21</v>
      </c>
      <c r="H829" t="s">
        <v>39</v>
      </c>
      <c r="I829" t="s">
        <v>40</v>
      </c>
      <c r="J829">
        <v>135.58000000000001</v>
      </c>
      <c r="K829">
        <v>-2</v>
      </c>
      <c r="L829">
        <v>120</v>
      </c>
      <c r="N829" t="s">
        <v>25</v>
      </c>
      <c r="O829" t="s">
        <v>26</v>
      </c>
      <c r="P829">
        <v>4</v>
      </c>
    </row>
    <row r="830" spans="1:16" x14ac:dyDescent="0.25">
      <c r="A830" t="s">
        <v>2171</v>
      </c>
      <c r="B830" t="s">
        <v>2172</v>
      </c>
      <c r="C830" t="s">
        <v>2173</v>
      </c>
      <c r="D830" t="s">
        <v>101</v>
      </c>
      <c r="E830" t="s">
        <v>46</v>
      </c>
      <c r="F830">
        <v>130</v>
      </c>
      <c r="G830" t="s">
        <v>86</v>
      </c>
      <c r="H830" t="s">
        <v>48</v>
      </c>
      <c r="I830" t="s">
        <v>49</v>
      </c>
      <c r="J830">
        <v>312.37</v>
      </c>
      <c r="K830">
        <v>-2</v>
      </c>
      <c r="L830">
        <v>10</v>
      </c>
      <c r="M830" t="s">
        <v>24</v>
      </c>
      <c r="N830" t="s">
        <v>25</v>
      </c>
      <c r="O830" t="s">
        <v>82</v>
      </c>
      <c r="P830">
        <v>3</v>
      </c>
    </row>
    <row r="831" spans="1:16" x14ac:dyDescent="0.25">
      <c r="A831" t="s">
        <v>2174</v>
      </c>
      <c r="B831" t="s">
        <v>2175</v>
      </c>
      <c r="C831" t="s">
        <v>2176</v>
      </c>
      <c r="D831" t="s">
        <v>63</v>
      </c>
      <c r="E831" t="s">
        <v>20</v>
      </c>
      <c r="F831">
        <v>56</v>
      </c>
      <c r="G831" t="s">
        <v>38</v>
      </c>
      <c r="H831" t="s">
        <v>22</v>
      </c>
      <c r="I831" t="s">
        <v>23</v>
      </c>
      <c r="J831">
        <v>287.23</v>
      </c>
      <c r="K831">
        <v>-2</v>
      </c>
      <c r="L831">
        <v>10</v>
      </c>
      <c r="N831" t="s">
        <v>81</v>
      </c>
      <c r="O831" t="s">
        <v>65</v>
      </c>
      <c r="P831">
        <v>2</v>
      </c>
    </row>
    <row r="832" spans="1:16" x14ac:dyDescent="0.25">
      <c r="A832" t="s">
        <v>2177</v>
      </c>
      <c r="B832" t="s">
        <v>2178</v>
      </c>
      <c r="C832" t="s">
        <v>2179</v>
      </c>
      <c r="D832" t="s">
        <v>19</v>
      </c>
      <c r="E832" t="s">
        <v>46</v>
      </c>
      <c r="F832">
        <v>130</v>
      </c>
      <c r="G832" t="s">
        <v>30</v>
      </c>
      <c r="H832" t="s">
        <v>54</v>
      </c>
      <c r="I832" t="s">
        <v>55</v>
      </c>
      <c r="J832">
        <v>189.29</v>
      </c>
      <c r="K832">
        <v>-2</v>
      </c>
      <c r="L832">
        <v>10</v>
      </c>
      <c r="N832" t="s">
        <v>81</v>
      </c>
      <c r="O832" t="s">
        <v>33</v>
      </c>
      <c r="P832">
        <v>5</v>
      </c>
    </row>
    <row r="833" spans="1:16" x14ac:dyDescent="0.25">
      <c r="A833" t="s">
        <v>2180</v>
      </c>
      <c r="B833" t="s">
        <v>2181</v>
      </c>
      <c r="C833" t="s">
        <v>2182</v>
      </c>
      <c r="D833" t="s">
        <v>101</v>
      </c>
      <c r="E833" t="s">
        <v>20</v>
      </c>
      <c r="F833">
        <v>48</v>
      </c>
      <c r="G833" t="s">
        <v>86</v>
      </c>
      <c r="H833" t="s">
        <v>39</v>
      </c>
      <c r="I833" t="s">
        <v>40</v>
      </c>
      <c r="J833">
        <v>367.15</v>
      </c>
      <c r="K833">
        <v>2</v>
      </c>
      <c r="L833">
        <v>120</v>
      </c>
      <c r="M833" t="s">
        <v>59</v>
      </c>
      <c r="N833" t="s">
        <v>41</v>
      </c>
      <c r="O833" t="s">
        <v>65</v>
      </c>
      <c r="P833">
        <v>4</v>
      </c>
    </row>
    <row r="834" spans="1:16" x14ac:dyDescent="0.25">
      <c r="A834" t="s">
        <v>2183</v>
      </c>
      <c r="B834" t="s">
        <v>1191</v>
      </c>
      <c r="C834" t="s">
        <v>2184</v>
      </c>
      <c r="D834" t="s">
        <v>117</v>
      </c>
      <c r="E834" t="s">
        <v>46</v>
      </c>
      <c r="F834">
        <v>130</v>
      </c>
      <c r="G834" t="s">
        <v>70</v>
      </c>
      <c r="H834" t="s">
        <v>54</v>
      </c>
      <c r="I834" t="s">
        <v>55</v>
      </c>
      <c r="J834">
        <v>109.53</v>
      </c>
      <c r="K834">
        <v>-2</v>
      </c>
      <c r="L834">
        <v>120</v>
      </c>
      <c r="M834" t="s">
        <v>59</v>
      </c>
      <c r="N834" t="s">
        <v>91</v>
      </c>
      <c r="O834" t="s">
        <v>82</v>
      </c>
      <c r="P834">
        <v>4</v>
      </c>
    </row>
    <row r="835" spans="1:16" x14ac:dyDescent="0.25">
      <c r="A835" t="s">
        <v>2185</v>
      </c>
      <c r="B835" t="s">
        <v>1327</v>
      </c>
      <c r="C835" t="s">
        <v>2186</v>
      </c>
      <c r="D835" t="s">
        <v>117</v>
      </c>
      <c r="E835" t="s">
        <v>20</v>
      </c>
      <c r="F835">
        <v>28</v>
      </c>
      <c r="G835" t="s">
        <v>21</v>
      </c>
      <c r="H835" t="s">
        <v>22</v>
      </c>
      <c r="I835" t="s">
        <v>23</v>
      </c>
      <c r="J835">
        <v>76</v>
      </c>
      <c r="K835">
        <v>-2</v>
      </c>
      <c r="L835">
        <v>15</v>
      </c>
      <c r="M835" t="s">
        <v>59</v>
      </c>
      <c r="N835" t="s">
        <v>41</v>
      </c>
      <c r="O835" t="s">
        <v>33</v>
      </c>
      <c r="P835">
        <v>2</v>
      </c>
    </row>
    <row r="836" spans="1:16" x14ac:dyDescent="0.25">
      <c r="A836" t="s">
        <v>2187</v>
      </c>
      <c r="B836" t="s">
        <v>2188</v>
      </c>
      <c r="C836" t="s">
        <v>2189</v>
      </c>
      <c r="D836" t="s">
        <v>117</v>
      </c>
      <c r="E836" t="s">
        <v>20</v>
      </c>
      <c r="F836">
        <v>60</v>
      </c>
      <c r="G836" t="s">
        <v>70</v>
      </c>
      <c r="H836" t="s">
        <v>31</v>
      </c>
      <c r="I836" t="s">
        <v>32</v>
      </c>
      <c r="J836">
        <v>100.02</v>
      </c>
      <c r="K836">
        <v>-2</v>
      </c>
      <c r="L836">
        <v>120</v>
      </c>
      <c r="M836" t="s">
        <v>59</v>
      </c>
      <c r="N836" t="s">
        <v>25</v>
      </c>
      <c r="O836" t="s">
        <v>33</v>
      </c>
      <c r="P836">
        <v>5</v>
      </c>
    </row>
    <row r="837" spans="1:16" x14ac:dyDescent="0.25">
      <c r="A837" t="s">
        <v>2190</v>
      </c>
      <c r="B837" t="s">
        <v>1427</v>
      </c>
      <c r="C837" t="s">
        <v>2191</v>
      </c>
      <c r="E837" t="s">
        <v>46</v>
      </c>
      <c r="F837">
        <v>130</v>
      </c>
      <c r="G837" t="s">
        <v>86</v>
      </c>
      <c r="H837" t="s">
        <v>121</v>
      </c>
      <c r="I837" t="s">
        <v>122</v>
      </c>
      <c r="J837">
        <v>44.07</v>
      </c>
      <c r="K837">
        <v>-2</v>
      </c>
      <c r="L837">
        <v>5</v>
      </c>
      <c r="M837" t="s">
        <v>24</v>
      </c>
      <c r="N837" t="s">
        <v>41</v>
      </c>
      <c r="O837" t="s">
        <v>33</v>
      </c>
    </row>
    <row r="838" spans="1:16" x14ac:dyDescent="0.25">
      <c r="A838" t="s">
        <v>2192</v>
      </c>
      <c r="B838" t="s">
        <v>79</v>
      </c>
      <c r="C838" t="s">
        <v>2193</v>
      </c>
      <c r="D838" t="s">
        <v>117</v>
      </c>
      <c r="E838" t="s">
        <v>46</v>
      </c>
      <c r="F838">
        <v>130</v>
      </c>
      <c r="G838" t="s">
        <v>53</v>
      </c>
      <c r="H838" t="s">
        <v>22</v>
      </c>
      <c r="I838" t="s">
        <v>23</v>
      </c>
      <c r="J838">
        <v>203.4</v>
      </c>
      <c r="K838">
        <v>-2</v>
      </c>
      <c r="L838">
        <v>15</v>
      </c>
      <c r="M838" t="s">
        <v>77</v>
      </c>
      <c r="N838" t="s">
        <v>91</v>
      </c>
      <c r="O838" t="s">
        <v>33</v>
      </c>
      <c r="P838">
        <v>5</v>
      </c>
    </row>
    <row r="839" spans="1:16" x14ac:dyDescent="0.25">
      <c r="A839" t="s">
        <v>2194</v>
      </c>
      <c r="B839" t="s">
        <v>28</v>
      </c>
      <c r="C839" t="s">
        <v>2195</v>
      </c>
      <c r="D839" t="s">
        <v>69</v>
      </c>
      <c r="E839" t="s">
        <v>46</v>
      </c>
      <c r="F839">
        <v>8</v>
      </c>
      <c r="G839" t="s">
        <v>86</v>
      </c>
      <c r="H839" t="s">
        <v>54</v>
      </c>
      <c r="I839" t="s">
        <v>55</v>
      </c>
      <c r="J839">
        <v>424.75</v>
      </c>
      <c r="K839">
        <v>7</v>
      </c>
      <c r="L839">
        <v>5</v>
      </c>
      <c r="M839" t="s">
        <v>59</v>
      </c>
      <c r="N839" t="s">
        <v>41</v>
      </c>
      <c r="O839" t="s">
        <v>33</v>
      </c>
      <c r="P839">
        <v>1</v>
      </c>
    </row>
    <row r="840" spans="1:16" x14ac:dyDescent="0.25">
      <c r="A840" t="s">
        <v>2196</v>
      </c>
      <c r="B840" t="s">
        <v>2197</v>
      </c>
      <c r="C840" t="s">
        <v>1452</v>
      </c>
      <c r="D840" t="s">
        <v>63</v>
      </c>
      <c r="E840" t="s">
        <v>46</v>
      </c>
      <c r="F840">
        <v>50</v>
      </c>
      <c r="G840" t="s">
        <v>53</v>
      </c>
      <c r="H840" t="s">
        <v>121</v>
      </c>
      <c r="I840" t="s">
        <v>122</v>
      </c>
      <c r="J840">
        <v>428.7</v>
      </c>
      <c r="K840">
        <v>9</v>
      </c>
      <c r="L840">
        <v>15</v>
      </c>
      <c r="M840" t="s">
        <v>64</v>
      </c>
      <c r="N840" t="s">
        <v>81</v>
      </c>
      <c r="O840" t="s">
        <v>26</v>
      </c>
      <c r="P840">
        <v>2</v>
      </c>
    </row>
    <row r="841" spans="1:16" x14ac:dyDescent="0.25">
      <c r="A841" t="s">
        <v>2198</v>
      </c>
      <c r="B841" t="s">
        <v>752</v>
      </c>
      <c r="C841" t="s">
        <v>2199</v>
      </c>
      <c r="D841" t="s">
        <v>117</v>
      </c>
      <c r="E841" t="s">
        <v>20</v>
      </c>
      <c r="F841">
        <v>8</v>
      </c>
      <c r="G841" t="s">
        <v>47</v>
      </c>
      <c r="H841" t="s">
        <v>31</v>
      </c>
      <c r="I841" t="s">
        <v>32</v>
      </c>
      <c r="J841">
        <v>332.76</v>
      </c>
      <c r="K841">
        <v>-2</v>
      </c>
      <c r="L841">
        <v>120</v>
      </c>
      <c r="N841" t="s">
        <v>91</v>
      </c>
      <c r="O841" t="s">
        <v>26</v>
      </c>
      <c r="P841">
        <v>3</v>
      </c>
    </row>
    <row r="842" spans="1:16" x14ac:dyDescent="0.25">
      <c r="A842" t="s">
        <v>2200</v>
      </c>
      <c r="B842" t="s">
        <v>1846</v>
      </c>
      <c r="C842" t="s">
        <v>2201</v>
      </c>
      <c r="D842" t="s">
        <v>19</v>
      </c>
      <c r="E842" t="s">
        <v>20</v>
      </c>
      <c r="F842">
        <v>8</v>
      </c>
      <c r="G842" t="s">
        <v>47</v>
      </c>
      <c r="H842" t="s">
        <v>48</v>
      </c>
      <c r="I842" t="s">
        <v>49</v>
      </c>
      <c r="J842">
        <v>63.46</v>
      </c>
      <c r="K842">
        <v>-2</v>
      </c>
      <c r="L842">
        <v>-10</v>
      </c>
      <c r="M842" t="s">
        <v>24</v>
      </c>
      <c r="N842" t="s">
        <v>25</v>
      </c>
      <c r="O842" t="s">
        <v>33</v>
      </c>
    </row>
    <row r="843" spans="1:16" x14ac:dyDescent="0.25">
      <c r="A843" t="s">
        <v>2202</v>
      </c>
      <c r="B843" t="s">
        <v>2047</v>
      </c>
      <c r="C843" t="s">
        <v>2203</v>
      </c>
      <c r="D843" t="s">
        <v>19</v>
      </c>
      <c r="E843" t="s">
        <v>20</v>
      </c>
      <c r="F843">
        <v>130</v>
      </c>
      <c r="G843" t="s">
        <v>30</v>
      </c>
      <c r="H843" t="s">
        <v>39</v>
      </c>
      <c r="I843" t="s">
        <v>40</v>
      </c>
      <c r="J843">
        <v>476.39</v>
      </c>
      <c r="K843">
        <v>2</v>
      </c>
      <c r="L843">
        <v>-10</v>
      </c>
      <c r="N843" t="s">
        <v>81</v>
      </c>
      <c r="O843" t="s">
        <v>65</v>
      </c>
      <c r="P843">
        <v>4</v>
      </c>
    </row>
    <row r="844" spans="1:16" x14ac:dyDescent="0.25">
      <c r="A844" t="s">
        <v>2204</v>
      </c>
      <c r="B844" t="s">
        <v>711</v>
      </c>
      <c r="C844" t="s">
        <v>2205</v>
      </c>
      <c r="E844" t="s">
        <v>46</v>
      </c>
      <c r="F844">
        <v>33</v>
      </c>
      <c r="G844" t="s">
        <v>70</v>
      </c>
      <c r="H844" t="s">
        <v>48</v>
      </c>
      <c r="I844" t="s">
        <v>49</v>
      </c>
      <c r="J844">
        <v>343</v>
      </c>
      <c r="K844">
        <v>-2</v>
      </c>
      <c r="L844">
        <v>120</v>
      </c>
      <c r="M844" t="s">
        <v>59</v>
      </c>
      <c r="N844" t="s">
        <v>81</v>
      </c>
      <c r="O844" t="s">
        <v>26</v>
      </c>
      <c r="P844">
        <v>1</v>
      </c>
    </row>
    <row r="845" spans="1:16" x14ac:dyDescent="0.25">
      <c r="A845" t="s">
        <v>2206</v>
      </c>
      <c r="B845" t="s">
        <v>896</v>
      </c>
      <c r="C845" t="s">
        <v>2207</v>
      </c>
      <c r="D845" t="s">
        <v>63</v>
      </c>
      <c r="E845" t="s">
        <v>46</v>
      </c>
      <c r="F845">
        <v>130</v>
      </c>
      <c r="G845" t="s">
        <v>21</v>
      </c>
      <c r="H845" t="s">
        <v>54</v>
      </c>
      <c r="I845" t="s">
        <v>55</v>
      </c>
      <c r="J845">
        <v>31.5</v>
      </c>
      <c r="K845">
        <v>-2</v>
      </c>
      <c r="L845">
        <v>120</v>
      </c>
      <c r="M845" t="s">
        <v>24</v>
      </c>
      <c r="N845" t="s">
        <v>41</v>
      </c>
      <c r="O845" t="s">
        <v>33</v>
      </c>
      <c r="P845">
        <v>5</v>
      </c>
    </row>
    <row r="846" spans="1:16" x14ac:dyDescent="0.25">
      <c r="A846" t="s">
        <v>2208</v>
      </c>
      <c r="B846" t="s">
        <v>711</v>
      </c>
      <c r="C846" t="s">
        <v>2209</v>
      </c>
      <c r="D846" t="s">
        <v>63</v>
      </c>
      <c r="E846" t="s">
        <v>20</v>
      </c>
      <c r="F846">
        <v>8</v>
      </c>
      <c r="G846" t="s">
        <v>38</v>
      </c>
      <c r="H846" t="s">
        <v>22</v>
      </c>
      <c r="I846" t="s">
        <v>23</v>
      </c>
      <c r="J846">
        <v>189.5</v>
      </c>
      <c r="K846">
        <v>-2</v>
      </c>
      <c r="L846">
        <v>0</v>
      </c>
      <c r="N846" t="s">
        <v>25</v>
      </c>
      <c r="O846" t="s">
        <v>82</v>
      </c>
      <c r="P846">
        <v>4</v>
      </c>
    </row>
    <row r="847" spans="1:16" x14ac:dyDescent="0.25">
      <c r="A847" t="s">
        <v>2210</v>
      </c>
      <c r="B847" t="s">
        <v>1689</v>
      </c>
      <c r="C847" t="s">
        <v>1235</v>
      </c>
      <c r="E847" t="s">
        <v>20</v>
      </c>
      <c r="F847">
        <v>50</v>
      </c>
      <c r="G847" t="s">
        <v>38</v>
      </c>
      <c r="H847" t="s">
        <v>54</v>
      </c>
      <c r="I847" t="s">
        <v>55</v>
      </c>
      <c r="J847">
        <v>170.7</v>
      </c>
      <c r="K847">
        <v>-2</v>
      </c>
      <c r="L847">
        <v>-10</v>
      </c>
      <c r="M847" t="s">
        <v>64</v>
      </c>
      <c r="N847" t="s">
        <v>81</v>
      </c>
      <c r="O847" t="s">
        <v>26</v>
      </c>
      <c r="P847">
        <v>1</v>
      </c>
    </row>
    <row r="848" spans="1:16" x14ac:dyDescent="0.25">
      <c r="A848" t="s">
        <v>2211</v>
      </c>
      <c r="B848" t="s">
        <v>961</v>
      </c>
      <c r="C848" t="s">
        <v>2212</v>
      </c>
      <c r="D848" t="s">
        <v>69</v>
      </c>
      <c r="E848" t="s">
        <v>20</v>
      </c>
      <c r="F848">
        <v>130</v>
      </c>
      <c r="G848" t="s">
        <v>47</v>
      </c>
      <c r="H848" t="s">
        <v>22</v>
      </c>
      <c r="I848" t="s">
        <v>23</v>
      </c>
      <c r="J848">
        <v>66.75</v>
      </c>
      <c r="K848">
        <v>-2</v>
      </c>
      <c r="L848">
        <v>-10</v>
      </c>
      <c r="M848" t="s">
        <v>77</v>
      </c>
      <c r="N848" t="s">
        <v>81</v>
      </c>
      <c r="O848" t="s">
        <v>26</v>
      </c>
    </row>
    <row r="849" spans="1:16" x14ac:dyDescent="0.25">
      <c r="A849" t="s">
        <v>2213</v>
      </c>
      <c r="B849" t="s">
        <v>2104</v>
      </c>
      <c r="C849" t="s">
        <v>2214</v>
      </c>
      <c r="D849" t="s">
        <v>19</v>
      </c>
      <c r="E849" t="s">
        <v>46</v>
      </c>
      <c r="F849">
        <v>26</v>
      </c>
      <c r="G849" t="s">
        <v>21</v>
      </c>
      <c r="H849" t="s">
        <v>48</v>
      </c>
      <c r="I849" t="s">
        <v>49</v>
      </c>
      <c r="J849">
        <v>304.24</v>
      </c>
      <c r="K849">
        <v>1</v>
      </c>
      <c r="L849">
        <v>5</v>
      </c>
      <c r="M849" t="s">
        <v>64</v>
      </c>
      <c r="N849" t="s">
        <v>81</v>
      </c>
      <c r="O849" t="s">
        <v>82</v>
      </c>
      <c r="P849">
        <v>1</v>
      </c>
    </row>
    <row r="850" spans="1:16" x14ac:dyDescent="0.25">
      <c r="A850" t="s">
        <v>2215</v>
      </c>
      <c r="B850" t="s">
        <v>2161</v>
      </c>
      <c r="C850" t="s">
        <v>2216</v>
      </c>
      <c r="E850" t="s">
        <v>20</v>
      </c>
      <c r="F850">
        <v>30</v>
      </c>
      <c r="G850" t="s">
        <v>70</v>
      </c>
      <c r="H850" t="s">
        <v>31</v>
      </c>
      <c r="I850" t="s">
        <v>32</v>
      </c>
      <c r="J850">
        <v>377.56</v>
      </c>
      <c r="K850">
        <v>10</v>
      </c>
      <c r="L850">
        <v>5</v>
      </c>
      <c r="N850" t="s">
        <v>81</v>
      </c>
      <c r="O850" t="s">
        <v>26</v>
      </c>
      <c r="P850">
        <v>5</v>
      </c>
    </row>
    <row r="851" spans="1:16" x14ac:dyDescent="0.25">
      <c r="A851" t="s">
        <v>2217</v>
      </c>
      <c r="B851" t="s">
        <v>548</v>
      </c>
      <c r="C851" t="s">
        <v>2218</v>
      </c>
      <c r="D851" t="s">
        <v>117</v>
      </c>
      <c r="E851" t="s">
        <v>20</v>
      </c>
      <c r="F851">
        <v>130</v>
      </c>
      <c r="G851" t="s">
        <v>38</v>
      </c>
      <c r="H851" t="s">
        <v>31</v>
      </c>
      <c r="I851" t="s">
        <v>32</v>
      </c>
      <c r="J851">
        <v>69.62</v>
      </c>
      <c r="K851">
        <v>9</v>
      </c>
      <c r="L851">
        <v>-10</v>
      </c>
      <c r="N851" t="s">
        <v>25</v>
      </c>
      <c r="O851" t="s">
        <v>26</v>
      </c>
      <c r="P851">
        <v>5</v>
      </c>
    </row>
    <row r="852" spans="1:16" x14ac:dyDescent="0.25">
      <c r="A852" t="s">
        <v>2219</v>
      </c>
      <c r="B852" t="s">
        <v>2220</v>
      </c>
      <c r="C852" t="s">
        <v>2221</v>
      </c>
      <c r="D852" t="s">
        <v>117</v>
      </c>
      <c r="E852" t="s">
        <v>20</v>
      </c>
      <c r="F852">
        <v>130</v>
      </c>
      <c r="G852" t="s">
        <v>86</v>
      </c>
      <c r="H852" t="s">
        <v>87</v>
      </c>
      <c r="I852" t="s">
        <v>49</v>
      </c>
      <c r="J852">
        <v>269.74</v>
      </c>
      <c r="K852">
        <v>3</v>
      </c>
      <c r="L852">
        <v>0</v>
      </c>
      <c r="M852" t="s">
        <v>77</v>
      </c>
      <c r="N852" t="s">
        <v>91</v>
      </c>
      <c r="O852" t="s">
        <v>33</v>
      </c>
      <c r="P852">
        <v>4</v>
      </c>
    </row>
    <row r="853" spans="1:16" x14ac:dyDescent="0.25">
      <c r="A853" t="s">
        <v>2222</v>
      </c>
      <c r="B853" t="s">
        <v>967</v>
      </c>
      <c r="C853" t="s">
        <v>2223</v>
      </c>
      <c r="D853" t="s">
        <v>37</v>
      </c>
      <c r="E853" t="s">
        <v>46</v>
      </c>
      <c r="F853">
        <v>38</v>
      </c>
      <c r="G853" t="s">
        <v>53</v>
      </c>
      <c r="H853" t="s">
        <v>54</v>
      </c>
      <c r="I853" t="s">
        <v>55</v>
      </c>
      <c r="J853">
        <v>42.19</v>
      </c>
      <c r="K853">
        <v>-2</v>
      </c>
      <c r="L853">
        <v>-10</v>
      </c>
      <c r="M853" t="s">
        <v>24</v>
      </c>
      <c r="N853" t="s">
        <v>81</v>
      </c>
      <c r="O853" t="s">
        <v>33</v>
      </c>
      <c r="P853">
        <v>5</v>
      </c>
    </row>
    <row r="854" spans="1:16" x14ac:dyDescent="0.25">
      <c r="A854" t="s">
        <v>2224</v>
      </c>
      <c r="B854" t="s">
        <v>2225</v>
      </c>
      <c r="C854" t="s">
        <v>2226</v>
      </c>
      <c r="D854" t="s">
        <v>117</v>
      </c>
      <c r="E854" t="s">
        <v>20</v>
      </c>
      <c r="F854">
        <v>25</v>
      </c>
      <c r="G854" t="s">
        <v>53</v>
      </c>
      <c r="H854" t="s">
        <v>121</v>
      </c>
      <c r="I854" t="s">
        <v>122</v>
      </c>
      <c r="J854">
        <v>127.21</v>
      </c>
      <c r="K854">
        <v>3</v>
      </c>
      <c r="L854">
        <v>10</v>
      </c>
      <c r="M854" t="s">
        <v>24</v>
      </c>
      <c r="N854" t="s">
        <v>91</v>
      </c>
      <c r="O854" t="s">
        <v>26</v>
      </c>
      <c r="P854">
        <v>3</v>
      </c>
    </row>
    <row r="855" spans="1:16" x14ac:dyDescent="0.25">
      <c r="A855" t="s">
        <v>2227</v>
      </c>
      <c r="B855" t="s">
        <v>2228</v>
      </c>
      <c r="C855" t="s">
        <v>2229</v>
      </c>
      <c r="D855" t="s">
        <v>37</v>
      </c>
      <c r="E855" t="s">
        <v>20</v>
      </c>
      <c r="F855">
        <v>130</v>
      </c>
      <c r="G855" t="s">
        <v>47</v>
      </c>
      <c r="H855" t="s">
        <v>87</v>
      </c>
      <c r="I855" t="s">
        <v>49</v>
      </c>
      <c r="J855">
        <v>411.38</v>
      </c>
      <c r="K855">
        <v>7</v>
      </c>
      <c r="L855">
        <v>0</v>
      </c>
      <c r="M855" t="s">
        <v>64</v>
      </c>
      <c r="N855" t="s">
        <v>81</v>
      </c>
      <c r="O855" t="s">
        <v>26</v>
      </c>
      <c r="P855">
        <v>1</v>
      </c>
    </row>
    <row r="856" spans="1:16" x14ac:dyDescent="0.25">
      <c r="A856" t="s">
        <v>2230</v>
      </c>
      <c r="B856" t="s">
        <v>409</v>
      </c>
      <c r="C856" t="s">
        <v>2231</v>
      </c>
      <c r="D856" t="s">
        <v>37</v>
      </c>
      <c r="E856" t="s">
        <v>46</v>
      </c>
      <c r="F856">
        <v>62</v>
      </c>
      <c r="G856" t="s">
        <v>70</v>
      </c>
      <c r="H856" t="s">
        <v>39</v>
      </c>
      <c r="I856" t="s">
        <v>40</v>
      </c>
      <c r="J856">
        <v>424.93</v>
      </c>
      <c r="K856">
        <v>-2</v>
      </c>
      <c r="L856">
        <v>5</v>
      </c>
      <c r="M856" t="s">
        <v>59</v>
      </c>
      <c r="N856" t="s">
        <v>25</v>
      </c>
      <c r="O856" t="s">
        <v>65</v>
      </c>
      <c r="P856">
        <v>4</v>
      </c>
    </row>
    <row r="857" spans="1:16" x14ac:dyDescent="0.25">
      <c r="A857" t="s">
        <v>2232</v>
      </c>
      <c r="B857" t="s">
        <v>2233</v>
      </c>
      <c r="C857" t="s">
        <v>2234</v>
      </c>
      <c r="D857" t="s">
        <v>63</v>
      </c>
      <c r="E857" t="s">
        <v>46</v>
      </c>
      <c r="F857">
        <v>130</v>
      </c>
      <c r="G857" t="s">
        <v>38</v>
      </c>
      <c r="H857" t="s">
        <v>48</v>
      </c>
      <c r="I857" t="s">
        <v>49</v>
      </c>
      <c r="J857">
        <v>447.25</v>
      </c>
      <c r="K857">
        <v>3</v>
      </c>
      <c r="L857">
        <v>10</v>
      </c>
      <c r="N857" t="s">
        <v>41</v>
      </c>
      <c r="O857" t="s">
        <v>65</v>
      </c>
      <c r="P857">
        <v>3</v>
      </c>
    </row>
    <row r="858" spans="1:16" x14ac:dyDescent="0.25">
      <c r="A858" t="s">
        <v>2235</v>
      </c>
      <c r="B858" t="s">
        <v>1170</v>
      </c>
      <c r="C858" t="s">
        <v>2236</v>
      </c>
      <c r="E858" t="s">
        <v>20</v>
      </c>
      <c r="F858">
        <v>28</v>
      </c>
      <c r="G858" t="s">
        <v>70</v>
      </c>
      <c r="H858" t="s">
        <v>48</v>
      </c>
      <c r="I858" t="s">
        <v>49</v>
      </c>
      <c r="J858">
        <v>57.92</v>
      </c>
      <c r="K858">
        <v>-2</v>
      </c>
      <c r="L858">
        <v>10</v>
      </c>
      <c r="M858" t="s">
        <v>77</v>
      </c>
      <c r="N858" t="s">
        <v>25</v>
      </c>
      <c r="O858" t="s">
        <v>26</v>
      </c>
      <c r="P858">
        <v>5</v>
      </c>
    </row>
    <row r="859" spans="1:16" x14ac:dyDescent="0.25">
      <c r="A859" t="s">
        <v>2237</v>
      </c>
      <c r="B859" t="s">
        <v>1517</v>
      </c>
      <c r="C859" t="s">
        <v>2238</v>
      </c>
      <c r="D859" t="s">
        <v>69</v>
      </c>
      <c r="E859" t="s">
        <v>46</v>
      </c>
      <c r="F859">
        <v>130</v>
      </c>
      <c r="G859" t="s">
        <v>53</v>
      </c>
      <c r="H859" t="s">
        <v>22</v>
      </c>
      <c r="I859" t="s">
        <v>23</v>
      </c>
      <c r="J859">
        <v>59.03</v>
      </c>
      <c r="K859">
        <v>-2</v>
      </c>
      <c r="L859">
        <v>15</v>
      </c>
      <c r="N859" t="s">
        <v>25</v>
      </c>
      <c r="O859" t="s">
        <v>26</v>
      </c>
    </row>
    <row r="860" spans="1:16" x14ac:dyDescent="0.25">
      <c r="A860" t="s">
        <v>2239</v>
      </c>
      <c r="B860" t="s">
        <v>1117</v>
      </c>
      <c r="C860" t="s">
        <v>2240</v>
      </c>
      <c r="E860" t="s">
        <v>46</v>
      </c>
      <c r="F860">
        <v>130</v>
      </c>
      <c r="G860" t="s">
        <v>30</v>
      </c>
      <c r="H860" t="s">
        <v>54</v>
      </c>
      <c r="I860" t="s">
        <v>55</v>
      </c>
      <c r="J860">
        <v>401.74</v>
      </c>
      <c r="K860">
        <v>5</v>
      </c>
      <c r="L860">
        <v>15</v>
      </c>
      <c r="M860" t="s">
        <v>59</v>
      </c>
      <c r="N860" t="s">
        <v>41</v>
      </c>
      <c r="O860" t="s">
        <v>26</v>
      </c>
      <c r="P860">
        <v>2</v>
      </c>
    </row>
    <row r="861" spans="1:16" x14ac:dyDescent="0.25">
      <c r="A861" t="s">
        <v>2241</v>
      </c>
      <c r="B861" t="s">
        <v>2242</v>
      </c>
      <c r="C861" t="s">
        <v>2243</v>
      </c>
      <c r="E861" t="s">
        <v>46</v>
      </c>
      <c r="F861">
        <v>30</v>
      </c>
      <c r="G861" t="s">
        <v>30</v>
      </c>
      <c r="H861" t="s">
        <v>121</v>
      </c>
      <c r="I861" t="s">
        <v>122</v>
      </c>
      <c r="J861">
        <v>16.670000000000002</v>
      </c>
      <c r="K861">
        <v>-2</v>
      </c>
      <c r="L861">
        <v>0</v>
      </c>
      <c r="M861" t="s">
        <v>24</v>
      </c>
      <c r="N861" t="s">
        <v>91</v>
      </c>
      <c r="O861" t="s">
        <v>33</v>
      </c>
      <c r="P861">
        <v>4</v>
      </c>
    </row>
    <row r="862" spans="1:16" x14ac:dyDescent="0.25">
      <c r="A862" t="s">
        <v>2244</v>
      </c>
      <c r="B862" t="s">
        <v>2245</v>
      </c>
      <c r="C862" t="s">
        <v>2246</v>
      </c>
      <c r="D862" t="s">
        <v>45</v>
      </c>
      <c r="E862" t="s">
        <v>20</v>
      </c>
      <c r="F862">
        <v>130</v>
      </c>
      <c r="G862" t="s">
        <v>21</v>
      </c>
      <c r="H862" t="s">
        <v>87</v>
      </c>
      <c r="I862" t="s">
        <v>49</v>
      </c>
      <c r="J862">
        <v>79.41</v>
      </c>
      <c r="K862">
        <v>-2</v>
      </c>
      <c r="L862">
        <v>0</v>
      </c>
      <c r="N862" t="s">
        <v>25</v>
      </c>
      <c r="O862" t="s">
        <v>26</v>
      </c>
      <c r="P862">
        <v>3</v>
      </c>
    </row>
    <row r="863" spans="1:16" x14ac:dyDescent="0.25">
      <c r="A863" t="s">
        <v>2247</v>
      </c>
      <c r="B863" t="s">
        <v>1825</v>
      </c>
      <c r="C863" t="s">
        <v>2248</v>
      </c>
      <c r="D863" t="s">
        <v>37</v>
      </c>
      <c r="E863" t="s">
        <v>20</v>
      </c>
      <c r="F863">
        <v>54</v>
      </c>
      <c r="G863" t="s">
        <v>30</v>
      </c>
      <c r="H863" t="s">
        <v>121</v>
      </c>
      <c r="I863" t="s">
        <v>122</v>
      </c>
      <c r="J863">
        <v>62.78</v>
      </c>
      <c r="K863">
        <v>5</v>
      </c>
      <c r="L863">
        <v>0</v>
      </c>
      <c r="M863" t="s">
        <v>24</v>
      </c>
      <c r="N863" t="s">
        <v>25</v>
      </c>
      <c r="O863" t="s">
        <v>33</v>
      </c>
      <c r="P863">
        <v>1</v>
      </c>
    </row>
    <row r="864" spans="1:16" x14ac:dyDescent="0.25">
      <c r="A864" t="s">
        <v>2249</v>
      </c>
      <c r="B864" t="s">
        <v>282</v>
      </c>
      <c r="C864" t="s">
        <v>2250</v>
      </c>
      <c r="E864" t="s">
        <v>20</v>
      </c>
      <c r="F864">
        <v>130</v>
      </c>
      <c r="G864" t="s">
        <v>21</v>
      </c>
      <c r="H864" t="s">
        <v>22</v>
      </c>
      <c r="I864" t="s">
        <v>23</v>
      </c>
      <c r="J864">
        <v>211.31</v>
      </c>
      <c r="K864">
        <v>1</v>
      </c>
      <c r="L864">
        <v>0</v>
      </c>
      <c r="M864" t="s">
        <v>59</v>
      </c>
      <c r="N864" t="s">
        <v>41</v>
      </c>
      <c r="O864" t="s">
        <v>65</v>
      </c>
      <c r="P864">
        <v>2</v>
      </c>
    </row>
    <row r="865" spans="1:16" x14ac:dyDescent="0.25">
      <c r="A865" t="s">
        <v>2251</v>
      </c>
      <c r="B865" t="s">
        <v>791</v>
      </c>
      <c r="C865" t="s">
        <v>1356</v>
      </c>
      <c r="E865" t="s">
        <v>20</v>
      </c>
      <c r="F865">
        <v>130</v>
      </c>
      <c r="G865" t="s">
        <v>21</v>
      </c>
      <c r="H865" t="s">
        <v>54</v>
      </c>
      <c r="I865" t="s">
        <v>55</v>
      </c>
      <c r="J865">
        <v>228.92</v>
      </c>
      <c r="K865">
        <v>7</v>
      </c>
      <c r="L865">
        <v>120</v>
      </c>
      <c r="N865" t="s">
        <v>91</v>
      </c>
      <c r="O865" t="s">
        <v>65</v>
      </c>
      <c r="P865">
        <v>1</v>
      </c>
    </row>
    <row r="866" spans="1:16" x14ac:dyDescent="0.25">
      <c r="A866" t="s">
        <v>2252</v>
      </c>
      <c r="B866" t="s">
        <v>193</v>
      </c>
      <c r="C866" t="s">
        <v>2253</v>
      </c>
      <c r="D866" t="s">
        <v>37</v>
      </c>
      <c r="E866" t="s">
        <v>46</v>
      </c>
      <c r="F866">
        <v>130</v>
      </c>
      <c r="G866" t="s">
        <v>86</v>
      </c>
      <c r="H866" t="s">
        <v>121</v>
      </c>
      <c r="I866" t="s">
        <v>122</v>
      </c>
      <c r="J866">
        <v>192.21</v>
      </c>
      <c r="K866">
        <v>-2</v>
      </c>
      <c r="L866">
        <v>0</v>
      </c>
      <c r="M866" t="s">
        <v>77</v>
      </c>
      <c r="N866" t="s">
        <v>25</v>
      </c>
      <c r="O866" t="s">
        <v>65</v>
      </c>
      <c r="P866">
        <v>2</v>
      </c>
    </row>
    <row r="867" spans="1:16" x14ac:dyDescent="0.25">
      <c r="A867" t="s">
        <v>2254</v>
      </c>
      <c r="B867" t="s">
        <v>130</v>
      </c>
      <c r="C867" t="s">
        <v>2255</v>
      </c>
      <c r="E867" t="s">
        <v>46</v>
      </c>
      <c r="F867">
        <v>130</v>
      </c>
      <c r="G867" t="s">
        <v>47</v>
      </c>
      <c r="H867" t="s">
        <v>54</v>
      </c>
      <c r="I867" t="s">
        <v>55</v>
      </c>
      <c r="J867">
        <v>205.82</v>
      </c>
      <c r="K867">
        <v>6</v>
      </c>
      <c r="L867">
        <v>-10</v>
      </c>
      <c r="M867" t="s">
        <v>77</v>
      </c>
      <c r="N867" t="s">
        <v>25</v>
      </c>
      <c r="O867" t="s">
        <v>65</v>
      </c>
      <c r="P867">
        <v>5</v>
      </c>
    </row>
    <row r="868" spans="1:16" x14ac:dyDescent="0.25">
      <c r="A868" t="s">
        <v>2256</v>
      </c>
      <c r="B868" t="s">
        <v>2257</v>
      </c>
      <c r="C868" t="s">
        <v>1709</v>
      </c>
      <c r="D868" t="s">
        <v>45</v>
      </c>
      <c r="E868" t="s">
        <v>46</v>
      </c>
      <c r="F868">
        <v>130</v>
      </c>
      <c r="G868" t="s">
        <v>38</v>
      </c>
      <c r="H868" t="s">
        <v>54</v>
      </c>
      <c r="I868" t="s">
        <v>55</v>
      </c>
      <c r="J868">
        <v>356.91</v>
      </c>
      <c r="K868">
        <v>-2</v>
      </c>
      <c r="L868">
        <v>120</v>
      </c>
      <c r="M868" t="s">
        <v>59</v>
      </c>
      <c r="N868" t="s">
        <v>41</v>
      </c>
      <c r="O868" t="s">
        <v>82</v>
      </c>
      <c r="P868">
        <v>5</v>
      </c>
    </row>
    <row r="869" spans="1:16" x14ac:dyDescent="0.25">
      <c r="A869" t="s">
        <v>2258</v>
      </c>
      <c r="B869" t="s">
        <v>2259</v>
      </c>
      <c r="C869" t="s">
        <v>2260</v>
      </c>
      <c r="D869" t="s">
        <v>69</v>
      </c>
      <c r="E869" t="s">
        <v>46</v>
      </c>
      <c r="F869">
        <v>130</v>
      </c>
      <c r="G869" t="s">
        <v>38</v>
      </c>
      <c r="H869" t="s">
        <v>54</v>
      </c>
      <c r="I869" t="s">
        <v>55</v>
      </c>
      <c r="J869">
        <v>376.38</v>
      </c>
      <c r="K869">
        <v>-2</v>
      </c>
      <c r="L869">
        <v>120</v>
      </c>
      <c r="M869" t="s">
        <v>64</v>
      </c>
      <c r="N869" t="s">
        <v>25</v>
      </c>
      <c r="O869" t="s">
        <v>33</v>
      </c>
      <c r="P869">
        <v>2</v>
      </c>
    </row>
    <row r="870" spans="1:16" x14ac:dyDescent="0.25">
      <c r="A870" t="s">
        <v>2261</v>
      </c>
      <c r="B870" t="s">
        <v>644</v>
      </c>
      <c r="C870" t="s">
        <v>2262</v>
      </c>
      <c r="D870" t="s">
        <v>45</v>
      </c>
      <c r="E870" t="s">
        <v>20</v>
      </c>
      <c r="F870">
        <v>130</v>
      </c>
      <c r="G870" t="s">
        <v>53</v>
      </c>
      <c r="H870" t="s">
        <v>22</v>
      </c>
      <c r="I870" t="s">
        <v>23</v>
      </c>
      <c r="J870">
        <v>197.76</v>
      </c>
      <c r="K870">
        <v>10</v>
      </c>
      <c r="L870">
        <v>10</v>
      </c>
      <c r="N870" t="s">
        <v>91</v>
      </c>
      <c r="O870" t="s">
        <v>65</v>
      </c>
      <c r="P870">
        <v>2</v>
      </c>
    </row>
    <row r="871" spans="1:16" x14ac:dyDescent="0.25">
      <c r="A871" t="s">
        <v>2263</v>
      </c>
      <c r="B871" t="s">
        <v>473</v>
      </c>
      <c r="C871" t="s">
        <v>2264</v>
      </c>
      <c r="D871" t="s">
        <v>101</v>
      </c>
      <c r="E871" t="s">
        <v>46</v>
      </c>
      <c r="F871">
        <v>8</v>
      </c>
      <c r="G871" t="s">
        <v>30</v>
      </c>
      <c r="H871" t="s">
        <v>31</v>
      </c>
      <c r="I871" t="s">
        <v>32</v>
      </c>
      <c r="J871">
        <v>135.55000000000001</v>
      </c>
      <c r="K871">
        <v>7</v>
      </c>
      <c r="L871">
        <v>0</v>
      </c>
      <c r="M871" t="s">
        <v>64</v>
      </c>
      <c r="N871" t="s">
        <v>91</v>
      </c>
      <c r="O871" t="s">
        <v>33</v>
      </c>
    </row>
    <row r="872" spans="1:16" x14ac:dyDescent="0.25">
      <c r="A872" t="s">
        <v>2265</v>
      </c>
      <c r="B872" t="s">
        <v>130</v>
      </c>
      <c r="C872" t="s">
        <v>2266</v>
      </c>
      <c r="D872" t="s">
        <v>37</v>
      </c>
      <c r="E872" t="s">
        <v>20</v>
      </c>
      <c r="F872">
        <v>8</v>
      </c>
      <c r="G872" t="s">
        <v>53</v>
      </c>
      <c r="H872" t="s">
        <v>31</v>
      </c>
      <c r="I872" t="s">
        <v>32</v>
      </c>
      <c r="J872">
        <v>389.27</v>
      </c>
      <c r="K872">
        <v>9</v>
      </c>
      <c r="L872">
        <v>15</v>
      </c>
      <c r="M872" t="s">
        <v>77</v>
      </c>
      <c r="N872" t="s">
        <v>25</v>
      </c>
      <c r="O872" t="s">
        <v>82</v>
      </c>
      <c r="P872">
        <v>4</v>
      </c>
    </row>
    <row r="873" spans="1:16" x14ac:dyDescent="0.25">
      <c r="A873" t="s">
        <v>2267</v>
      </c>
      <c r="B873" t="s">
        <v>1427</v>
      </c>
      <c r="C873" t="s">
        <v>2268</v>
      </c>
      <c r="D873" t="s">
        <v>45</v>
      </c>
      <c r="E873" t="s">
        <v>20</v>
      </c>
      <c r="F873">
        <v>130</v>
      </c>
      <c r="G873" t="s">
        <v>86</v>
      </c>
      <c r="H873" t="s">
        <v>22</v>
      </c>
      <c r="I873" t="s">
        <v>23</v>
      </c>
      <c r="J873">
        <v>280.8</v>
      </c>
      <c r="K873">
        <v>-2</v>
      </c>
      <c r="L873">
        <v>0</v>
      </c>
      <c r="M873" t="s">
        <v>24</v>
      </c>
      <c r="N873" t="s">
        <v>25</v>
      </c>
      <c r="O873" t="s">
        <v>33</v>
      </c>
      <c r="P873">
        <v>2</v>
      </c>
    </row>
    <row r="874" spans="1:16" x14ac:dyDescent="0.25">
      <c r="A874" t="s">
        <v>2269</v>
      </c>
      <c r="B874" t="s">
        <v>1579</v>
      </c>
      <c r="C874" t="s">
        <v>2270</v>
      </c>
      <c r="D874" t="s">
        <v>37</v>
      </c>
      <c r="E874" t="s">
        <v>20</v>
      </c>
      <c r="F874">
        <v>32</v>
      </c>
      <c r="G874" t="s">
        <v>47</v>
      </c>
      <c r="H874" t="s">
        <v>87</v>
      </c>
      <c r="I874" t="s">
        <v>49</v>
      </c>
      <c r="J874">
        <v>61.6</v>
      </c>
      <c r="K874">
        <v>2</v>
      </c>
      <c r="L874">
        <v>0</v>
      </c>
      <c r="N874" t="s">
        <v>25</v>
      </c>
      <c r="O874" t="s">
        <v>82</v>
      </c>
    </row>
    <row r="875" spans="1:16" x14ac:dyDescent="0.25">
      <c r="A875" t="s">
        <v>2271</v>
      </c>
      <c r="B875" t="s">
        <v>1491</v>
      </c>
      <c r="C875" t="s">
        <v>2272</v>
      </c>
      <c r="D875" t="s">
        <v>19</v>
      </c>
      <c r="E875" t="s">
        <v>20</v>
      </c>
      <c r="F875">
        <v>130</v>
      </c>
      <c r="G875" t="s">
        <v>86</v>
      </c>
      <c r="H875" t="s">
        <v>87</v>
      </c>
      <c r="I875" t="s">
        <v>49</v>
      </c>
      <c r="J875">
        <v>56.72</v>
      </c>
      <c r="K875">
        <v>6</v>
      </c>
      <c r="L875">
        <v>0</v>
      </c>
      <c r="M875" t="s">
        <v>24</v>
      </c>
      <c r="N875" t="s">
        <v>91</v>
      </c>
      <c r="O875" t="s">
        <v>33</v>
      </c>
      <c r="P875">
        <v>2</v>
      </c>
    </row>
    <row r="876" spans="1:16" x14ac:dyDescent="0.25">
      <c r="A876" t="s">
        <v>2273</v>
      </c>
      <c r="B876" t="s">
        <v>2274</v>
      </c>
      <c r="C876" t="s">
        <v>2275</v>
      </c>
      <c r="D876" t="s">
        <v>19</v>
      </c>
      <c r="E876" t="s">
        <v>20</v>
      </c>
      <c r="F876">
        <v>130</v>
      </c>
      <c r="G876" t="s">
        <v>21</v>
      </c>
      <c r="H876" t="s">
        <v>87</v>
      </c>
      <c r="I876" t="s">
        <v>49</v>
      </c>
      <c r="J876">
        <v>470.9</v>
      </c>
      <c r="K876">
        <v>4</v>
      </c>
      <c r="L876">
        <v>10</v>
      </c>
      <c r="M876" t="s">
        <v>24</v>
      </c>
      <c r="N876" t="s">
        <v>25</v>
      </c>
      <c r="O876" t="s">
        <v>26</v>
      </c>
      <c r="P876">
        <v>4</v>
      </c>
    </row>
    <row r="877" spans="1:16" x14ac:dyDescent="0.25">
      <c r="A877" t="s">
        <v>2276</v>
      </c>
      <c r="B877" t="s">
        <v>486</v>
      </c>
      <c r="C877" t="s">
        <v>2277</v>
      </c>
      <c r="D877" t="s">
        <v>45</v>
      </c>
      <c r="E877" t="s">
        <v>46</v>
      </c>
      <c r="F877">
        <v>35</v>
      </c>
      <c r="G877" t="s">
        <v>30</v>
      </c>
      <c r="H877" t="s">
        <v>39</v>
      </c>
      <c r="I877" t="s">
        <v>40</v>
      </c>
      <c r="J877">
        <v>131.69999999999999</v>
      </c>
      <c r="K877">
        <v>6</v>
      </c>
      <c r="L877">
        <v>10</v>
      </c>
      <c r="M877" t="s">
        <v>24</v>
      </c>
      <c r="N877" t="s">
        <v>25</v>
      </c>
      <c r="O877" t="s">
        <v>33</v>
      </c>
      <c r="P877">
        <v>3</v>
      </c>
    </row>
    <row r="878" spans="1:16" x14ac:dyDescent="0.25">
      <c r="A878" t="s">
        <v>2278</v>
      </c>
      <c r="B878" t="s">
        <v>2279</v>
      </c>
      <c r="C878" t="s">
        <v>2280</v>
      </c>
      <c r="D878" t="s">
        <v>45</v>
      </c>
      <c r="E878" t="s">
        <v>20</v>
      </c>
      <c r="F878">
        <v>8</v>
      </c>
      <c r="G878" t="s">
        <v>47</v>
      </c>
      <c r="H878" t="s">
        <v>22</v>
      </c>
      <c r="I878" t="s">
        <v>23</v>
      </c>
      <c r="J878">
        <v>201.11</v>
      </c>
      <c r="K878">
        <v>-2</v>
      </c>
      <c r="L878">
        <v>-10</v>
      </c>
      <c r="M878" t="s">
        <v>59</v>
      </c>
      <c r="N878" t="s">
        <v>41</v>
      </c>
      <c r="O878" t="s">
        <v>26</v>
      </c>
      <c r="P878">
        <v>5</v>
      </c>
    </row>
    <row r="879" spans="1:16" x14ac:dyDescent="0.25">
      <c r="A879" t="s">
        <v>2281</v>
      </c>
      <c r="B879" t="s">
        <v>2282</v>
      </c>
      <c r="C879" t="s">
        <v>2283</v>
      </c>
      <c r="D879" t="s">
        <v>63</v>
      </c>
      <c r="E879" t="s">
        <v>20</v>
      </c>
      <c r="F879">
        <v>8</v>
      </c>
      <c r="G879" t="s">
        <v>30</v>
      </c>
      <c r="H879" t="s">
        <v>31</v>
      </c>
      <c r="I879" t="s">
        <v>32</v>
      </c>
      <c r="J879">
        <v>449.63</v>
      </c>
      <c r="K879">
        <v>-2</v>
      </c>
      <c r="L879">
        <v>0</v>
      </c>
      <c r="N879" t="s">
        <v>41</v>
      </c>
      <c r="O879" t="s">
        <v>26</v>
      </c>
      <c r="P879">
        <v>5</v>
      </c>
    </row>
    <row r="880" spans="1:16" x14ac:dyDescent="0.25">
      <c r="A880" t="s">
        <v>2284</v>
      </c>
      <c r="B880" t="s">
        <v>2285</v>
      </c>
      <c r="C880" t="s">
        <v>2286</v>
      </c>
      <c r="D880" t="s">
        <v>117</v>
      </c>
      <c r="E880" t="s">
        <v>46</v>
      </c>
      <c r="F880">
        <v>53</v>
      </c>
      <c r="G880" t="s">
        <v>30</v>
      </c>
      <c r="H880" t="s">
        <v>121</v>
      </c>
      <c r="I880" t="s">
        <v>122</v>
      </c>
      <c r="J880">
        <v>211.16</v>
      </c>
      <c r="K880">
        <v>-2</v>
      </c>
      <c r="L880">
        <v>120</v>
      </c>
      <c r="M880" t="s">
        <v>59</v>
      </c>
      <c r="N880" t="s">
        <v>81</v>
      </c>
      <c r="O880" t="s">
        <v>65</v>
      </c>
      <c r="P880">
        <v>3</v>
      </c>
    </row>
    <row r="881" spans="1:16" x14ac:dyDescent="0.25">
      <c r="A881" t="s">
        <v>2287</v>
      </c>
      <c r="B881" t="s">
        <v>109</v>
      </c>
      <c r="C881" t="s">
        <v>2288</v>
      </c>
      <c r="D881" t="s">
        <v>63</v>
      </c>
      <c r="E881" t="s">
        <v>20</v>
      </c>
      <c r="F881">
        <v>130</v>
      </c>
      <c r="G881" t="s">
        <v>38</v>
      </c>
      <c r="H881" t="s">
        <v>39</v>
      </c>
      <c r="I881" t="s">
        <v>40</v>
      </c>
      <c r="J881">
        <v>229.99</v>
      </c>
      <c r="K881">
        <v>8</v>
      </c>
      <c r="L881">
        <v>15</v>
      </c>
      <c r="N881" t="s">
        <v>41</v>
      </c>
      <c r="O881" t="s">
        <v>33</v>
      </c>
    </row>
    <row r="882" spans="1:16" x14ac:dyDescent="0.25">
      <c r="A882" t="s">
        <v>2289</v>
      </c>
      <c r="B882" t="s">
        <v>2290</v>
      </c>
      <c r="C882" t="s">
        <v>2291</v>
      </c>
      <c r="E882" t="s">
        <v>46</v>
      </c>
      <c r="F882">
        <v>130</v>
      </c>
      <c r="G882" t="s">
        <v>21</v>
      </c>
      <c r="H882" t="s">
        <v>22</v>
      </c>
      <c r="I882" t="s">
        <v>23</v>
      </c>
      <c r="J882">
        <v>73.14</v>
      </c>
      <c r="K882">
        <v>-2</v>
      </c>
      <c r="L882">
        <v>5</v>
      </c>
      <c r="M882" t="s">
        <v>24</v>
      </c>
      <c r="N882" t="s">
        <v>81</v>
      </c>
      <c r="O882" t="s">
        <v>82</v>
      </c>
      <c r="P882">
        <v>1</v>
      </c>
    </row>
    <row r="883" spans="1:16" x14ac:dyDescent="0.25">
      <c r="A883" t="s">
        <v>2292</v>
      </c>
      <c r="B883" t="s">
        <v>2293</v>
      </c>
      <c r="C883" t="s">
        <v>2294</v>
      </c>
      <c r="D883" t="s">
        <v>37</v>
      </c>
      <c r="E883" t="s">
        <v>20</v>
      </c>
      <c r="F883">
        <v>130</v>
      </c>
      <c r="G883" t="s">
        <v>38</v>
      </c>
      <c r="H883" t="s">
        <v>54</v>
      </c>
      <c r="I883" t="s">
        <v>55</v>
      </c>
      <c r="J883">
        <v>163.41</v>
      </c>
      <c r="K883">
        <v>10</v>
      </c>
      <c r="L883">
        <v>5</v>
      </c>
      <c r="M883" t="s">
        <v>77</v>
      </c>
      <c r="N883" t="s">
        <v>91</v>
      </c>
      <c r="O883" t="s">
        <v>26</v>
      </c>
      <c r="P883">
        <v>5</v>
      </c>
    </row>
    <row r="884" spans="1:16" x14ac:dyDescent="0.25">
      <c r="A884" t="s">
        <v>2295</v>
      </c>
      <c r="B884" t="s">
        <v>1932</v>
      </c>
      <c r="C884" t="s">
        <v>2296</v>
      </c>
      <c r="E884" t="s">
        <v>20</v>
      </c>
      <c r="F884">
        <v>8</v>
      </c>
      <c r="G884" t="s">
        <v>86</v>
      </c>
      <c r="H884" t="s">
        <v>31</v>
      </c>
      <c r="I884" t="s">
        <v>32</v>
      </c>
      <c r="J884">
        <v>488.69</v>
      </c>
      <c r="K884">
        <v>-2</v>
      </c>
      <c r="L884">
        <v>120</v>
      </c>
      <c r="M884" t="s">
        <v>64</v>
      </c>
      <c r="N884" t="s">
        <v>81</v>
      </c>
      <c r="O884" t="s">
        <v>82</v>
      </c>
      <c r="P884">
        <v>4</v>
      </c>
    </row>
    <row r="885" spans="1:16" x14ac:dyDescent="0.25">
      <c r="A885" t="s">
        <v>2297</v>
      </c>
      <c r="B885" t="s">
        <v>662</v>
      </c>
      <c r="C885" t="s">
        <v>1924</v>
      </c>
      <c r="D885" t="s">
        <v>45</v>
      </c>
      <c r="E885" t="s">
        <v>46</v>
      </c>
      <c r="F885">
        <v>31</v>
      </c>
      <c r="G885" t="s">
        <v>86</v>
      </c>
      <c r="H885" t="s">
        <v>39</v>
      </c>
      <c r="I885" t="s">
        <v>40</v>
      </c>
      <c r="J885">
        <v>484.79</v>
      </c>
      <c r="K885">
        <v>-2</v>
      </c>
      <c r="L885">
        <v>15</v>
      </c>
      <c r="M885" t="s">
        <v>64</v>
      </c>
      <c r="N885" t="s">
        <v>91</v>
      </c>
      <c r="O885" t="s">
        <v>65</v>
      </c>
    </row>
    <row r="886" spans="1:16" x14ac:dyDescent="0.25">
      <c r="A886" t="s">
        <v>2298</v>
      </c>
      <c r="B886" t="s">
        <v>708</v>
      </c>
      <c r="C886" t="s">
        <v>2299</v>
      </c>
      <c r="D886" t="s">
        <v>69</v>
      </c>
      <c r="E886" t="s">
        <v>46</v>
      </c>
      <c r="F886">
        <v>37</v>
      </c>
      <c r="G886" t="s">
        <v>70</v>
      </c>
      <c r="H886" t="s">
        <v>121</v>
      </c>
      <c r="I886" t="s">
        <v>122</v>
      </c>
      <c r="J886">
        <v>368.49</v>
      </c>
      <c r="K886">
        <v>-2</v>
      </c>
      <c r="L886">
        <v>10</v>
      </c>
      <c r="M886" t="s">
        <v>64</v>
      </c>
      <c r="N886" t="s">
        <v>25</v>
      </c>
      <c r="O886" t="s">
        <v>26</v>
      </c>
      <c r="P886">
        <v>5</v>
      </c>
    </row>
    <row r="887" spans="1:16" x14ac:dyDescent="0.25">
      <c r="A887" t="s">
        <v>2300</v>
      </c>
      <c r="B887" t="s">
        <v>1020</v>
      </c>
      <c r="C887" t="s">
        <v>2301</v>
      </c>
      <c r="D887" t="s">
        <v>117</v>
      </c>
      <c r="E887" t="s">
        <v>46</v>
      </c>
      <c r="F887">
        <v>48</v>
      </c>
      <c r="G887" t="s">
        <v>38</v>
      </c>
      <c r="H887" t="s">
        <v>87</v>
      </c>
      <c r="I887" t="s">
        <v>49</v>
      </c>
      <c r="J887">
        <v>73.61</v>
      </c>
      <c r="K887">
        <v>-2</v>
      </c>
      <c r="L887">
        <v>120</v>
      </c>
      <c r="N887" t="s">
        <v>41</v>
      </c>
      <c r="O887" t="s">
        <v>33</v>
      </c>
      <c r="P887">
        <v>4</v>
      </c>
    </row>
    <row r="888" spans="1:16" x14ac:dyDescent="0.25">
      <c r="A888" t="s">
        <v>2302</v>
      </c>
      <c r="B888" t="s">
        <v>127</v>
      </c>
      <c r="C888" t="s">
        <v>2303</v>
      </c>
      <c r="D888" t="s">
        <v>69</v>
      </c>
      <c r="E888" t="s">
        <v>20</v>
      </c>
      <c r="F888">
        <v>38</v>
      </c>
      <c r="G888" t="s">
        <v>21</v>
      </c>
      <c r="H888" t="s">
        <v>48</v>
      </c>
      <c r="I888" t="s">
        <v>49</v>
      </c>
      <c r="J888">
        <v>252.98</v>
      </c>
      <c r="K888">
        <v>4</v>
      </c>
      <c r="L888">
        <v>120</v>
      </c>
      <c r="M888" t="s">
        <v>64</v>
      </c>
      <c r="N888" t="s">
        <v>25</v>
      </c>
      <c r="O888" t="s">
        <v>65</v>
      </c>
      <c r="P888">
        <v>4</v>
      </c>
    </row>
    <row r="889" spans="1:16" x14ac:dyDescent="0.25">
      <c r="A889" t="s">
        <v>2304</v>
      </c>
      <c r="B889" t="s">
        <v>2305</v>
      </c>
      <c r="C889" t="s">
        <v>2306</v>
      </c>
      <c r="D889" t="s">
        <v>69</v>
      </c>
      <c r="E889" t="s">
        <v>20</v>
      </c>
      <c r="F889">
        <v>130</v>
      </c>
      <c r="G889" t="s">
        <v>38</v>
      </c>
      <c r="H889" t="s">
        <v>39</v>
      </c>
      <c r="I889" t="s">
        <v>40</v>
      </c>
      <c r="J889">
        <v>412.25</v>
      </c>
      <c r="K889">
        <v>7</v>
      </c>
      <c r="L889">
        <v>120</v>
      </c>
      <c r="M889" t="s">
        <v>24</v>
      </c>
      <c r="N889" t="s">
        <v>81</v>
      </c>
      <c r="O889" t="s">
        <v>65</v>
      </c>
      <c r="P889">
        <v>3</v>
      </c>
    </row>
    <row r="890" spans="1:16" x14ac:dyDescent="0.25">
      <c r="A890" t="s">
        <v>2307</v>
      </c>
      <c r="B890" t="s">
        <v>852</v>
      </c>
      <c r="C890" t="s">
        <v>2308</v>
      </c>
      <c r="D890" t="s">
        <v>117</v>
      </c>
      <c r="E890" t="s">
        <v>20</v>
      </c>
      <c r="F890">
        <v>8</v>
      </c>
      <c r="G890" t="s">
        <v>70</v>
      </c>
      <c r="H890" t="s">
        <v>22</v>
      </c>
      <c r="I890" t="s">
        <v>23</v>
      </c>
      <c r="J890">
        <v>457.38</v>
      </c>
      <c r="K890">
        <v>10</v>
      </c>
      <c r="L890">
        <v>5</v>
      </c>
      <c r="N890" t="s">
        <v>81</v>
      </c>
      <c r="O890" t="s">
        <v>33</v>
      </c>
      <c r="P890">
        <v>4</v>
      </c>
    </row>
    <row r="891" spans="1:16" x14ac:dyDescent="0.25">
      <c r="A891" t="s">
        <v>2309</v>
      </c>
      <c r="B891" t="s">
        <v>517</v>
      </c>
      <c r="C891" t="s">
        <v>2310</v>
      </c>
      <c r="E891" t="s">
        <v>46</v>
      </c>
      <c r="F891">
        <v>32</v>
      </c>
      <c r="G891" t="s">
        <v>70</v>
      </c>
      <c r="H891" t="s">
        <v>121</v>
      </c>
      <c r="I891" t="s">
        <v>122</v>
      </c>
      <c r="J891">
        <v>300.76</v>
      </c>
      <c r="K891">
        <v>8</v>
      </c>
      <c r="L891">
        <v>-10</v>
      </c>
      <c r="M891" t="s">
        <v>77</v>
      </c>
      <c r="N891" t="s">
        <v>91</v>
      </c>
      <c r="O891" t="s">
        <v>33</v>
      </c>
      <c r="P891">
        <v>4</v>
      </c>
    </row>
    <row r="892" spans="1:16" x14ac:dyDescent="0.25">
      <c r="A892" t="s">
        <v>2311</v>
      </c>
      <c r="B892" t="s">
        <v>1089</v>
      </c>
      <c r="C892" t="s">
        <v>2312</v>
      </c>
      <c r="E892" t="s">
        <v>20</v>
      </c>
      <c r="F892">
        <v>8</v>
      </c>
      <c r="G892" t="s">
        <v>53</v>
      </c>
      <c r="H892" t="s">
        <v>54</v>
      </c>
      <c r="I892" t="s">
        <v>55</v>
      </c>
      <c r="J892">
        <v>265.42</v>
      </c>
      <c r="K892">
        <v>-2</v>
      </c>
      <c r="L892">
        <v>15</v>
      </c>
      <c r="M892" t="s">
        <v>77</v>
      </c>
      <c r="N892" t="s">
        <v>91</v>
      </c>
      <c r="O892" t="s">
        <v>26</v>
      </c>
      <c r="P892">
        <v>1</v>
      </c>
    </row>
    <row r="893" spans="1:16" x14ac:dyDescent="0.25">
      <c r="A893" t="s">
        <v>2313</v>
      </c>
      <c r="B893" t="s">
        <v>574</v>
      </c>
      <c r="C893" t="s">
        <v>2314</v>
      </c>
      <c r="D893" t="s">
        <v>45</v>
      </c>
      <c r="E893" t="s">
        <v>20</v>
      </c>
      <c r="F893">
        <v>130</v>
      </c>
      <c r="G893" t="s">
        <v>47</v>
      </c>
      <c r="H893" t="s">
        <v>31</v>
      </c>
      <c r="I893" t="s">
        <v>32</v>
      </c>
      <c r="J893">
        <v>379.14</v>
      </c>
      <c r="K893">
        <v>-2</v>
      </c>
      <c r="L893">
        <v>120</v>
      </c>
      <c r="M893" t="s">
        <v>59</v>
      </c>
      <c r="N893" t="s">
        <v>25</v>
      </c>
      <c r="O893" t="s">
        <v>82</v>
      </c>
      <c r="P893">
        <v>5</v>
      </c>
    </row>
    <row r="894" spans="1:16" x14ac:dyDescent="0.25">
      <c r="A894" t="s">
        <v>2315</v>
      </c>
      <c r="B894" t="s">
        <v>1324</v>
      </c>
      <c r="C894" t="s">
        <v>2316</v>
      </c>
      <c r="D894" t="s">
        <v>101</v>
      </c>
      <c r="E894" t="s">
        <v>20</v>
      </c>
      <c r="F894">
        <v>21</v>
      </c>
      <c r="G894" t="s">
        <v>86</v>
      </c>
      <c r="H894" t="s">
        <v>48</v>
      </c>
      <c r="I894" t="s">
        <v>49</v>
      </c>
      <c r="J894">
        <v>30.87</v>
      </c>
      <c r="K894">
        <v>8</v>
      </c>
      <c r="L894">
        <v>10</v>
      </c>
      <c r="M894" t="s">
        <v>24</v>
      </c>
      <c r="N894" t="s">
        <v>41</v>
      </c>
      <c r="O894" t="s">
        <v>82</v>
      </c>
      <c r="P894">
        <v>2</v>
      </c>
    </row>
    <row r="895" spans="1:16" x14ac:dyDescent="0.25">
      <c r="A895" t="s">
        <v>2317</v>
      </c>
      <c r="B895" t="s">
        <v>389</v>
      </c>
      <c r="C895" t="s">
        <v>2318</v>
      </c>
      <c r="D895" t="s">
        <v>101</v>
      </c>
      <c r="E895" t="s">
        <v>46</v>
      </c>
      <c r="F895">
        <v>63</v>
      </c>
      <c r="G895" t="s">
        <v>53</v>
      </c>
      <c r="H895" t="s">
        <v>31</v>
      </c>
      <c r="I895" t="s">
        <v>32</v>
      </c>
      <c r="J895">
        <v>291.66000000000003</v>
      </c>
      <c r="K895">
        <v>4</v>
      </c>
      <c r="L895">
        <v>0</v>
      </c>
      <c r="M895" t="s">
        <v>64</v>
      </c>
      <c r="N895" t="s">
        <v>41</v>
      </c>
      <c r="O895" t="s">
        <v>65</v>
      </c>
      <c r="P895">
        <v>2</v>
      </c>
    </row>
    <row r="896" spans="1:16" x14ac:dyDescent="0.25">
      <c r="A896" t="s">
        <v>2319</v>
      </c>
      <c r="B896" t="s">
        <v>2290</v>
      </c>
      <c r="C896" t="s">
        <v>2320</v>
      </c>
      <c r="D896" t="s">
        <v>19</v>
      </c>
      <c r="E896" t="s">
        <v>20</v>
      </c>
      <c r="F896">
        <v>130</v>
      </c>
      <c r="G896" t="s">
        <v>47</v>
      </c>
      <c r="H896" t="s">
        <v>31</v>
      </c>
      <c r="I896" t="s">
        <v>32</v>
      </c>
      <c r="J896">
        <v>289.5</v>
      </c>
      <c r="K896">
        <v>-2</v>
      </c>
      <c r="L896">
        <v>10</v>
      </c>
      <c r="M896" t="s">
        <v>64</v>
      </c>
      <c r="N896" t="s">
        <v>81</v>
      </c>
      <c r="O896" t="s">
        <v>82</v>
      </c>
      <c r="P896">
        <v>3</v>
      </c>
    </row>
    <row r="897" spans="1:16" x14ac:dyDescent="0.25">
      <c r="A897" t="s">
        <v>2321</v>
      </c>
      <c r="B897" t="s">
        <v>682</v>
      </c>
      <c r="C897" t="s">
        <v>2322</v>
      </c>
      <c r="D897" t="s">
        <v>63</v>
      </c>
      <c r="E897" t="s">
        <v>46</v>
      </c>
      <c r="F897">
        <v>130</v>
      </c>
      <c r="G897" t="s">
        <v>53</v>
      </c>
      <c r="H897" t="s">
        <v>48</v>
      </c>
      <c r="I897" t="s">
        <v>49</v>
      </c>
      <c r="J897">
        <v>207.67</v>
      </c>
      <c r="K897">
        <v>-2</v>
      </c>
      <c r="L897">
        <v>0</v>
      </c>
      <c r="M897" t="s">
        <v>24</v>
      </c>
      <c r="N897" t="s">
        <v>25</v>
      </c>
      <c r="O897" t="s">
        <v>65</v>
      </c>
      <c r="P897">
        <v>3</v>
      </c>
    </row>
    <row r="898" spans="1:16" x14ac:dyDescent="0.25">
      <c r="A898" t="s">
        <v>2323</v>
      </c>
      <c r="B898" t="s">
        <v>810</v>
      </c>
      <c r="C898" t="s">
        <v>2324</v>
      </c>
      <c r="D898" t="s">
        <v>69</v>
      </c>
      <c r="E898" t="s">
        <v>20</v>
      </c>
      <c r="F898">
        <v>8</v>
      </c>
      <c r="G898" t="s">
        <v>70</v>
      </c>
      <c r="H898" t="s">
        <v>54</v>
      </c>
      <c r="I898" t="s">
        <v>55</v>
      </c>
      <c r="J898">
        <v>476.52</v>
      </c>
      <c r="K898">
        <v>-2</v>
      </c>
      <c r="L898">
        <v>10</v>
      </c>
      <c r="M898" t="s">
        <v>24</v>
      </c>
      <c r="N898" t="s">
        <v>25</v>
      </c>
      <c r="O898" t="s">
        <v>65</v>
      </c>
      <c r="P898">
        <v>3</v>
      </c>
    </row>
    <row r="899" spans="1:16" x14ac:dyDescent="0.25">
      <c r="A899" t="s">
        <v>2325</v>
      </c>
      <c r="B899" t="s">
        <v>303</v>
      </c>
      <c r="C899" t="s">
        <v>2326</v>
      </c>
      <c r="D899" t="s">
        <v>19</v>
      </c>
      <c r="E899" t="s">
        <v>20</v>
      </c>
      <c r="F899">
        <v>8</v>
      </c>
      <c r="G899" t="s">
        <v>30</v>
      </c>
      <c r="H899" t="s">
        <v>39</v>
      </c>
      <c r="I899" t="s">
        <v>40</v>
      </c>
      <c r="J899">
        <v>228.11</v>
      </c>
      <c r="K899">
        <v>-2</v>
      </c>
      <c r="L899">
        <v>15</v>
      </c>
      <c r="M899" t="s">
        <v>59</v>
      </c>
      <c r="N899" t="s">
        <v>81</v>
      </c>
      <c r="O899" t="s">
        <v>33</v>
      </c>
      <c r="P899">
        <v>5</v>
      </c>
    </row>
    <row r="900" spans="1:16" x14ac:dyDescent="0.25">
      <c r="A900" t="s">
        <v>2327</v>
      </c>
      <c r="B900" t="s">
        <v>2328</v>
      </c>
      <c r="C900" t="s">
        <v>2329</v>
      </c>
      <c r="D900" t="s">
        <v>37</v>
      </c>
      <c r="E900" t="s">
        <v>20</v>
      </c>
      <c r="F900">
        <v>130</v>
      </c>
      <c r="G900" t="s">
        <v>70</v>
      </c>
      <c r="H900" t="s">
        <v>121</v>
      </c>
      <c r="I900" t="s">
        <v>122</v>
      </c>
      <c r="J900">
        <v>246.57</v>
      </c>
      <c r="K900">
        <v>-2</v>
      </c>
      <c r="L900">
        <v>-10</v>
      </c>
      <c r="M900" t="s">
        <v>64</v>
      </c>
      <c r="N900" t="s">
        <v>81</v>
      </c>
      <c r="O900" t="s">
        <v>33</v>
      </c>
    </row>
    <row r="901" spans="1:16" x14ac:dyDescent="0.25">
      <c r="A901" t="s">
        <v>2330</v>
      </c>
      <c r="B901" t="s">
        <v>421</v>
      </c>
      <c r="C901" t="s">
        <v>2331</v>
      </c>
      <c r="D901" t="s">
        <v>101</v>
      </c>
      <c r="E901" t="s">
        <v>46</v>
      </c>
      <c r="F901">
        <v>8</v>
      </c>
      <c r="G901" t="s">
        <v>47</v>
      </c>
      <c r="H901" t="s">
        <v>121</v>
      </c>
      <c r="I901" t="s">
        <v>122</v>
      </c>
      <c r="J901">
        <v>402.6</v>
      </c>
      <c r="K901">
        <v>-2</v>
      </c>
      <c r="L901">
        <v>-10</v>
      </c>
      <c r="N901" t="s">
        <v>91</v>
      </c>
      <c r="O901" t="s">
        <v>26</v>
      </c>
      <c r="P901">
        <v>4</v>
      </c>
    </row>
    <row r="902" spans="1:16" x14ac:dyDescent="0.25">
      <c r="A902" t="s">
        <v>2332</v>
      </c>
      <c r="B902" t="s">
        <v>2333</v>
      </c>
      <c r="C902" t="s">
        <v>2334</v>
      </c>
      <c r="D902" t="s">
        <v>63</v>
      </c>
      <c r="E902" t="s">
        <v>46</v>
      </c>
      <c r="F902">
        <v>130</v>
      </c>
      <c r="G902" t="s">
        <v>53</v>
      </c>
      <c r="H902" t="s">
        <v>48</v>
      </c>
      <c r="I902" t="s">
        <v>49</v>
      </c>
      <c r="J902">
        <v>216.79</v>
      </c>
      <c r="K902">
        <v>9</v>
      </c>
      <c r="L902">
        <v>120</v>
      </c>
      <c r="M902" t="s">
        <v>59</v>
      </c>
      <c r="N902" t="s">
        <v>81</v>
      </c>
      <c r="O902" t="s">
        <v>65</v>
      </c>
      <c r="P902">
        <v>5</v>
      </c>
    </row>
    <row r="903" spans="1:16" x14ac:dyDescent="0.25">
      <c r="A903" t="s">
        <v>2335</v>
      </c>
      <c r="B903" t="s">
        <v>2336</v>
      </c>
      <c r="C903" t="s">
        <v>2337</v>
      </c>
      <c r="D903" t="s">
        <v>69</v>
      </c>
      <c r="E903" t="s">
        <v>46</v>
      </c>
      <c r="F903">
        <v>50</v>
      </c>
      <c r="G903" t="s">
        <v>86</v>
      </c>
      <c r="H903" t="s">
        <v>39</v>
      </c>
      <c r="I903" t="s">
        <v>40</v>
      </c>
      <c r="J903">
        <v>395.76</v>
      </c>
      <c r="K903">
        <v>-2</v>
      </c>
      <c r="L903">
        <v>0</v>
      </c>
      <c r="M903" t="s">
        <v>59</v>
      </c>
      <c r="N903" t="s">
        <v>81</v>
      </c>
      <c r="O903" t="s">
        <v>65</v>
      </c>
      <c r="P903">
        <v>5</v>
      </c>
    </row>
    <row r="904" spans="1:16" x14ac:dyDescent="0.25">
      <c r="A904" t="s">
        <v>2338</v>
      </c>
      <c r="B904" t="s">
        <v>1612</v>
      </c>
      <c r="C904" t="s">
        <v>2339</v>
      </c>
      <c r="E904" t="s">
        <v>20</v>
      </c>
      <c r="F904">
        <v>8</v>
      </c>
      <c r="G904" t="s">
        <v>47</v>
      </c>
      <c r="H904" t="s">
        <v>22</v>
      </c>
      <c r="I904" t="s">
        <v>23</v>
      </c>
      <c r="J904">
        <v>451.64</v>
      </c>
      <c r="K904">
        <v>-2</v>
      </c>
      <c r="L904">
        <v>5</v>
      </c>
      <c r="M904" t="s">
        <v>77</v>
      </c>
      <c r="N904" t="s">
        <v>81</v>
      </c>
      <c r="O904" t="s">
        <v>26</v>
      </c>
    </row>
    <row r="905" spans="1:16" x14ac:dyDescent="0.25">
      <c r="A905" t="s">
        <v>2340</v>
      </c>
      <c r="B905" t="s">
        <v>2341</v>
      </c>
      <c r="C905" t="s">
        <v>1659</v>
      </c>
      <c r="D905" t="s">
        <v>69</v>
      </c>
      <c r="E905" t="s">
        <v>20</v>
      </c>
      <c r="F905">
        <v>130</v>
      </c>
      <c r="G905" t="s">
        <v>86</v>
      </c>
      <c r="H905" t="s">
        <v>87</v>
      </c>
      <c r="I905" t="s">
        <v>49</v>
      </c>
      <c r="J905">
        <v>243.47</v>
      </c>
      <c r="K905">
        <v>1</v>
      </c>
      <c r="L905">
        <v>-10</v>
      </c>
      <c r="M905" t="s">
        <v>24</v>
      </c>
      <c r="N905" t="s">
        <v>25</v>
      </c>
      <c r="O905" t="s">
        <v>26</v>
      </c>
      <c r="P905">
        <v>1</v>
      </c>
    </row>
    <row r="906" spans="1:16" x14ac:dyDescent="0.25">
      <c r="A906" t="s">
        <v>2342</v>
      </c>
      <c r="B906" t="s">
        <v>2343</v>
      </c>
      <c r="C906" t="s">
        <v>2344</v>
      </c>
      <c r="E906" t="s">
        <v>46</v>
      </c>
      <c r="F906">
        <v>130</v>
      </c>
      <c r="G906" t="s">
        <v>70</v>
      </c>
      <c r="H906" t="s">
        <v>31</v>
      </c>
      <c r="I906" t="s">
        <v>32</v>
      </c>
      <c r="J906">
        <v>149.80000000000001</v>
      </c>
      <c r="K906">
        <v>-2</v>
      </c>
      <c r="L906">
        <v>10</v>
      </c>
      <c r="M906" t="s">
        <v>77</v>
      </c>
      <c r="N906" t="s">
        <v>81</v>
      </c>
      <c r="O906" t="s">
        <v>65</v>
      </c>
      <c r="P906">
        <v>5</v>
      </c>
    </row>
    <row r="907" spans="1:16" x14ac:dyDescent="0.25">
      <c r="A907" t="s">
        <v>2345</v>
      </c>
      <c r="B907" t="s">
        <v>429</v>
      </c>
      <c r="C907" t="s">
        <v>2346</v>
      </c>
      <c r="D907" t="s">
        <v>19</v>
      </c>
      <c r="E907" t="s">
        <v>20</v>
      </c>
      <c r="F907">
        <v>8</v>
      </c>
      <c r="G907" t="s">
        <v>38</v>
      </c>
      <c r="H907" t="s">
        <v>48</v>
      </c>
      <c r="I907" t="s">
        <v>49</v>
      </c>
      <c r="J907">
        <v>57.46</v>
      </c>
      <c r="K907">
        <v>-2</v>
      </c>
      <c r="L907">
        <v>120</v>
      </c>
      <c r="M907" t="s">
        <v>77</v>
      </c>
      <c r="N907" t="s">
        <v>91</v>
      </c>
      <c r="O907" t="s">
        <v>82</v>
      </c>
      <c r="P907">
        <v>3</v>
      </c>
    </row>
    <row r="908" spans="1:16" x14ac:dyDescent="0.25">
      <c r="A908" t="s">
        <v>2347</v>
      </c>
      <c r="B908" t="s">
        <v>344</v>
      </c>
      <c r="C908" t="s">
        <v>2348</v>
      </c>
      <c r="D908" t="s">
        <v>69</v>
      </c>
      <c r="E908" t="s">
        <v>20</v>
      </c>
      <c r="F908">
        <v>8</v>
      </c>
      <c r="G908" t="s">
        <v>53</v>
      </c>
      <c r="H908" t="s">
        <v>48</v>
      </c>
      <c r="I908" t="s">
        <v>49</v>
      </c>
      <c r="J908">
        <v>479.17</v>
      </c>
      <c r="K908">
        <v>3</v>
      </c>
      <c r="L908">
        <v>-10</v>
      </c>
      <c r="M908" t="s">
        <v>64</v>
      </c>
      <c r="N908" t="s">
        <v>25</v>
      </c>
      <c r="O908" t="s">
        <v>82</v>
      </c>
      <c r="P908">
        <v>5</v>
      </c>
    </row>
    <row r="909" spans="1:16" x14ac:dyDescent="0.25">
      <c r="A909" t="s">
        <v>2349</v>
      </c>
      <c r="B909" t="s">
        <v>1648</v>
      </c>
      <c r="C909" t="s">
        <v>2350</v>
      </c>
      <c r="D909" t="s">
        <v>45</v>
      </c>
      <c r="E909" t="s">
        <v>20</v>
      </c>
      <c r="F909">
        <v>130</v>
      </c>
      <c r="G909" t="s">
        <v>47</v>
      </c>
      <c r="H909" t="s">
        <v>121</v>
      </c>
      <c r="I909" t="s">
        <v>122</v>
      </c>
      <c r="J909">
        <v>66.819999999999993</v>
      </c>
      <c r="K909">
        <v>5</v>
      </c>
      <c r="L909">
        <v>120</v>
      </c>
      <c r="M909" t="s">
        <v>24</v>
      </c>
      <c r="N909" t="s">
        <v>91</v>
      </c>
      <c r="O909" t="s">
        <v>65</v>
      </c>
    </row>
    <row r="910" spans="1:16" x14ac:dyDescent="0.25">
      <c r="A910" t="s">
        <v>2351</v>
      </c>
      <c r="B910" t="s">
        <v>2352</v>
      </c>
      <c r="C910" t="s">
        <v>2353</v>
      </c>
      <c r="E910" t="s">
        <v>46</v>
      </c>
      <c r="F910">
        <v>33</v>
      </c>
      <c r="G910" t="s">
        <v>70</v>
      </c>
      <c r="H910" t="s">
        <v>31</v>
      </c>
      <c r="I910" t="s">
        <v>32</v>
      </c>
      <c r="J910">
        <v>326.39999999999998</v>
      </c>
      <c r="K910">
        <v>6</v>
      </c>
      <c r="L910">
        <v>120</v>
      </c>
      <c r="M910" t="s">
        <v>24</v>
      </c>
      <c r="N910" t="s">
        <v>81</v>
      </c>
      <c r="O910" t="s">
        <v>26</v>
      </c>
    </row>
    <row r="911" spans="1:16" x14ac:dyDescent="0.25">
      <c r="A911" t="s">
        <v>2354</v>
      </c>
      <c r="B911" t="s">
        <v>2355</v>
      </c>
      <c r="C911" t="s">
        <v>2356</v>
      </c>
      <c r="D911" t="s">
        <v>63</v>
      </c>
      <c r="E911" t="s">
        <v>46</v>
      </c>
      <c r="F911">
        <v>43</v>
      </c>
      <c r="G911" t="s">
        <v>21</v>
      </c>
      <c r="H911" t="s">
        <v>22</v>
      </c>
      <c r="I911" t="s">
        <v>23</v>
      </c>
      <c r="J911">
        <v>414.14</v>
      </c>
      <c r="K911">
        <v>9</v>
      </c>
      <c r="L911">
        <v>-10</v>
      </c>
      <c r="N911" t="s">
        <v>41</v>
      </c>
      <c r="O911" t="s">
        <v>26</v>
      </c>
      <c r="P911">
        <v>2</v>
      </c>
    </row>
    <row r="912" spans="1:16" x14ac:dyDescent="0.25">
      <c r="A912" t="s">
        <v>2357</v>
      </c>
      <c r="B912" t="s">
        <v>312</v>
      </c>
      <c r="C912" t="s">
        <v>2358</v>
      </c>
      <c r="D912" t="s">
        <v>45</v>
      </c>
      <c r="E912" t="s">
        <v>46</v>
      </c>
      <c r="F912">
        <v>60</v>
      </c>
      <c r="G912" t="s">
        <v>21</v>
      </c>
      <c r="H912" t="s">
        <v>121</v>
      </c>
      <c r="I912" t="s">
        <v>122</v>
      </c>
      <c r="J912">
        <v>272.70999999999998</v>
      </c>
      <c r="K912">
        <v>-2</v>
      </c>
      <c r="L912">
        <v>5</v>
      </c>
      <c r="M912" t="s">
        <v>24</v>
      </c>
      <c r="N912" t="s">
        <v>25</v>
      </c>
      <c r="O912" t="s">
        <v>33</v>
      </c>
    </row>
    <row r="913" spans="1:16" x14ac:dyDescent="0.25">
      <c r="A913" t="s">
        <v>2359</v>
      </c>
      <c r="B913" t="s">
        <v>2360</v>
      </c>
      <c r="C913" t="s">
        <v>2361</v>
      </c>
      <c r="D913" t="s">
        <v>117</v>
      </c>
      <c r="E913" t="s">
        <v>46</v>
      </c>
      <c r="F913">
        <v>33</v>
      </c>
      <c r="G913" t="s">
        <v>53</v>
      </c>
      <c r="H913" t="s">
        <v>48</v>
      </c>
      <c r="I913" t="s">
        <v>49</v>
      </c>
      <c r="J913">
        <v>385.74</v>
      </c>
      <c r="K913">
        <v>-2</v>
      </c>
      <c r="L913">
        <v>-10</v>
      </c>
      <c r="M913" t="s">
        <v>77</v>
      </c>
      <c r="N913" t="s">
        <v>25</v>
      </c>
      <c r="O913" t="s">
        <v>65</v>
      </c>
      <c r="P913">
        <v>3</v>
      </c>
    </row>
    <row r="914" spans="1:16" x14ac:dyDescent="0.25">
      <c r="A914" t="s">
        <v>2362</v>
      </c>
      <c r="B914" t="s">
        <v>2363</v>
      </c>
      <c r="C914" t="s">
        <v>1590</v>
      </c>
      <c r="D914" t="s">
        <v>45</v>
      </c>
      <c r="E914" t="s">
        <v>46</v>
      </c>
      <c r="F914">
        <v>51</v>
      </c>
      <c r="G914" t="s">
        <v>53</v>
      </c>
      <c r="H914" t="s">
        <v>48</v>
      </c>
      <c r="I914" t="s">
        <v>49</v>
      </c>
      <c r="J914">
        <v>446.31</v>
      </c>
      <c r="K914">
        <v>5</v>
      </c>
      <c r="L914">
        <v>-10</v>
      </c>
      <c r="M914" t="s">
        <v>59</v>
      </c>
      <c r="N914" t="s">
        <v>41</v>
      </c>
      <c r="O914" t="s">
        <v>65</v>
      </c>
      <c r="P914">
        <v>1</v>
      </c>
    </row>
    <row r="915" spans="1:16" x14ac:dyDescent="0.25">
      <c r="A915" t="s">
        <v>2364</v>
      </c>
      <c r="B915" t="s">
        <v>415</v>
      </c>
      <c r="C915" t="s">
        <v>2365</v>
      </c>
      <c r="D915" t="s">
        <v>63</v>
      </c>
      <c r="E915" t="s">
        <v>46</v>
      </c>
      <c r="F915">
        <v>8</v>
      </c>
      <c r="G915" t="s">
        <v>53</v>
      </c>
      <c r="H915" t="s">
        <v>87</v>
      </c>
      <c r="I915" t="s">
        <v>49</v>
      </c>
      <c r="J915">
        <v>32.17</v>
      </c>
      <c r="K915">
        <v>-2</v>
      </c>
      <c r="L915">
        <v>15</v>
      </c>
      <c r="M915" t="s">
        <v>59</v>
      </c>
      <c r="N915" t="s">
        <v>81</v>
      </c>
      <c r="O915" t="s">
        <v>82</v>
      </c>
      <c r="P915">
        <v>1</v>
      </c>
    </row>
    <row r="916" spans="1:16" x14ac:dyDescent="0.25">
      <c r="A916" t="s">
        <v>2366</v>
      </c>
      <c r="B916" t="s">
        <v>1363</v>
      </c>
      <c r="C916" t="s">
        <v>2367</v>
      </c>
      <c r="E916" t="s">
        <v>20</v>
      </c>
      <c r="F916">
        <v>130</v>
      </c>
      <c r="G916" t="s">
        <v>70</v>
      </c>
      <c r="H916" t="s">
        <v>87</v>
      </c>
      <c r="I916" t="s">
        <v>49</v>
      </c>
      <c r="J916">
        <v>302.38</v>
      </c>
      <c r="K916">
        <v>-2</v>
      </c>
      <c r="L916">
        <v>120</v>
      </c>
      <c r="M916" t="s">
        <v>77</v>
      </c>
      <c r="N916" t="s">
        <v>91</v>
      </c>
      <c r="O916" t="s">
        <v>82</v>
      </c>
      <c r="P916">
        <v>5</v>
      </c>
    </row>
    <row r="917" spans="1:16" x14ac:dyDescent="0.25">
      <c r="A917" t="s">
        <v>2368</v>
      </c>
      <c r="B917" t="s">
        <v>2369</v>
      </c>
      <c r="C917" t="s">
        <v>2370</v>
      </c>
      <c r="D917" t="s">
        <v>45</v>
      </c>
      <c r="E917" t="s">
        <v>46</v>
      </c>
      <c r="F917">
        <v>8</v>
      </c>
      <c r="G917" t="s">
        <v>30</v>
      </c>
      <c r="H917" t="s">
        <v>121</v>
      </c>
      <c r="I917" t="s">
        <v>122</v>
      </c>
      <c r="J917">
        <v>5.62</v>
      </c>
      <c r="K917">
        <v>2</v>
      </c>
      <c r="L917">
        <v>15</v>
      </c>
      <c r="M917" t="s">
        <v>24</v>
      </c>
      <c r="N917" t="s">
        <v>41</v>
      </c>
      <c r="O917" t="s">
        <v>82</v>
      </c>
      <c r="P917">
        <v>1</v>
      </c>
    </row>
    <row r="918" spans="1:16" x14ac:dyDescent="0.25">
      <c r="A918" t="s">
        <v>2371</v>
      </c>
      <c r="B918" t="s">
        <v>312</v>
      </c>
      <c r="C918" t="s">
        <v>2372</v>
      </c>
      <c r="D918" t="s">
        <v>63</v>
      </c>
      <c r="E918" t="s">
        <v>46</v>
      </c>
      <c r="F918">
        <v>8</v>
      </c>
      <c r="G918" t="s">
        <v>53</v>
      </c>
      <c r="H918" t="s">
        <v>39</v>
      </c>
      <c r="I918" t="s">
        <v>40</v>
      </c>
      <c r="J918">
        <v>286.88</v>
      </c>
      <c r="K918">
        <v>3</v>
      </c>
      <c r="L918">
        <v>5</v>
      </c>
      <c r="N918" t="s">
        <v>91</v>
      </c>
      <c r="O918" t="s">
        <v>33</v>
      </c>
    </row>
    <row r="919" spans="1:16" x14ac:dyDescent="0.25">
      <c r="A919" t="s">
        <v>2373</v>
      </c>
      <c r="B919" t="s">
        <v>893</v>
      </c>
      <c r="C919" t="s">
        <v>2374</v>
      </c>
      <c r="D919" t="s">
        <v>101</v>
      </c>
      <c r="E919" t="s">
        <v>46</v>
      </c>
      <c r="F919">
        <v>8</v>
      </c>
      <c r="G919" t="s">
        <v>86</v>
      </c>
      <c r="H919" t="s">
        <v>121</v>
      </c>
      <c r="I919" t="s">
        <v>122</v>
      </c>
      <c r="J919">
        <v>324.54000000000002</v>
      </c>
      <c r="K919">
        <v>-2</v>
      </c>
      <c r="L919">
        <v>5</v>
      </c>
      <c r="N919" t="s">
        <v>25</v>
      </c>
      <c r="O919" t="s">
        <v>82</v>
      </c>
      <c r="P919">
        <v>4</v>
      </c>
    </row>
    <row r="920" spans="1:16" x14ac:dyDescent="0.25">
      <c r="A920" t="s">
        <v>2375</v>
      </c>
      <c r="B920" t="s">
        <v>326</v>
      </c>
      <c r="C920" t="s">
        <v>2376</v>
      </c>
      <c r="D920" t="s">
        <v>101</v>
      </c>
      <c r="E920" t="s">
        <v>20</v>
      </c>
      <c r="F920">
        <v>8</v>
      </c>
      <c r="G920" t="s">
        <v>53</v>
      </c>
      <c r="H920" t="s">
        <v>87</v>
      </c>
      <c r="I920" t="s">
        <v>49</v>
      </c>
      <c r="J920">
        <v>383.59</v>
      </c>
      <c r="K920">
        <v>-2</v>
      </c>
      <c r="L920">
        <v>0</v>
      </c>
      <c r="M920" t="s">
        <v>59</v>
      </c>
      <c r="N920" t="s">
        <v>41</v>
      </c>
      <c r="O920" t="s">
        <v>82</v>
      </c>
      <c r="P920">
        <v>5</v>
      </c>
    </row>
    <row r="921" spans="1:16" x14ac:dyDescent="0.25">
      <c r="A921" t="s">
        <v>2377</v>
      </c>
      <c r="B921" t="s">
        <v>587</v>
      </c>
      <c r="C921" t="s">
        <v>2378</v>
      </c>
      <c r="D921" t="s">
        <v>37</v>
      </c>
      <c r="E921" t="s">
        <v>46</v>
      </c>
      <c r="F921">
        <v>8</v>
      </c>
      <c r="G921" t="s">
        <v>70</v>
      </c>
      <c r="H921" t="s">
        <v>54</v>
      </c>
      <c r="I921" t="s">
        <v>55</v>
      </c>
      <c r="J921">
        <v>328.32</v>
      </c>
      <c r="K921">
        <v>2</v>
      </c>
      <c r="L921">
        <v>15</v>
      </c>
      <c r="M921" t="s">
        <v>24</v>
      </c>
      <c r="N921" t="s">
        <v>25</v>
      </c>
      <c r="O921" t="s">
        <v>33</v>
      </c>
    </row>
    <row r="922" spans="1:16" x14ac:dyDescent="0.25">
      <c r="A922" t="s">
        <v>2379</v>
      </c>
      <c r="B922" t="s">
        <v>659</v>
      </c>
      <c r="C922" t="s">
        <v>2380</v>
      </c>
      <c r="D922" t="s">
        <v>45</v>
      </c>
      <c r="E922" t="s">
        <v>46</v>
      </c>
      <c r="F922">
        <v>27</v>
      </c>
      <c r="G922" t="s">
        <v>53</v>
      </c>
      <c r="H922" t="s">
        <v>121</v>
      </c>
      <c r="I922" t="s">
        <v>122</v>
      </c>
      <c r="J922">
        <v>244.87</v>
      </c>
      <c r="K922">
        <v>8</v>
      </c>
      <c r="L922">
        <v>10</v>
      </c>
      <c r="M922" t="s">
        <v>77</v>
      </c>
      <c r="N922" t="s">
        <v>25</v>
      </c>
      <c r="O922" t="s">
        <v>26</v>
      </c>
    </row>
    <row r="923" spans="1:16" x14ac:dyDescent="0.25">
      <c r="A923" t="s">
        <v>2381</v>
      </c>
      <c r="B923" t="s">
        <v>1012</v>
      </c>
      <c r="C923" t="s">
        <v>2382</v>
      </c>
      <c r="D923" t="s">
        <v>117</v>
      </c>
      <c r="E923" t="s">
        <v>20</v>
      </c>
      <c r="F923">
        <v>8</v>
      </c>
      <c r="G923" t="s">
        <v>70</v>
      </c>
      <c r="H923" t="s">
        <v>22</v>
      </c>
      <c r="I923" t="s">
        <v>23</v>
      </c>
      <c r="J923">
        <v>346.21</v>
      </c>
      <c r="K923">
        <v>10</v>
      </c>
      <c r="L923">
        <v>0</v>
      </c>
      <c r="M923" t="s">
        <v>59</v>
      </c>
      <c r="N923" t="s">
        <v>91</v>
      </c>
      <c r="O923" t="s">
        <v>65</v>
      </c>
      <c r="P923">
        <v>3</v>
      </c>
    </row>
    <row r="924" spans="1:16" x14ac:dyDescent="0.25">
      <c r="A924" t="s">
        <v>2383</v>
      </c>
      <c r="B924" t="s">
        <v>2384</v>
      </c>
      <c r="C924" t="s">
        <v>2385</v>
      </c>
      <c r="D924" t="s">
        <v>37</v>
      </c>
      <c r="E924" t="s">
        <v>46</v>
      </c>
      <c r="F924">
        <v>130</v>
      </c>
      <c r="G924" t="s">
        <v>53</v>
      </c>
      <c r="H924" t="s">
        <v>121</v>
      </c>
      <c r="I924" t="s">
        <v>122</v>
      </c>
      <c r="J924">
        <v>481.16</v>
      </c>
      <c r="K924">
        <v>-2</v>
      </c>
      <c r="L924">
        <v>0</v>
      </c>
      <c r="N924" t="s">
        <v>25</v>
      </c>
      <c r="O924" t="s">
        <v>82</v>
      </c>
      <c r="P924">
        <v>2</v>
      </c>
    </row>
    <row r="925" spans="1:16" x14ac:dyDescent="0.25">
      <c r="A925" t="s">
        <v>2386</v>
      </c>
      <c r="B925" t="s">
        <v>2387</v>
      </c>
      <c r="C925" t="s">
        <v>2388</v>
      </c>
      <c r="D925" t="s">
        <v>45</v>
      </c>
      <c r="E925" t="s">
        <v>46</v>
      </c>
      <c r="F925">
        <v>8</v>
      </c>
      <c r="G925" t="s">
        <v>53</v>
      </c>
      <c r="H925" t="s">
        <v>22</v>
      </c>
      <c r="I925" t="s">
        <v>23</v>
      </c>
      <c r="J925">
        <v>39.5</v>
      </c>
      <c r="K925">
        <v>9</v>
      </c>
      <c r="L925">
        <v>-10</v>
      </c>
      <c r="M925" t="s">
        <v>59</v>
      </c>
      <c r="N925" t="s">
        <v>81</v>
      </c>
      <c r="O925" t="s">
        <v>82</v>
      </c>
      <c r="P925">
        <v>3</v>
      </c>
    </row>
    <row r="926" spans="1:16" x14ac:dyDescent="0.25">
      <c r="A926" t="s">
        <v>2389</v>
      </c>
      <c r="B926" t="s">
        <v>1714</v>
      </c>
      <c r="C926" t="s">
        <v>2390</v>
      </c>
      <c r="E926" t="s">
        <v>20</v>
      </c>
      <c r="F926">
        <v>8</v>
      </c>
      <c r="G926" t="s">
        <v>86</v>
      </c>
      <c r="H926" t="s">
        <v>22</v>
      </c>
      <c r="I926" t="s">
        <v>23</v>
      </c>
      <c r="J926">
        <v>135.72</v>
      </c>
      <c r="K926">
        <v>-2</v>
      </c>
      <c r="L926">
        <v>10</v>
      </c>
      <c r="M926" t="s">
        <v>64</v>
      </c>
      <c r="N926" t="s">
        <v>25</v>
      </c>
      <c r="O926" t="s">
        <v>82</v>
      </c>
      <c r="P926">
        <v>4</v>
      </c>
    </row>
    <row r="927" spans="1:16" x14ac:dyDescent="0.25">
      <c r="A927" t="s">
        <v>2391</v>
      </c>
      <c r="B927" t="s">
        <v>1551</v>
      </c>
      <c r="C927" t="s">
        <v>2392</v>
      </c>
      <c r="D927" t="s">
        <v>117</v>
      </c>
      <c r="E927" t="s">
        <v>20</v>
      </c>
      <c r="F927">
        <v>45</v>
      </c>
      <c r="G927" t="s">
        <v>53</v>
      </c>
      <c r="H927" t="s">
        <v>31</v>
      </c>
      <c r="I927" t="s">
        <v>32</v>
      </c>
      <c r="J927">
        <v>168.68</v>
      </c>
      <c r="K927">
        <v>-2</v>
      </c>
      <c r="L927">
        <v>0</v>
      </c>
      <c r="M927" t="s">
        <v>24</v>
      </c>
      <c r="N927" t="s">
        <v>91</v>
      </c>
      <c r="O927" t="s">
        <v>26</v>
      </c>
    </row>
    <row r="928" spans="1:16" x14ac:dyDescent="0.25">
      <c r="A928" t="s">
        <v>2393</v>
      </c>
      <c r="B928" t="s">
        <v>1696</v>
      </c>
      <c r="C928" t="s">
        <v>2394</v>
      </c>
      <c r="D928" t="s">
        <v>101</v>
      </c>
      <c r="E928" t="s">
        <v>20</v>
      </c>
      <c r="F928">
        <v>61</v>
      </c>
      <c r="G928" t="s">
        <v>47</v>
      </c>
      <c r="H928" t="s">
        <v>121</v>
      </c>
      <c r="I928" t="s">
        <v>122</v>
      </c>
      <c r="J928">
        <v>225.26</v>
      </c>
      <c r="K928">
        <v>6</v>
      </c>
      <c r="L928">
        <v>120</v>
      </c>
      <c r="M928" t="s">
        <v>24</v>
      </c>
      <c r="N928" t="s">
        <v>91</v>
      </c>
      <c r="O928" t="s">
        <v>26</v>
      </c>
      <c r="P928">
        <v>5</v>
      </c>
    </row>
    <row r="929" spans="1:16" x14ac:dyDescent="0.25">
      <c r="A929" t="s">
        <v>2395</v>
      </c>
      <c r="B929" t="s">
        <v>1746</v>
      </c>
      <c r="C929" t="s">
        <v>2396</v>
      </c>
      <c r="D929" t="s">
        <v>63</v>
      </c>
      <c r="E929" t="s">
        <v>20</v>
      </c>
      <c r="F929">
        <v>23</v>
      </c>
      <c r="G929" t="s">
        <v>70</v>
      </c>
      <c r="H929" t="s">
        <v>39</v>
      </c>
      <c r="I929" t="s">
        <v>40</v>
      </c>
      <c r="J929">
        <v>455.24</v>
      </c>
      <c r="K929">
        <v>10</v>
      </c>
      <c r="L929">
        <v>15</v>
      </c>
      <c r="M929" t="s">
        <v>64</v>
      </c>
      <c r="N929" t="s">
        <v>25</v>
      </c>
      <c r="O929" t="s">
        <v>26</v>
      </c>
      <c r="P929">
        <v>5</v>
      </c>
    </row>
    <row r="930" spans="1:16" x14ac:dyDescent="0.25">
      <c r="A930" t="s">
        <v>2397</v>
      </c>
      <c r="B930" t="s">
        <v>866</v>
      </c>
      <c r="C930" t="s">
        <v>2398</v>
      </c>
      <c r="D930" t="s">
        <v>117</v>
      </c>
      <c r="E930" t="s">
        <v>20</v>
      </c>
      <c r="F930">
        <v>130</v>
      </c>
      <c r="G930" t="s">
        <v>38</v>
      </c>
      <c r="H930" t="s">
        <v>31</v>
      </c>
      <c r="I930" t="s">
        <v>32</v>
      </c>
      <c r="J930">
        <v>288.70999999999998</v>
      </c>
      <c r="K930">
        <v>5</v>
      </c>
      <c r="L930">
        <v>10</v>
      </c>
      <c r="M930" t="s">
        <v>77</v>
      </c>
      <c r="N930" t="s">
        <v>25</v>
      </c>
      <c r="O930" t="s">
        <v>26</v>
      </c>
      <c r="P930">
        <v>5</v>
      </c>
    </row>
    <row r="931" spans="1:16" x14ac:dyDescent="0.25">
      <c r="A931" t="s">
        <v>2399</v>
      </c>
      <c r="B931" t="s">
        <v>2400</v>
      </c>
      <c r="C931" t="s">
        <v>2401</v>
      </c>
      <c r="D931" t="s">
        <v>69</v>
      </c>
      <c r="E931" t="s">
        <v>20</v>
      </c>
      <c r="F931">
        <v>8</v>
      </c>
      <c r="G931" t="s">
        <v>30</v>
      </c>
      <c r="H931" t="s">
        <v>87</v>
      </c>
      <c r="I931" t="s">
        <v>49</v>
      </c>
      <c r="J931">
        <v>90.91</v>
      </c>
      <c r="K931">
        <v>8</v>
      </c>
      <c r="L931">
        <v>-10</v>
      </c>
      <c r="N931" t="s">
        <v>41</v>
      </c>
      <c r="O931" t="s">
        <v>82</v>
      </c>
    </row>
    <row r="932" spans="1:16" x14ac:dyDescent="0.25">
      <c r="A932" t="s">
        <v>2402</v>
      </c>
      <c r="B932" t="s">
        <v>2403</v>
      </c>
      <c r="C932" t="s">
        <v>2404</v>
      </c>
      <c r="D932" t="s">
        <v>101</v>
      </c>
      <c r="E932" t="s">
        <v>20</v>
      </c>
      <c r="F932">
        <v>26</v>
      </c>
      <c r="G932" t="s">
        <v>47</v>
      </c>
      <c r="H932" t="s">
        <v>22</v>
      </c>
      <c r="I932" t="s">
        <v>23</v>
      </c>
      <c r="J932">
        <v>323.43</v>
      </c>
      <c r="K932">
        <v>7</v>
      </c>
      <c r="L932">
        <v>120</v>
      </c>
      <c r="N932" t="s">
        <v>25</v>
      </c>
      <c r="O932" t="s">
        <v>82</v>
      </c>
      <c r="P932">
        <v>4</v>
      </c>
    </row>
    <row r="933" spans="1:16" x14ac:dyDescent="0.25">
      <c r="A933" t="s">
        <v>2405</v>
      </c>
      <c r="B933" t="s">
        <v>1258</v>
      </c>
      <c r="C933" t="s">
        <v>2406</v>
      </c>
      <c r="D933" t="s">
        <v>117</v>
      </c>
      <c r="E933" t="s">
        <v>46</v>
      </c>
      <c r="F933">
        <v>36</v>
      </c>
      <c r="G933" t="s">
        <v>86</v>
      </c>
      <c r="H933" t="s">
        <v>22</v>
      </c>
      <c r="I933" t="s">
        <v>23</v>
      </c>
      <c r="J933">
        <v>413.49</v>
      </c>
      <c r="K933">
        <v>2</v>
      </c>
      <c r="L933">
        <v>5</v>
      </c>
      <c r="N933" t="s">
        <v>41</v>
      </c>
      <c r="O933" t="s">
        <v>65</v>
      </c>
    </row>
    <row r="934" spans="1:16" x14ac:dyDescent="0.25">
      <c r="A934" t="s">
        <v>2407</v>
      </c>
      <c r="B934" t="s">
        <v>1214</v>
      </c>
      <c r="C934" t="s">
        <v>2408</v>
      </c>
      <c r="D934" t="s">
        <v>37</v>
      </c>
      <c r="E934" t="s">
        <v>20</v>
      </c>
      <c r="F934">
        <v>8</v>
      </c>
      <c r="G934" t="s">
        <v>30</v>
      </c>
      <c r="H934" t="s">
        <v>54</v>
      </c>
      <c r="I934" t="s">
        <v>55</v>
      </c>
      <c r="J934">
        <v>164.12</v>
      </c>
      <c r="K934">
        <v>-2</v>
      </c>
      <c r="L934">
        <v>15</v>
      </c>
      <c r="N934" t="s">
        <v>25</v>
      </c>
      <c r="O934" t="s">
        <v>82</v>
      </c>
      <c r="P934">
        <v>5</v>
      </c>
    </row>
    <row r="935" spans="1:16" x14ac:dyDescent="0.25">
      <c r="A935" t="s">
        <v>2409</v>
      </c>
      <c r="B935" t="s">
        <v>1612</v>
      </c>
      <c r="C935" t="s">
        <v>2410</v>
      </c>
      <c r="D935" t="s">
        <v>117</v>
      </c>
      <c r="E935" t="s">
        <v>46</v>
      </c>
      <c r="F935">
        <v>130</v>
      </c>
      <c r="G935" t="s">
        <v>53</v>
      </c>
      <c r="H935" t="s">
        <v>121</v>
      </c>
      <c r="I935" t="s">
        <v>122</v>
      </c>
      <c r="J935">
        <v>433.52</v>
      </c>
      <c r="K935">
        <v>-2</v>
      </c>
      <c r="L935">
        <v>15</v>
      </c>
      <c r="M935" t="s">
        <v>24</v>
      </c>
      <c r="N935" t="s">
        <v>91</v>
      </c>
      <c r="O935" t="s">
        <v>26</v>
      </c>
      <c r="P935">
        <v>5</v>
      </c>
    </row>
    <row r="936" spans="1:16" x14ac:dyDescent="0.25">
      <c r="A936" t="s">
        <v>2411</v>
      </c>
      <c r="B936" t="s">
        <v>1321</v>
      </c>
      <c r="C936" t="s">
        <v>2412</v>
      </c>
      <c r="D936" t="s">
        <v>101</v>
      </c>
      <c r="E936" t="s">
        <v>20</v>
      </c>
      <c r="F936">
        <v>57</v>
      </c>
      <c r="G936" t="s">
        <v>86</v>
      </c>
      <c r="H936" t="s">
        <v>54</v>
      </c>
      <c r="I936" t="s">
        <v>55</v>
      </c>
      <c r="J936">
        <v>129.28</v>
      </c>
      <c r="K936">
        <v>5</v>
      </c>
      <c r="L936">
        <v>0</v>
      </c>
      <c r="M936" t="s">
        <v>77</v>
      </c>
      <c r="N936" t="s">
        <v>25</v>
      </c>
      <c r="O936" t="s">
        <v>26</v>
      </c>
      <c r="P936">
        <v>3</v>
      </c>
    </row>
    <row r="937" spans="1:16" x14ac:dyDescent="0.25">
      <c r="A937" t="s">
        <v>2413</v>
      </c>
      <c r="B937" t="s">
        <v>483</v>
      </c>
      <c r="C937" t="s">
        <v>2414</v>
      </c>
      <c r="D937" t="s">
        <v>69</v>
      </c>
      <c r="E937" t="s">
        <v>20</v>
      </c>
      <c r="F937">
        <v>130</v>
      </c>
      <c r="G937" t="s">
        <v>53</v>
      </c>
      <c r="H937" t="s">
        <v>39</v>
      </c>
      <c r="I937" t="s">
        <v>40</v>
      </c>
      <c r="J937">
        <v>37.82</v>
      </c>
      <c r="K937">
        <v>-2</v>
      </c>
      <c r="L937">
        <v>10</v>
      </c>
      <c r="N937" t="s">
        <v>91</v>
      </c>
      <c r="O937" t="s">
        <v>82</v>
      </c>
      <c r="P937">
        <v>5</v>
      </c>
    </row>
    <row r="938" spans="1:16" x14ac:dyDescent="0.25">
      <c r="A938" t="s">
        <v>2415</v>
      </c>
      <c r="B938" t="s">
        <v>2416</v>
      </c>
      <c r="C938" t="s">
        <v>2417</v>
      </c>
      <c r="D938" t="s">
        <v>69</v>
      </c>
      <c r="E938" t="s">
        <v>46</v>
      </c>
      <c r="F938">
        <v>130</v>
      </c>
      <c r="G938" t="s">
        <v>86</v>
      </c>
      <c r="H938" t="s">
        <v>54</v>
      </c>
      <c r="I938" t="s">
        <v>55</v>
      </c>
      <c r="J938">
        <v>243.87</v>
      </c>
      <c r="K938">
        <v>-2</v>
      </c>
      <c r="L938">
        <v>10</v>
      </c>
      <c r="M938" t="s">
        <v>24</v>
      </c>
      <c r="N938" t="s">
        <v>91</v>
      </c>
      <c r="O938" t="s">
        <v>26</v>
      </c>
    </row>
    <row r="939" spans="1:16" x14ac:dyDescent="0.25">
      <c r="A939" t="s">
        <v>2418</v>
      </c>
      <c r="B939" t="s">
        <v>2419</v>
      </c>
      <c r="C939" t="s">
        <v>2420</v>
      </c>
      <c r="E939" t="s">
        <v>20</v>
      </c>
      <c r="F939">
        <v>21</v>
      </c>
      <c r="G939" t="s">
        <v>86</v>
      </c>
      <c r="H939" t="s">
        <v>48</v>
      </c>
      <c r="I939" t="s">
        <v>49</v>
      </c>
      <c r="J939">
        <v>92</v>
      </c>
      <c r="K939">
        <v>-2</v>
      </c>
      <c r="L939">
        <v>15</v>
      </c>
      <c r="M939" t="s">
        <v>77</v>
      </c>
      <c r="N939" t="s">
        <v>81</v>
      </c>
      <c r="O939" t="s">
        <v>26</v>
      </c>
      <c r="P939">
        <v>2</v>
      </c>
    </row>
    <row r="940" spans="1:16" x14ac:dyDescent="0.25">
      <c r="A940" t="s">
        <v>2421</v>
      </c>
      <c r="B940" t="s">
        <v>1820</v>
      </c>
      <c r="C940" t="s">
        <v>2422</v>
      </c>
      <c r="D940" t="s">
        <v>45</v>
      </c>
      <c r="E940" t="s">
        <v>20</v>
      </c>
      <c r="F940">
        <v>40</v>
      </c>
      <c r="G940" t="s">
        <v>47</v>
      </c>
      <c r="H940" t="s">
        <v>31</v>
      </c>
      <c r="I940" t="s">
        <v>32</v>
      </c>
      <c r="J940">
        <v>50</v>
      </c>
      <c r="K940">
        <v>1</v>
      </c>
      <c r="L940">
        <v>-10</v>
      </c>
      <c r="M940" t="s">
        <v>24</v>
      </c>
      <c r="N940" t="s">
        <v>41</v>
      </c>
      <c r="O940" t="s">
        <v>65</v>
      </c>
      <c r="P940">
        <v>5</v>
      </c>
    </row>
    <row r="941" spans="1:16" x14ac:dyDescent="0.25">
      <c r="A941" t="s">
        <v>2423</v>
      </c>
      <c r="B941" t="s">
        <v>2424</v>
      </c>
      <c r="C941" t="s">
        <v>1449</v>
      </c>
      <c r="D941" t="s">
        <v>19</v>
      </c>
      <c r="E941" t="s">
        <v>20</v>
      </c>
      <c r="F941">
        <v>8</v>
      </c>
      <c r="G941" t="s">
        <v>53</v>
      </c>
      <c r="H941" t="s">
        <v>54</v>
      </c>
      <c r="I941" t="s">
        <v>55</v>
      </c>
      <c r="J941">
        <v>64.81</v>
      </c>
      <c r="K941">
        <v>2</v>
      </c>
      <c r="L941">
        <v>-10</v>
      </c>
      <c r="M941" t="s">
        <v>77</v>
      </c>
      <c r="N941" t="s">
        <v>41</v>
      </c>
      <c r="O941" t="s">
        <v>65</v>
      </c>
      <c r="P941">
        <v>5</v>
      </c>
    </row>
    <row r="942" spans="1:16" x14ac:dyDescent="0.25">
      <c r="A942" t="s">
        <v>2425</v>
      </c>
      <c r="B942" t="s">
        <v>2426</v>
      </c>
      <c r="C942" t="s">
        <v>2427</v>
      </c>
      <c r="D942" t="s">
        <v>45</v>
      </c>
      <c r="E942" t="s">
        <v>46</v>
      </c>
      <c r="F942">
        <v>56</v>
      </c>
      <c r="G942" t="s">
        <v>70</v>
      </c>
      <c r="H942" t="s">
        <v>121</v>
      </c>
      <c r="I942" t="s">
        <v>122</v>
      </c>
      <c r="J942">
        <v>315.49</v>
      </c>
      <c r="K942">
        <v>7</v>
      </c>
      <c r="L942">
        <v>120</v>
      </c>
      <c r="M942" t="s">
        <v>77</v>
      </c>
      <c r="N942" t="s">
        <v>25</v>
      </c>
      <c r="O942" t="s">
        <v>82</v>
      </c>
      <c r="P942">
        <v>3</v>
      </c>
    </row>
    <row r="943" spans="1:16" x14ac:dyDescent="0.25">
      <c r="A943" t="s">
        <v>2428</v>
      </c>
      <c r="B943" t="s">
        <v>1315</v>
      </c>
      <c r="C943" t="s">
        <v>2429</v>
      </c>
      <c r="E943" t="s">
        <v>46</v>
      </c>
      <c r="F943">
        <v>34</v>
      </c>
      <c r="G943" t="s">
        <v>86</v>
      </c>
      <c r="H943" t="s">
        <v>31</v>
      </c>
      <c r="I943" t="s">
        <v>32</v>
      </c>
      <c r="J943">
        <v>109.69</v>
      </c>
      <c r="K943">
        <v>-2</v>
      </c>
      <c r="L943">
        <v>15</v>
      </c>
      <c r="M943" t="s">
        <v>64</v>
      </c>
      <c r="N943" t="s">
        <v>41</v>
      </c>
      <c r="O943" t="s">
        <v>65</v>
      </c>
      <c r="P943">
        <v>1</v>
      </c>
    </row>
    <row r="944" spans="1:16" x14ac:dyDescent="0.25">
      <c r="A944" t="s">
        <v>2430</v>
      </c>
      <c r="B944" t="s">
        <v>273</v>
      </c>
      <c r="C944" t="s">
        <v>2431</v>
      </c>
      <c r="D944" t="s">
        <v>63</v>
      </c>
      <c r="E944" t="s">
        <v>46</v>
      </c>
      <c r="F944">
        <v>130</v>
      </c>
      <c r="G944" t="s">
        <v>21</v>
      </c>
      <c r="H944" t="s">
        <v>39</v>
      </c>
      <c r="I944" t="s">
        <v>40</v>
      </c>
      <c r="J944">
        <v>445.86</v>
      </c>
      <c r="K944">
        <v>-2</v>
      </c>
      <c r="L944">
        <v>10</v>
      </c>
      <c r="M944" t="s">
        <v>77</v>
      </c>
      <c r="N944" t="s">
        <v>91</v>
      </c>
      <c r="O944" t="s">
        <v>82</v>
      </c>
    </row>
    <row r="945" spans="1:16" x14ac:dyDescent="0.25">
      <c r="A945" t="s">
        <v>2432</v>
      </c>
      <c r="B945" t="s">
        <v>2433</v>
      </c>
      <c r="C945" t="s">
        <v>2434</v>
      </c>
      <c r="D945" t="s">
        <v>101</v>
      </c>
      <c r="E945" t="s">
        <v>20</v>
      </c>
      <c r="F945">
        <v>56</v>
      </c>
      <c r="G945" t="s">
        <v>86</v>
      </c>
      <c r="H945" t="s">
        <v>54</v>
      </c>
      <c r="I945" t="s">
        <v>55</v>
      </c>
      <c r="J945">
        <v>93.36</v>
      </c>
      <c r="K945">
        <v>10</v>
      </c>
      <c r="L945">
        <v>-10</v>
      </c>
      <c r="M945" t="s">
        <v>24</v>
      </c>
      <c r="N945" t="s">
        <v>81</v>
      </c>
      <c r="O945" t="s">
        <v>26</v>
      </c>
    </row>
    <row r="946" spans="1:16" x14ac:dyDescent="0.25">
      <c r="A946" t="s">
        <v>2435</v>
      </c>
      <c r="B946" t="s">
        <v>849</v>
      </c>
      <c r="C946" t="s">
        <v>2436</v>
      </c>
      <c r="D946" t="s">
        <v>101</v>
      </c>
      <c r="E946" t="s">
        <v>20</v>
      </c>
      <c r="F946">
        <v>130</v>
      </c>
      <c r="G946" t="s">
        <v>86</v>
      </c>
      <c r="H946" t="s">
        <v>48</v>
      </c>
      <c r="I946" t="s">
        <v>49</v>
      </c>
      <c r="J946">
        <v>408.19</v>
      </c>
      <c r="K946">
        <v>-2</v>
      </c>
      <c r="L946">
        <v>15</v>
      </c>
      <c r="M946" t="s">
        <v>59</v>
      </c>
      <c r="N946" t="s">
        <v>81</v>
      </c>
      <c r="O946" t="s">
        <v>82</v>
      </c>
    </row>
    <row r="947" spans="1:16" x14ac:dyDescent="0.25">
      <c r="A947" t="s">
        <v>2437</v>
      </c>
      <c r="B947" t="s">
        <v>2438</v>
      </c>
      <c r="C947" t="s">
        <v>2439</v>
      </c>
      <c r="D947" t="s">
        <v>45</v>
      </c>
      <c r="E947" t="s">
        <v>46</v>
      </c>
      <c r="F947">
        <v>130</v>
      </c>
      <c r="G947" t="s">
        <v>30</v>
      </c>
      <c r="H947" t="s">
        <v>39</v>
      </c>
      <c r="I947" t="s">
        <v>40</v>
      </c>
      <c r="J947">
        <v>427.19</v>
      </c>
      <c r="K947">
        <v>5</v>
      </c>
      <c r="L947">
        <v>5</v>
      </c>
      <c r="N947" t="s">
        <v>81</v>
      </c>
      <c r="O947" t="s">
        <v>33</v>
      </c>
      <c r="P947">
        <v>3</v>
      </c>
    </row>
    <row r="948" spans="1:16" x14ac:dyDescent="0.25">
      <c r="A948" t="s">
        <v>2440</v>
      </c>
      <c r="B948" t="s">
        <v>831</v>
      </c>
      <c r="C948" t="s">
        <v>2441</v>
      </c>
      <c r="D948" t="s">
        <v>19</v>
      </c>
      <c r="E948" t="s">
        <v>46</v>
      </c>
      <c r="F948">
        <v>37</v>
      </c>
      <c r="G948" t="s">
        <v>47</v>
      </c>
      <c r="H948" t="s">
        <v>87</v>
      </c>
      <c r="I948" t="s">
        <v>49</v>
      </c>
      <c r="J948">
        <v>363.4</v>
      </c>
      <c r="K948">
        <v>-2</v>
      </c>
      <c r="L948">
        <v>0</v>
      </c>
      <c r="M948" t="s">
        <v>59</v>
      </c>
      <c r="N948" t="s">
        <v>25</v>
      </c>
      <c r="O948" t="s">
        <v>33</v>
      </c>
      <c r="P948">
        <v>5</v>
      </c>
    </row>
    <row r="949" spans="1:16" x14ac:dyDescent="0.25">
      <c r="A949" t="s">
        <v>2442</v>
      </c>
      <c r="B949" t="s">
        <v>2443</v>
      </c>
      <c r="C949" t="s">
        <v>2444</v>
      </c>
      <c r="D949" t="s">
        <v>101</v>
      </c>
      <c r="E949" t="s">
        <v>46</v>
      </c>
      <c r="F949">
        <v>8</v>
      </c>
      <c r="G949" t="s">
        <v>86</v>
      </c>
      <c r="H949" t="s">
        <v>22</v>
      </c>
      <c r="I949" t="s">
        <v>23</v>
      </c>
      <c r="J949">
        <v>129.28</v>
      </c>
      <c r="K949">
        <v>8</v>
      </c>
      <c r="L949">
        <v>15</v>
      </c>
      <c r="M949" t="s">
        <v>24</v>
      </c>
      <c r="N949" t="s">
        <v>25</v>
      </c>
      <c r="O949" t="s">
        <v>26</v>
      </c>
      <c r="P949">
        <v>4</v>
      </c>
    </row>
    <row r="950" spans="1:16" x14ac:dyDescent="0.25">
      <c r="A950" t="s">
        <v>2445</v>
      </c>
      <c r="B950" t="s">
        <v>874</v>
      </c>
      <c r="C950" t="s">
        <v>2446</v>
      </c>
      <c r="D950" t="s">
        <v>117</v>
      </c>
      <c r="E950" t="s">
        <v>46</v>
      </c>
      <c r="F950">
        <v>34</v>
      </c>
      <c r="G950" t="s">
        <v>70</v>
      </c>
      <c r="H950" t="s">
        <v>39</v>
      </c>
      <c r="I950" t="s">
        <v>40</v>
      </c>
      <c r="J950">
        <v>44.98</v>
      </c>
      <c r="K950">
        <v>-2</v>
      </c>
      <c r="L950">
        <v>5</v>
      </c>
      <c r="M950" t="s">
        <v>59</v>
      </c>
      <c r="N950" t="s">
        <v>25</v>
      </c>
      <c r="O950" t="s">
        <v>33</v>
      </c>
      <c r="P950">
        <v>2</v>
      </c>
    </row>
    <row r="951" spans="1:16" x14ac:dyDescent="0.25">
      <c r="A951" t="s">
        <v>2447</v>
      </c>
      <c r="B951" t="s">
        <v>768</v>
      </c>
      <c r="C951" t="s">
        <v>2448</v>
      </c>
      <c r="D951" t="s">
        <v>101</v>
      </c>
      <c r="E951" t="s">
        <v>20</v>
      </c>
      <c r="F951">
        <v>8</v>
      </c>
      <c r="G951" t="s">
        <v>53</v>
      </c>
      <c r="H951" t="s">
        <v>48</v>
      </c>
      <c r="I951" t="s">
        <v>49</v>
      </c>
      <c r="J951">
        <v>433.28</v>
      </c>
      <c r="K951">
        <v>-2</v>
      </c>
      <c r="L951">
        <v>5</v>
      </c>
      <c r="N951" t="s">
        <v>91</v>
      </c>
      <c r="O951" t="s">
        <v>65</v>
      </c>
      <c r="P951">
        <v>1</v>
      </c>
    </row>
    <row r="952" spans="1:16" x14ac:dyDescent="0.25">
      <c r="A952" t="s">
        <v>2449</v>
      </c>
      <c r="B952" t="s">
        <v>437</v>
      </c>
      <c r="C952" t="s">
        <v>2450</v>
      </c>
      <c r="E952" t="s">
        <v>46</v>
      </c>
      <c r="F952">
        <v>8</v>
      </c>
      <c r="G952" t="s">
        <v>70</v>
      </c>
      <c r="H952" t="s">
        <v>22</v>
      </c>
      <c r="I952" t="s">
        <v>23</v>
      </c>
      <c r="J952">
        <v>177.22</v>
      </c>
      <c r="K952">
        <v>-2</v>
      </c>
      <c r="L952">
        <v>120</v>
      </c>
      <c r="N952" t="s">
        <v>25</v>
      </c>
      <c r="O952" t="s">
        <v>82</v>
      </c>
      <c r="P952">
        <v>2</v>
      </c>
    </row>
    <row r="953" spans="1:16" x14ac:dyDescent="0.25">
      <c r="A953" t="s">
        <v>2451</v>
      </c>
      <c r="B953" t="s">
        <v>1648</v>
      </c>
      <c r="C953" t="s">
        <v>2452</v>
      </c>
      <c r="D953" t="s">
        <v>69</v>
      </c>
      <c r="E953" t="s">
        <v>20</v>
      </c>
      <c r="F953">
        <v>130</v>
      </c>
      <c r="G953" t="s">
        <v>70</v>
      </c>
      <c r="H953" t="s">
        <v>54</v>
      </c>
      <c r="I953" t="s">
        <v>55</v>
      </c>
      <c r="J953">
        <v>243.48</v>
      </c>
      <c r="K953">
        <v>2</v>
      </c>
      <c r="L953">
        <v>0</v>
      </c>
      <c r="M953" t="s">
        <v>24</v>
      </c>
      <c r="N953" t="s">
        <v>41</v>
      </c>
      <c r="O953" t="s">
        <v>26</v>
      </c>
      <c r="P953">
        <v>2</v>
      </c>
    </row>
    <row r="954" spans="1:16" x14ac:dyDescent="0.25">
      <c r="A954" t="s">
        <v>2453</v>
      </c>
      <c r="B954" t="s">
        <v>1633</v>
      </c>
      <c r="C954" t="s">
        <v>350</v>
      </c>
      <c r="D954" t="s">
        <v>69</v>
      </c>
      <c r="E954" t="s">
        <v>20</v>
      </c>
      <c r="F954">
        <v>34</v>
      </c>
      <c r="G954" t="s">
        <v>21</v>
      </c>
      <c r="H954" t="s">
        <v>121</v>
      </c>
      <c r="I954" t="s">
        <v>122</v>
      </c>
      <c r="J954">
        <v>289.58999999999997</v>
      </c>
      <c r="K954">
        <v>9</v>
      </c>
      <c r="L954">
        <v>120</v>
      </c>
      <c r="M954" t="s">
        <v>77</v>
      </c>
      <c r="N954" t="s">
        <v>81</v>
      </c>
      <c r="O954" t="s">
        <v>82</v>
      </c>
      <c r="P954">
        <v>5</v>
      </c>
    </row>
    <row r="955" spans="1:16" x14ac:dyDescent="0.25">
      <c r="A955" t="s">
        <v>2454</v>
      </c>
      <c r="B955" t="s">
        <v>2455</v>
      </c>
      <c r="C955" t="s">
        <v>2456</v>
      </c>
      <c r="D955" t="s">
        <v>19</v>
      </c>
      <c r="E955" t="s">
        <v>20</v>
      </c>
      <c r="F955">
        <v>20</v>
      </c>
      <c r="G955" t="s">
        <v>86</v>
      </c>
      <c r="H955" t="s">
        <v>39</v>
      </c>
      <c r="I955" t="s">
        <v>40</v>
      </c>
      <c r="J955">
        <v>154.01</v>
      </c>
      <c r="K955">
        <v>-2</v>
      </c>
      <c r="L955">
        <v>120</v>
      </c>
      <c r="M955" t="s">
        <v>64</v>
      </c>
      <c r="N955" t="s">
        <v>25</v>
      </c>
      <c r="O955" t="s">
        <v>33</v>
      </c>
    </row>
    <row r="956" spans="1:16" x14ac:dyDescent="0.25">
      <c r="A956" t="s">
        <v>2457</v>
      </c>
      <c r="B956" t="s">
        <v>1417</v>
      </c>
      <c r="C956" t="s">
        <v>2458</v>
      </c>
      <c r="D956" t="s">
        <v>45</v>
      </c>
      <c r="E956" t="s">
        <v>46</v>
      </c>
      <c r="F956">
        <v>8</v>
      </c>
      <c r="G956" t="s">
        <v>86</v>
      </c>
      <c r="H956" t="s">
        <v>31</v>
      </c>
      <c r="I956" t="s">
        <v>32</v>
      </c>
      <c r="J956">
        <v>291.81</v>
      </c>
      <c r="K956">
        <v>-2</v>
      </c>
      <c r="L956">
        <v>15</v>
      </c>
      <c r="M956" t="s">
        <v>64</v>
      </c>
      <c r="N956" t="s">
        <v>25</v>
      </c>
      <c r="O956" t="s">
        <v>82</v>
      </c>
      <c r="P956">
        <v>3</v>
      </c>
    </row>
    <row r="957" spans="1:16" x14ac:dyDescent="0.25">
      <c r="A957" t="s">
        <v>2459</v>
      </c>
      <c r="B957" t="s">
        <v>2460</v>
      </c>
      <c r="C957" t="s">
        <v>2461</v>
      </c>
      <c r="E957" t="s">
        <v>20</v>
      </c>
      <c r="F957">
        <v>8</v>
      </c>
      <c r="G957" t="s">
        <v>38</v>
      </c>
      <c r="H957" t="s">
        <v>54</v>
      </c>
      <c r="I957" t="s">
        <v>55</v>
      </c>
      <c r="J957">
        <v>125.71</v>
      </c>
      <c r="K957">
        <v>-2</v>
      </c>
      <c r="L957">
        <v>5</v>
      </c>
      <c r="M957" t="s">
        <v>64</v>
      </c>
      <c r="N957" t="s">
        <v>91</v>
      </c>
      <c r="O957" t="s">
        <v>33</v>
      </c>
      <c r="P957">
        <v>4</v>
      </c>
    </row>
    <row r="958" spans="1:16" x14ac:dyDescent="0.25">
      <c r="A958" t="s">
        <v>2462</v>
      </c>
      <c r="B958" t="s">
        <v>303</v>
      </c>
      <c r="C958" t="s">
        <v>2463</v>
      </c>
      <c r="D958" t="s">
        <v>101</v>
      </c>
      <c r="E958" t="s">
        <v>46</v>
      </c>
      <c r="F958">
        <v>130</v>
      </c>
      <c r="G958" t="s">
        <v>53</v>
      </c>
      <c r="H958" t="s">
        <v>54</v>
      </c>
      <c r="I958" t="s">
        <v>55</v>
      </c>
      <c r="J958">
        <v>100.48</v>
      </c>
      <c r="K958">
        <v>2</v>
      </c>
      <c r="L958">
        <v>10</v>
      </c>
      <c r="M958" t="s">
        <v>77</v>
      </c>
      <c r="N958" t="s">
        <v>25</v>
      </c>
      <c r="O958" t="s">
        <v>33</v>
      </c>
    </row>
    <row r="959" spans="1:16" x14ac:dyDescent="0.25">
      <c r="A959" t="s">
        <v>2464</v>
      </c>
      <c r="B959" t="s">
        <v>2465</v>
      </c>
      <c r="C959" t="s">
        <v>2203</v>
      </c>
      <c r="E959" t="s">
        <v>20</v>
      </c>
      <c r="F959">
        <v>27</v>
      </c>
      <c r="G959" t="s">
        <v>38</v>
      </c>
      <c r="H959" t="s">
        <v>87</v>
      </c>
      <c r="I959" t="s">
        <v>49</v>
      </c>
      <c r="J959">
        <v>329.35</v>
      </c>
      <c r="K959">
        <v>1</v>
      </c>
      <c r="L959">
        <v>5</v>
      </c>
      <c r="M959" t="s">
        <v>64</v>
      </c>
      <c r="N959" t="s">
        <v>25</v>
      </c>
      <c r="O959" t="s">
        <v>82</v>
      </c>
      <c r="P959">
        <v>3</v>
      </c>
    </row>
    <row r="960" spans="1:16" x14ac:dyDescent="0.25">
      <c r="A960" t="s">
        <v>2466</v>
      </c>
      <c r="B960" t="s">
        <v>1342</v>
      </c>
      <c r="C960" t="s">
        <v>2467</v>
      </c>
      <c r="D960" t="s">
        <v>69</v>
      </c>
      <c r="E960" t="s">
        <v>20</v>
      </c>
      <c r="F960">
        <v>37</v>
      </c>
      <c r="G960" t="s">
        <v>21</v>
      </c>
      <c r="H960" t="s">
        <v>54</v>
      </c>
      <c r="I960" t="s">
        <v>55</v>
      </c>
      <c r="J960">
        <v>380.6</v>
      </c>
      <c r="K960">
        <v>-2</v>
      </c>
      <c r="L960">
        <v>10</v>
      </c>
      <c r="M960" t="s">
        <v>59</v>
      </c>
      <c r="N960" t="s">
        <v>41</v>
      </c>
      <c r="O960" t="s">
        <v>33</v>
      </c>
      <c r="P960">
        <v>2</v>
      </c>
    </row>
    <row r="961" spans="1:16" x14ac:dyDescent="0.25">
      <c r="A961" t="s">
        <v>2468</v>
      </c>
      <c r="B961" t="s">
        <v>133</v>
      </c>
      <c r="C961" t="s">
        <v>2469</v>
      </c>
      <c r="D961" t="s">
        <v>117</v>
      </c>
      <c r="E961" t="s">
        <v>46</v>
      </c>
      <c r="F961">
        <v>8</v>
      </c>
      <c r="G961" t="s">
        <v>47</v>
      </c>
      <c r="H961" t="s">
        <v>48</v>
      </c>
      <c r="I961" t="s">
        <v>49</v>
      </c>
      <c r="J961">
        <v>327.17</v>
      </c>
      <c r="K961">
        <v>3</v>
      </c>
      <c r="L961">
        <v>15</v>
      </c>
      <c r="M961" t="s">
        <v>59</v>
      </c>
      <c r="N961" t="s">
        <v>91</v>
      </c>
      <c r="O961" t="s">
        <v>26</v>
      </c>
    </row>
    <row r="962" spans="1:16" x14ac:dyDescent="0.25">
      <c r="A962" t="s">
        <v>2470</v>
      </c>
      <c r="B962" t="s">
        <v>434</v>
      </c>
      <c r="C962" t="s">
        <v>2471</v>
      </c>
      <c r="E962" t="s">
        <v>46</v>
      </c>
      <c r="F962">
        <v>8</v>
      </c>
      <c r="G962" t="s">
        <v>30</v>
      </c>
      <c r="H962" t="s">
        <v>54</v>
      </c>
      <c r="I962" t="s">
        <v>55</v>
      </c>
      <c r="J962">
        <v>250.67</v>
      </c>
      <c r="K962">
        <v>-2</v>
      </c>
      <c r="L962">
        <v>-10</v>
      </c>
      <c r="M962" t="s">
        <v>24</v>
      </c>
      <c r="N962" t="s">
        <v>41</v>
      </c>
      <c r="O962" t="s">
        <v>65</v>
      </c>
    </row>
    <row r="963" spans="1:16" x14ac:dyDescent="0.25">
      <c r="A963" t="s">
        <v>2472</v>
      </c>
      <c r="B963" t="s">
        <v>961</v>
      </c>
      <c r="C963" t="s">
        <v>2473</v>
      </c>
      <c r="E963" t="s">
        <v>46</v>
      </c>
      <c r="F963">
        <v>130</v>
      </c>
      <c r="G963" t="s">
        <v>70</v>
      </c>
      <c r="H963" t="s">
        <v>87</v>
      </c>
      <c r="I963" t="s">
        <v>49</v>
      </c>
      <c r="J963">
        <v>13.18</v>
      </c>
      <c r="K963">
        <v>9</v>
      </c>
      <c r="L963">
        <v>-10</v>
      </c>
      <c r="M963" t="s">
        <v>64</v>
      </c>
      <c r="N963" t="s">
        <v>91</v>
      </c>
      <c r="O963" t="s">
        <v>33</v>
      </c>
      <c r="P963">
        <v>4</v>
      </c>
    </row>
    <row r="964" spans="1:16" x14ac:dyDescent="0.25">
      <c r="A964" t="s">
        <v>2474</v>
      </c>
      <c r="B964" t="s">
        <v>2341</v>
      </c>
      <c r="C964" t="s">
        <v>2475</v>
      </c>
      <c r="D964" t="s">
        <v>101</v>
      </c>
      <c r="E964" t="s">
        <v>46</v>
      </c>
      <c r="F964">
        <v>8</v>
      </c>
      <c r="G964" t="s">
        <v>70</v>
      </c>
      <c r="H964" t="s">
        <v>48</v>
      </c>
      <c r="I964" t="s">
        <v>49</v>
      </c>
      <c r="J964">
        <v>320.64999999999998</v>
      </c>
      <c r="K964">
        <v>-2</v>
      </c>
      <c r="L964">
        <v>120</v>
      </c>
      <c r="M964" t="s">
        <v>59</v>
      </c>
      <c r="N964" t="s">
        <v>41</v>
      </c>
      <c r="O964" t="s">
        <v>26</v>
      </c>
      <c r="P964">
        <v>3</v>
      </c>
    </row>
    <row r="965" spans="1:16" x14ac:dyDescent="0.25">
      <c r="A965" t="s">
        <v>2476</v>
      </c>
      <c r="B965" t="s">
        <v>1324</v>
      </c>
      <c r="C965" t="s">
        <v>2477</v>
      </c>
      <c r="D965" t="s">
        <v>69</v>
      </c>
      <c r="E965" t="s">
        <v>20</v>
      </c>
      <c r="F965">
        <v>8</v>
      </c>
      <c r="G965" t="s">
        <v>38</v>
      </c>
      <c r="H965" t="s">
        <v>39</v>
      </c>
      <c r="I965" t="s">
        <v>40</v>
      </c>
      <c r="J965">
        <v>254.03</v>
      </c>
      <c r="K965">
        <v>-2</v>
      </c>
      <c r="L965">
        <v>10</v>
      </c>
      <c r="M965" t="s">
        <v>77</v>
      </c>
      <c r="N965" t="s">
        <v>81</v>
      </c>
      <c r="O965" t="s">
        <v>65</v>
      </c>
      <c r="P965">
        <v>5</v>
      </c>
    </row>
    <row r="966" spans="1:16" x14ac:dyDescent="0.25">
      <c r="A966" t="s">
        <v>2478</v>
      </c>
      <c r="B966" t="s">
        <v>2479</v>
      </c>
      <c r="C966" t="s">
        <v>2480</v>
      </c>
      <c r="D966" t="s">
        <v>37</v>
      </c>
      <c r="E966" t="s">
        <v>46</v>
      </c>
      <c r="F966">
        <v>8</v>
      </c>
      <c r="G966" t="s">
        <v>21</v>
      </c>
      <c r="H966" t="s">
        <v>54</v>
      </c>
      <c r="I966" t="s">
        <v>55</v>
      </c>
      <c r="J966">
        <v>298.57</v>
      </c>
      <c r="K966">
        <v>1</v>
      </c>
      <c r="L966">
        <v>15</v>
      </c>
      <c r="M966" t="s">
        <v>64</v>
      </c>
      <c r="N966" t="s">
        <v>25</v>
      </c>
      <c r="O966" t="s">
        <v>82</v>
      </c>
    </row>
    <row r="967" spans="1:16" x14ac:dyDescent="0.25">
      <c r="A967" t="s">
        <v>2481</v>
      </c>
      <c r="B967" t="s">
        <v>2482</v>
      </c>
      <c r="C967" t="s">
        <v>2483</v>
      </c>
      <c r="D967" t="s">
        <v>45</v>
      </c>
      <c r="E967" t="s">
        <v>20</v>
      </c>
      <c r="F967">
        <v>47</v>
      </c>
      <c r="G967" t="s">
        <v>86</v>
      </c>
      <c r="H967" t="s">
        <v>31</v>
      </c>
      <c r="I967" t="s">
        <v>32</v>
      </c>
      <c r="J967">
        <v>192.44</v>
      </c>
      <c r="K967">
        <v>-2</v>
      </c>
      <c r="L967">
        <v>120</v>
      </c>
      <c r="M967" t="s">
        <v>24</v>
      </c>
      <c r="N967" t="s">
        <v>25</v>
      </c>
      <c r="O967" t="s">
        <v>82</v>
      </c>
    </row>
    <row r="968" spans="1:16" x14ac:dyDescent="0.25">
      <c r="A968" t="s">
        <v>2484</v>
      </c>
      <c r="B968" t="s">
        <v>223</v>
      </c>
      <c r="C968" t="s">
        <v>2485</v>
      </c>
      <c r="D968" t="s">
        <v>101</v>
      </c>
      <c r="E968" t="s">
        <v>46</v>
      </c>
      <c r="F968">
        <v>31</v>
      </c>
      <c r="G968" t="s">
        <v>70</v>
      </c>
      <c r="H968" t="s">
        <v>54</v>
      </c>
      <c r="I968" t="s">
        <v>55</v>
      </c>
      <c r="J968">
        <v>64.12</v>
      </c>
      <c r="K968">
        <v>4</v>
      </c>
      <c r="L968">
        <v>10</v>
      </c>
      <c r="N968" t="s">
        <v>81</v>
      </c>
      <c r="O968" t="s">
        <v>82</v>
      </c>
      <c r="P968">
        <v>5</v>
      </c>
    </row>
    <row r="969" spans="1:16" x14ac:dyDescent="0.25">
      <c r="A969" t="s">
        <v>2486</v>
      </c>
      <c r="B969" t="s">
        <v>951</v>
      </c>
      <c r="C969" t="s">
        <v>2487</v>
      </c>
      <c r="E969" t="s">
        <v>46</v>
      </c>
      <c r="F969">
        <v>26</v>
      </c>
      <c r="G969" t="s">
        <v>30</v>
      </c>
      <c r="H969" t="s">
        <v>39</v>
      </c>
      <c r="I969" t="s">
        <v>40</v>
      </c>
      <c r="J969">
        <v>247</v>
      </c>
      <c r="K969">
        <v>8</v>
      </c>
      <c r="L969">
        <v>5</v>
      </c>
      <c r="N969" t="s">
        <v>81</v>
      </c>
      <c r="O969" t="s">
        <v>33</v>
      </c>
      <c r="P969">
        <v>1</v>
      </c>
    </row>
    <row r="970" spans="1:16" x14ac:dyDescent="0.25">
      <c r="A970" t="s">
        <v>2488</v>
      </c>
      <c r="B970" t="s">
        <v>2489</v>
      </c>
      <c r="C970" t="s">
        <v>2490</v>
      </c>
      <c r="E970" t="s">
        <v>46</v>
      </c>
      <c r="F970">
        <v>130</v>
      </c>
      <c r="G970" t="s">
        <v>38</v>
      </c>
      <c r="H970" t="s">
        <v>39</v>
      </c>
      <c r="I970" t="s">
        <v>40</v>
      </c>
      <c r="J970">
        <v>277.22000000000003</v>
      </c>
      <c r="K970">
        <v>5</v>
      </c>
      <c r="L970">
        <v>10</v>
      </c>
      <c r="N970" t="s">
        <v>41</v>
      </c>
      <c r="O970" t="s">
        <v>33</v>
      </c>
      <c r="P970">
        <v>1</v>
      </c>
    </row>
    <row r="971" spans="1:16" x14ac:dyDescent="0.25">
      <c r="A971" t="s">
        <v>2491</v>
      </c>
      <c r="B971" t="s">
        <v>2492</v>
      </c>
      <c r="C971" t="s">
        <v>2493</v>
      </c>
      <c r="D971" t="s">
        <v>117</v>
      </c>
      <c r="E971" t="s">
        <v>46</v>
      </c>
      <c r="F971">
        <v>8</v>
      </c>
      <c r="G971" t="s">
        <v>70</v>
      </c>
      <c r="H971" t="s">
        <v>54</v>
      </c>
      <c r="I971" t="s">
        <v>55</v>
      </c>
      <c r="J971">
        <v>126.77</v>
      </c>
      <c r="K971">
        <v>-2</v>
      </c>
      <c r="L971">
        <v>10</v>
      </c>
      <c r="M971" t="s">
        <v>77</v>
      </c>
      <c r="N971" t="s">
        <v>81</v>
      </c>
      <c r="O971" t="s">
        <v>65</v>
      </c>
      <c r="P971">
        <v>1</v>
      </c>
    </row>
    <row r="972" spans="1:16" x14ac:dyDescent="0.25">
      <c r="A972" t="s">
        <v>2494</v>
      </c>
      <c r="B972" t="s">
        <v>303</v>
      </c>
      <c r="C972" t="s">
        <v>2495</v>
      </c>
      <c r="E972" t="s">
        <v>20</v>
      </c>
      <c r="F972">
        <v>51</v>
      </c>
      <c r="G972" t="s">
        <v>53</v>
      </c>
      <c r="H972" t="s">
        <v>54</v>
      </c>
      <c r="I972" t="s">
        <v>55</v>
      </c>
      <c r="J972">
        <v>26.66</v>
      </c>
      <c r="K972">
        <v>9</v>
      </c>
      <c r="L972">
        <v>-10</v>
      </c>
      <c r="N972" t="s">
        <v>25</v>
      </c>
      <c r="O972" t="s">
        <v>26</v>
      </c>
      <c r="P972">
        <v>2</v>
      </c>
    </row>
    <row r="973" spans="1:16" x14ac:dyDescent="0.25">
      <c r="A973" t="s">
        <v>2496</v>
      </c>
      <c r="B973" t="s">
        <v>2497</v>
      </c>
      <c r="C973" t="s">
        <v>2498</v>
      </c>
      <c r="D973" t="s">
        <v>45</v>
      </c>
      <c r="E973" t="s">
        <v>20</v>
      </c>
      <c r="F973">
        <v>8</v>
      </c>
      <c r="G973" t="s">
        <v>70</v>
      </c>
      <c r="H973" t="s">
        <v>54</v>
      </c>
      <c r="I973" t="s">
        <v>55</v>
      </c>
      <c r="J973">
        <v>493.54</v>
      </c>
      <c r="K973">
        <v>-2</v>
      </c>
      <c r="L973">
        <v>10</v>
      </c>
      <c r="M973" t="s">
        <v>24</v>
      </c>
      <c r="N973" t="s">
        <v>91</v>
      </c>
      <c r="O973" t="s">
        <v>33</v>
      </c>
      <c r="P973">
        <v>1</v>
      </c>
    </row>
    <row r="974" spans="1:16" x14ac:dyDescent="0.25">
      <c r="A974" t="s">
        <v>2499</v>
      </c>
      <c r="B974" t="s">
        <v>1398</v>
      </c>
      <c r="C974" t="s">
        <v>2500</v>
      </c>
      <c r="D974" t="s">
        <v>69</v>
      </c>
      <c r="E974" t="s">
        <v>46</v>
      </c>
      <c r="F974">
        <v>130</v>
      </c>
      <c r="G974" t="s">
        <v>70</v>
      </c>
      <c r="H974" t="s">
        <v>87</v>
      </c>
      <c r="I974" t="s">
        <v>49</v>
      </c>
      <c r="J974">
        <v>311.13</v>
      </c>
      <c r="K974">
        <v>9</v>
      </c>
      <c r="L974">
        <v>0</v>
      </c>
      <c r="N974" t="s">
        <v>25</v>
      </c>
      <c r="O974" t="s">
        <v>33</v>
      </c>
      <c r="P974">
        <v>5</v>
      </c>
    </row>
    <row r="975" spans="1:16" x14ac:dyDescent="0.25">
      <c r="A975" t="s">
        <v>2501</v>
      </c>
      <c r="B975" t="s">
        <v>1349</v>
      </c>
      <c r="C975" t="s">
        <v>2502</v>
      </c>
      <c r="D975" t="s">
        <v>101</v>
      </c>
      <c r="E975" t="s">
        <v>46</v>
      </c>
      <c r="F975">
        <v>63</v>
      </c>
      <c r="G975" t="s">
        <v>70</v>
      </c>
      <c r="H975" t="s">
        <v>87</v>
      </c>
      <c r="I975" t="s">
        <v>49</v>
      </c>
      <c r="J975">
        <v>280.83</v>
      </c>
      <c r="K975">
        <v>-2</v>
      </c>
      <c r="L975">
        <v>-10</v>
      </c>
      <c r="M975" t="s">
        <v>77</v>
      </c>
      <c r="N975" t="s">
        <v>81</v>
      </c>
      <c r="O975" t="s">
        <v>33</v>
      </c>
      <c r="P975">
        <v>3</v>
      </c>
    </row>
    <row r="976" spans="1:16" x14ac:dyDescent="0.25">
      <c r="A976" t="s">
        <v>2503</v>
      </c>
      <c r="B976" t="s">
        <v>2504</v>
      </c>
      <c r="C976" t="s">
        <v>2505</v>
      </c>
      <c r="E976" t="s">
        <v>20</v>
      </c>
      <c r="F976">
        <v>31</v>
      </c>
      <c r="G976" t="s">
        <v>30</v>
      </c>
      <c r="H976" t="s">
        <v>31</v>
      </c>
      <c r="I976" t="s">
        <v>32</v>
      </c>
      <c r="J976">
        <v>210.05</v>
      </c>
      <c r="K976">
        <v>-2</v>
      </c>
      <c r="L976">
        <v>120</v>
      </c>
      <c r="N976" t="s">
        <v>81</v>
      </c>
      <c r="O976" t="s">
        <v>82</v>
      </c>
      <c r="P976">
        <v>3</v>
      </c>
    </row>
    <row r="977" spans="1:16" x14ac:dyDescent="0.25">
      <c r="A977" t="s">
        <v>2506</v>
      </c>
      <c r="B977" t="s">
        <v>1529</v>
      </c>
      <c r="C977" t="s">
        <v>2507</v>
      </c>
      <c r="D977" t="s">
        <v>117</v>
      </c>
      <c r="E977" t="s">
        <v>46</v>
      </c>
      <c r="F977">
        <v>130</v>
      </c>
      <c r="G977" t="s">
        <v>53</v>
      </c>
      <c r="H977" t="s">
        <v>39</v>
      </c>
      <c r="I977" t="s">
        <v>40</v>
      </c>
      <c r="J977">
        <v>231.23</v>
      </c>
      <c r="K977">
        <v>6</v>
      </c>
      <c r="L977">
        <v>15</v>
      </c>
      <c r="M977" t="s">
        <v>24</v>
      </c>
      <c r="N977" t="s">
        <v>41</v>
      </c>
      <c r="O977" t="s">
        <v>65</v>
      </c>
      <c r="P977">
        <v>4</v>
      </c>
    </row>
    <row r="978" spans="1:16" x14ac:dyDescent="0.25">
      <c r="A978" t="s">
        <v>2508</v>
      </c>
      <c r="B978" t="s">
        <v>2012</v>
      </c>
      <c r="C978" t="s">
        <v>2509</v>
      </c>
      <c r="E978" t="s">
        <v>46</v>
      </c>
      <c r="F978">
        <v>130</v>
      </c>
      <c r="G978" t="s">
        <v>86</v>
      </c>
      <c r="H978" t="s">
        <v>54</v>
      </c>
      <c r="I978" t="s">
        <v>55</v>
      </c>
      <c r="J978">
        <v>91.98</v>
      </c>
      <c r="K978">
        <v>1</v>
      </c>
      <c r="L978">
        <v>5</v>
      </c>
      <c r="M978" t="s">
        <v>59</v>
      </c>
      <c r="N978" t="s">
        <v>91</v>
      </c>
      <c r="O978" t="s">
        <v>65</v>
      </c>
      <c r="P978">
        <v>3</v>
      </c>
    </row>
    <row r="979" spans="1:16" x14ac:dyDescent="0.25">
      <c r="A979" t="s">
        <v>2510</v>
      </c>
      <c r="B979" t="s">
        <v>719</v>
      </c>
      <c r="C979" t="s">
        <v>2511</v>
      </c>
      <c r="D979" t="s">
        <v>45</v>
      </c>
      <c r="E979" t="s">
        <v>46</v>
      </c>
      <c r="F979">
        <v>65</v>
      </c>
      <c r="G979" t="s">
        <v>70</v>
      </c>
      <c r="H979" t="s">
        <v>121</v>
      </c>
      <c r="I979" t="s">
        <v>122</v>
      </c>
      <c r="J979">
        <v>80.73</v>
      </c>
      <c r="K979">
        <v>-2</v>
      </c>
      <c r="L979">
        <v>10</v>
      </c>
      <c r="M979" t="s">
        <v>64</v>
      </c>
      <c r="N979" t="s">
        <v>25</v>
      </c>
      <c r="O979" t="s">
        <v>33</v>
      </c>
      <c r="P979">
        <v>3</v>
      </c>
    </row>
    <row r="980" spans="1:16" x14ac:dyDescent="0.25">
      <c r="A980" t="s">
        <v>2512</v>
      </c>
      <c r="B980" t="s">
        <v>1972</v>
      </c>
      <c r="C980" t="s">
        <v>2513</v>
      </c>
      <c r="D980" t="s">
        <v>117</v>
      </c>
      <c r="E980" t="s">
        <v>20</v>
      </c>
      <c r="F980">
        <v>130</v>
      </c>
      <c r="G980" t="s">
        <v>47</v>
      </c>
      <c r="H980" t="s">
        <v>54</v>
      </c>
      <c r="I980" t="s">
        <v>55</v>
      </c>
      <c r="J980">
        <v>232.36</v>
      </c>
      <c r="K980">
        <v>6</v>
      </c>
      <c r="L980">
        <v>10</v>
      </c>
      <c r="M980" t="s">
        <v>24</v>
      </c>
      <c r="N980" t="s">
        <v>81</v>
      </c>
      <c r="O980" t="s">
        <v>82</v>
      </c>
      <c r="P980">
        <v>5</v>
      </c>
    </row>
    <row r="981" spans="1:16" x14ac:dyDescent="0.25">
      <c r="A981" t="s">
        <v>2514</v>
      </c>
      <c r="B981" t="s">
        <v>565</v>
      </c>
      <c r="C981" t="s">
        <v>2515</v>
      </c>
      <c r="D981" t="s">
        <v>69</v>
      </c>
      <c r="E981" t="s">
        <v>20</v>
      </c>
      <c r="F981">
        <v>24</v>
      </c>
      <c r="G981" t="s">
        <v>30</v>
      </c>
      <c r="H981" t="s">
        <v>22</v>
      </c>
      <c r="I981" t="s">
        <v>23</v>
      </c>
      <c r="J981">
        <v>140.35</v>
      </c>
      <c r="K981">
        <v>-2</v>
      </c>
      <c r="L981">
        <v>120</v>
      </c>
      <c r="M981" t="s">
        <v>64</v>
      </c>
      <c r="N981" t="s">
        <v>41</v>
      </c>
      <c r="O981" t="s">
        <v>33</v>
      </c>
      <c r="P981">
        <v>2</v>
      </c>
    </row>
    <row r="982" spans="1:16" x14ac:dyDescent="0.25">
      <c r="A982" t="s">
        <v>2516</v>
      </c>
      <c r="B982" t="s">
        <v>625</v>
      </c>
      <c r="C982" t="s">
        <v>2517</v>
      </c>
      <c r="E982" t="s">
        <v>20</v>
      </c>
      <c r="F982">
        <v>42</v>
      </c>
      <c r="G982" t="s">
        <v>70</v>
      </c>
      <c r="H982" t="s">
        <v>39</v>
      </c>
      <c r="I982" t="s">
        <v>40</v>
      </c>
      <c r="J982">
        <v>450.02</v>
      </c>
      <c r="K982">
        <v>1</v>
      </c>
      <c r="L982">
        <v>15</v>
      </c>
      <c r="M982" t="s">
        <v>59</v>
      </c>
      <c r="N982" t="s">
        <v>91</v>
      </c>
      <c r="O982" t="s">
        <v>65</v>
      </c>
      <c r="P982">
        <v>4</v>
      </c>
    </row>
    <row r="983" spans="1:16" x14ac:dyDescent="0.25">
      <c r="A983" t="s">
        <v>2518</v>
      </c>
      <c r="B983" t="s">
        <v>831</v>
      </c>
      <c r="C983" t="s">
        <v>2519</v>
      </c>
      <c r="D983" t="s">
        <v>19</v>
      </c>
      <c r="E983" t="s">
        <v>20</v>
      </c>
      <c r="F983">
        <v>130</v>
      </c>
      <c r="G983" t="s">
        <v>30</v>
      </c>
      <c r="H983" t="s">
        <v>121</v>
      </c>
      <c r="I983" t="s">
        <v>122</v>
      </c>
      <c r="J983">
        <v>301.79000000000002</v>
      </c>
      <c r="K983">
        <v>2</v>
      </c>
      <c r="L983">
        <v>5</v>
      </c>
      <c r="N983" t="s">
        <v>25</v>
      </c>
      <c r="O983" t="s">
        <v>33</v>
      </c>
      <c r="P983">
        <v>2</v>
      </c>
    </row>
    <row r="984" spans="1:16" x14ac:dyDescent="0.25">
      <c r="A984" t="s">
        <v>2520</v>
      </c>
      <c r="B984" t="s">
        <v>841</v>
      </c>
      <c r="C984" t="s">
        <v>2521</v>
      </c>
      <c r="D984" t="s">
        <v>63</v>
      </c>
      <c r="E984" t="s">
        <v>46</v>
      </c>
      <c r="F984">
        <v>35</v>
      </c>
      <c r="G984" t="s">
        <v>21</v>
      </c>
      <c r="H984" t="s">
        <v>22</v>
      </c>
      <c r="I984" t="s">
        <v>23</v>
      </c>
      <c r="J984">
        <v>109.08</v>
      </c>
      <c r="K984">
        <v>-2</v>
      </c>
      <c r="L984">
        <v>10</v>
      </c>
      <c r="M984" t="s">
        <v>24</v>
      </c>
      <c r="N984" t="s">
        <v>25</v>
      </c>
      <c r="O984" t="s">
        <v>26</v>
      </c>
      <c r="P984">
        <v>2</v>
      </c>
    </row>
    <row r="985" spans="1:16" x14ac:dyDescent="0.25">
      <c r="A985" t="s">
        <v>2522</v>
      </c>
      <c r="B985" t="s">
        <v>1280</v>
      </c>
      <c r="C985" t="s">
        <v>2523</v>
      </c>
      <c r="D985" t="s">
        <v>19</v>
      </c>
      <c r="E985" t="s">
        <v>46</v>
      </c>
      <c r="F985">
        <v>8</v>
      </c>
      <c r="G985" t="s">
        <v>47</v>
      </c>
      <c r="H985" t="s">
        <v>48</v>
      </c>
      <c r="I985" t="s">
        <v>49</v>
      </c>
      <c r="J985">
        <v>415.23</v>
      </c>
      <c r="K985">
        <v>10</v>
      </c>
      <c r="L985">
        <v>120</v>
      </c>
      <c r="M985" t="s">
        <v>24</v>
      </c>
      <c r="N985" t="s">
        <v>91</v>
      </c>
      <c r="O985" t="s">
        <v>65</v>
      </c>
    </row>
    <row r="986" spans="1:16" x14ac:dyDescent="0.25">
      <c r="A986" t="s">
        <v>2524</v>
      </c>
      <c r="B986" t="s">
        <v>674</v>
      </c>
      <c r="C986" t="s">
        <v>2525</v>
      </c>
      <c r="D986" t="s">
        <v>117</v>
      </c>
      <c r="E986" t="s">
        <v>46</v>
      </c>
      <c r="F986">
        <v>8</v>
      </c>
      <c r="G986" t="s">
        <v>53</v>
      </c>
      <c r="H986" t="s">
        <v>39</v>
      </c>
      <c r="I986" t="s">
        <v>40</v>
      </c>
      <c r="J986">
        <v>18.010000000000002</v>
      </c>
      <c r="K986">
        <v>-2</v>
      </c>
      <c r="L986">
        <v>120</v>
      </c>
      <c r="N986" t="s">
        <v>81</v>
      </c>
      <c r="O986" t="s">
        <v>33</v>
      </c>
      <c r="P986">
        <v>2</v>
      </c>
    </row>
    <row r="987" spans="1:16" x14ac:dyDescent="0.25">
      <c r="A987" t="s">
        <v>2526</v>
      </c>
      <c r="B987" t="s">
        <v>2527</v>
      </c>
      <c r="C987" t="s">
        <v>2528</v>
      </c>
      <c r="D987" t="s">
        <v>69</v>
      </c>
      <c r="E987" t="s">
        <v>46</v>
      </c>
      <c r="F987">
        <v>62</v>
      </c>
      <c r="G987" t="s">
        <v>53</v>
      </c>
      <c r="H987" t="s">
        <v>87</v>
      </c>
      <c r="I987" t="s">
        <v>49</v>
      </c>
      <c r="J987">
        <v>308.10000000000002</v>
      </c>
      <c r="K987">
        <v>-2</v>
      </c>
      <c r="L987">
        <v>0</v>
      </c>
      <c r="M987" t="s">
        <v>64</v>
      </c>
      <c r="N987" t="s">
        <v>81</v>
      </c>
      <c r="O987" t="s">
        <v>65</v>
      </c>
      <c r="P987">
        <v>1</v>
      </c>
    </row>
    <row r="988" spans="1:16" x14ac:dyDescent="0.25">
      <c r="A988" t="s">
        <v>2529</v>
      </c>
      <c r="B988" t="s">
        <v>2530</v>
      </c>
      <c r="C988" t="s">
        <v>2531</v>
      </c>
      <c r="D988" t="s">
        <v>101</v>
      </c>
      <c r="E988" t="s">
        <v>46</v>
      </c>
      <c r="F988">
        <v>58</v>
      </c>
      <c r="G988" t="s">
        <v>38</v>
      </c>
      <c r="H988" t="s">
        <v>22</v>
      </c>
      <c r="I988" t="s">
        <v>23</v>
      </c>
      <c r="J988">
        <v>188.6</v>
      </c>
      <c r="K988">
        <v>-2</v>
      </c>
      <c r="L988">
        <v>15</v>
      </c>
      <c r="N988" t="s">
        <v>25</v>
      </c>
      <c r="O988" t="s">
        <v>33</v>
      </c>
    </row>
    <row r="989" spans="1:16" x14ac:dyDescent="0.25">
      <c r="A989" t="s">
        <v>2532</v>
      </c>
      <c r="B989" t="s">
        <v>2533</v>
      </c>
      <c r="C989" t="s">
        <v>2534</v>
      </c>
      <c r="E989" t="s">
        <v>46</v>
      </c>
      <c r="F989">
        <v>130</v>
      </c>
      <c r="G989" t="s">
        <v>21</v>
      </c>
      <c r="H989" t="s">
        <v>48</v>
      </c>
      <c r="I989" t="s">
        <v>49</v>
      </c>
      <c r="J989">
        <v>151.21</v>
      </c>
      <c r="K989">
        <v>-2</v>
      </c>
      <c r="L989">
        <v>120</v>
      </c>
      <c r="M989" t="s">
        <v>24</v>
      </c>
      <c r="N989" t="s">
        <v>91</v>
      </c>
      <c r="O989" t="s">
        <v>33</v>
      </c>
    </row>
    <row r="990" spans="1:16" x14ac:dyDescent="0.25">
      <c r="A990" t="s">
        <v>2535</v>
      </c>
      <c r="B990" t="s">
        <v>703</v>
      </c>
      <c r="C990" t="s">
        <v>2536</v>
      </c>
      <c r="D990" t="s">
        <v>117</v>
      </c>
      <c r="E990" t="s">
        <v>20</v>
      </c>
      <c r="F990">
        <v>8</v>
      </c>
      <c r="G990" t="s">
        <v>53</v>
      </c>
      <c r="H990" t="s">
        <v>54</v>
      </c>
      <c r="I990" t="s">
        <v>55</v>
      </c>
      <c r="J990">
        <v>314.22000000000003</v>
      </c>
      <c r="K990">
        <v>-2</v>
      </c>
      <c r="L990">
        <v>15</v>
      </c>
      <c r="M990" t="s">
        <v>64</v>
      </c>
      <c r="N990" t="s">
        <v>91</v>
      </c>
      <c r="O990" t="s">
        <v>82</v>
      </c>
      <c r="P990">
        <v>3</v>
      </c>
    </row>
    <row r="991" spans="1:16" x14ac:dyDescent="0.25">
      <c r="A991" t="s">
        <v>2537</v>
      </c>
      <c r="B991" t="s">
        <v>51</v>
      </c>
      <c r="C991" t="s">
        <v>2538</v>
      </c>
      <c r="D991" t="s">
        <v>45</v>
      </c>
      <c r="E991" t="s">
        <v>20</v>
      </c>
      <c r="F991">
        <v>130</v>
      </c>
      <c r="G991" t="s">
        <v>21</v>
      </c>
      <c r="H991" t="s">
        <v>121</v>
      </c>
      <c r="I991" t="s">
        <v>122</v>
      </c>
      <c r="J991">
        <v>379.51</v>
      </c>
      <c r="K991">
        <v>-2</v>
      </c>
      <c r="L991">
        <v>5</v>
      </c>
      <c r="N991" t="s">
        <v>91</v>
      </c>
      <c r="O991" t="s">
        <v>33</v>
      </c>
      <c r="P991">
        <v>1</v>
      </c>
    </row>
    <row r="992" spans="1:16" x14ac:dyDescent="0.25">
      <c r="A992" t="s">
        <v>2539</v>
      </c>
      <c r="B992" t="s">
        <v>2274</v>
      </c>
      <c r="C992" t="s">
        <v>2540</v>
      </c>
      <c r="D992" t="s">
        <v>117</v>
      </c>
      <c r="E992" t="s">
        <v>20</v>
      </c>
      <c r="F992">
        <v>8</v>
      </c>
      <c r="G992" t="s">
        <v>47</v>
      </c>
      <c r="H992" t="s">
        <v>31</v>
      </c>
      <c r="I992" t="s">
        <v>32</v>
      </c>
      <c r="J992">
        <v>361.43</v>
      </c>
      <c r="K992">
        <v>-2</v>
      </c>
      <c r="L992">
        <v>10</v>
      </c>
      <c r="N992" t="s">
        <v>25</v>
      </c>
      <c r="O992" t="s">
        <v>65</v>
      </c>
      <c r="P992">
        <v>1</v>
      </c>
    </row>
    <row r="993" spans="1:16" x14ac:dyDescent="0.25">
      <c r="A993" t="s">
        <v>2541</v>
      </c>
      <c r="B993" t="s">
        <v>406</v>
      </c>
      <c r="C993" t="s">
        <v>2542</v>
      </c>
      <c r="D993" t="s">
        <v>19</v>
      </c>
      <c r="E993" t="s">
        <v>46</v>
      </c>
      <c r="F993">
        <v>130</v>
      </c>
      <c r="G993" t="s">
        <v>70</v>
      </c>
      <c r="H993" t="s">
        <v>54</v>
      </c>
      <c r="I993" t="s">
        <v>55</v>
      </c>
      <c r="J993">
        <v>217.9</v>
      </c>
      <c r="K993">
        <v>6</v>
      </c>
      <c r="L993">
        <v>10</v>
      </c>
      <c r="M993" t="s">
        <v>24</v>
      </c>
      <c r="N993" t="s">
        <v>41</v>
      </c>
      <c r="O993" t="s">
        <v>65</v>
      </c>
      <c r="P993">
        <v>3</v>
      </c>
    </row>
    <row r="994" spans="1:16" x14ac:dyDescent="0.25">
      <c r="A994" t="s">
        <v>2543</v>
      </c>
      <c r="B994" t="s">
        <v>2197</v>
      </c>
      <c r="C994" t="s">
        <v>654</v>
      </c>
      <c r="E994" t="s">
        <v>46</v>
      </c>
      <c r="F994">
        <v>8</v>
      </c>
      <c r="G994" t="s">
        <v>47</v>
      </c>
      <c r="H994" t="s">
        <v>31</v>
      </c>
      <c r="I994" t="s">
        <v>32</v>
      </c>
      <c r="J994">
        <v>55.22</v>
      </c>
      <c r="K994">
        <v>5</v>
      </c>
      <c r="L994">
        <v>0</v>
      </c>
      <c r="M994" t="s">
        <v>59</v>
      </c>
      <c r="N994" t="s">
        <v>81</v>
      </c>
      <c r="O994" t="s">
        <v>65</v>
      </c>
    </row>
    <row r="995" spans="1:16" x14ac:dyDescent="0.25">
      <c r="A995" t="s">
        <v>2544</v>
      </c>
      <c r="B995" t="s">
        <v>1117</v>
      </c>
      <c r="C995" t="s">
        <v>1924</v>
      </c>
      <c r="D995" t="s">
        <v>101</v>
      </c>
      <c r="E995" t="s">
        <v>46</v>
      </c>
      <c r="F995">
        <v>130</v>
      </c>
      <c r="G995" t="s">
        <v>86</v>
      </c>
      <c r="H995" t="s">
        <v>22</v>
      </c>
      <c r="I995" t="s">
        <v>23</v>
      </c>
      <c r="J995">
        <v>25.5</v>
      </c>
      <c r="K995">
        <v>3</v>
      </c>
      <c r="L995">
        <v>15</v>
      </c>
      <c r="N995" t="s">
        <v>81</v>
      </c>
      <c r="O995" t="s">
        <v>82</v>
      </c>
      <c r="P995">
        <v>1</v>
      </c>
    </row>
    <row r="996" spans="1:16" x14ac:dyDescent="0.25">
      <c r="A996" t="s">
        <v>2545</v>
      </c>
      <c r="B996" t="s">
        <v>625</v>
      </c>
      <c r="C996" t="s">
        <v>2546</v>
      </c>
      <c r="D996" t="s">
        <v>69</v>
      </c>
      <c r="E996" t="s">
        <v>46</v>
      </c>
      <c r="F996">
        <v>8</v>
      </c>
      <c r="G996" t="s">
        <v>86</v>
      </c>
      <c r="H996" t="s">
        <v>39</v>
      </c>
      <c r="I996" t="s">
        <v>40</v>
      </c>
      <c r="J996">
        <v>394.43</v>
      </c>
      <c r="K996">
        <v>6</v>
      </c>
      <c r="L996">
        <v>5</v>
      </c>
      <c r="M996" t="s">
        <v>64</v>
      </c>
      <c r="N996" t="s">
        <v>81</v>
      </c>
      <c r="O996" t="s">
        <v>26</v>
      </c>
      <c r="P996">
        <v>2</v>
      </c>
    </row>
    <row r="997" spans="1:16" x14ac:dyDescent="0.25">
      <c r="A997" t="s">
        <v>2547</v>
      </c>
      <c r="B997" t="s">
        <v>1600</v>
      </c>
      <c r="C997" t="s">
        <v>2548</v>
      </c>
      <c r="D997" t="s">
        <v>63</v>
      </c>
      <c r="E997" t="s">
        <v>20</v>
      </c>
      <c r="F997">
        <v>130</v>
      </c>
      <c r="G997" t="s">
        <v>86</v>
      </c>
      <c r="H997" t="s">
        <v>54</v>
      </c>
      <c r="I997" t="s">
        <v>55</v>
      </c>
      <c r="J997">
        <v>142.35</v>
      </c>
      <c r="K997">
        <v>-2</v>
      </c>
      <c r="L997">
        <v>0</v>
      </c>
      <c r="M997" t="s">
        <v>24</v>
      </c>
      <c r="N997" t="s">
        <v>41</v>
      </c>
      <c r="O997" t="s">
        <v>82</v>
      </c>
      <c r="P997">
        <v>1</v>
      </c>
    </row>
    <row r="998" spans="1:16" x14ac:dyDescent="0.25">
      <c r="A998" t="s">
        <v>2549</v>
      </c>
      <c r="B998" t="s">
        <v>631</v>
      </c>
      <c r="C998" t="s">
        <v>2550</v>
      </c>
      <c r="D998" t="s">
        <v>101</v>
      </c>
      <c r="E998" t="s">
        <v>20</v>
      </c>
      <c r="F998">
        <v>8</v>
      </c>
      <c r="G998" t="s">
        <v>86</v>
      </c>
      <c r="H998" t="s">
        <v>121</v>
      </c>
      <c r="I998" t="s">
        <v>122</v>
      </c>
      <c r="J998">
        <v>379.82</v>
      </c>
      <c r="K998">
        <v>-2</v>
      </c>
      <c r="L998">
        <v>0</v>
      </c>
      <c r="M998" t="s">
        <v>59</v>
      </c>
      <c r="N998" t="s">
        <v>41</v>
      </c>
      <c r="O998" t="s">
        <v>82</v>
      </c>
      <c r="P998">
        <v>5</v>
      </c>
    </row>
    <row r="999" spans="1:16" x14ac:dyDescent="0.25">
      <c r="A999" t="s">
        <v>2551</v>
      </c>
      <c r="B999" t="s">
        <v>372</v>
      </c>
      <c r="C999" t="s">
        <v>2552</v>
      </c>
      <c r="D999" t="s">
        <v>37</v>
      </c>
      <c r="E999" t="s">
        <v>20</v>
      </c>
      <c r="F999">
        <v>130</v>
      </c>
      <c r="G999" t="s">
        <v>30</v>
      </c>
      <c r="H999" t="s">
        <v>39</v>
      </c>
      <c r="I999" t="s">
        <v>40</v>
      </c>
      <c r="J999">
        <v>138.75</v>
      </c>
      <c r="K999">
        <v>8</v>
      </c>
      <c r="L999">
        <v>15</v>
      </c>
      <c r="M999" t="s">
        <v>24</v>
      </c>
      <c r="N999" t="s">
        <v>25</v>
      </c>
      <c r="O999" t="s">
        <v>82</v>
      </c>
      <c r="P999">
        <v>5</v>
      </c>
    </row>
    <row r="1000" spans="1:16" x14ac:dyDescent="0.25">
      <c r="A1000" t="s">
        <v>343</v>
      </c>
      <c r="B1000" t="s">
        <v>1486</v>
      </c>
      <c r="C1000" t="s">
        <v>2553</v>
      </c>
      <c r="E1000" t="s">
        <v>20</v>
      </c>
      <c r="F1000">
        <v>36</v>
      </c>
      <c r="G1000" t="s">
        <v>53</v>
      </c>
      <c r="H1000" t="s">
        <v>31</v>
      </c>
      <c r="I1000" t="s">
        <v>32</v>
      </c>
      <c r="J1000">
        <v>44.6</v>
      </c>
      <c r="K1000">
        <v>-2</v>
      </c>
      <c r="L1000">
        <v>120</v>
      </c>
      <c r="M1000" t="s">
        <v>59</v>
      </c>
      <c r="N1000" t="s">
        <v>41</v>
      </c>
      <c r="O1000" t="s">
        <v>26</v>
      </c>
      <c r="P1000">
        <v>4</v>
      </c>
    </row>
    <row r="1001" spans="1:16" x14ac:dyDescent="0.25">
      <c r="A1001" t="s">
        <v>2554</v>
      </c>
      <c r="B1001" t="s">
        <v>1264</v>
      </c>
      <c r="C1001" t="s">
        <v>2555</v>
      </c>
      <c r="E1001" t="s">
        <v>46</v>
      </c>
      <c r="F1001">
        <v>130</v>
      </c>
      <c r="G1001" t="s">
        <v>21</v>
      </c>
      <c r="H1001" t="s">
        <v>121</v>
      </c>
      <c r="I1001" t="s">
        <v>122</v>
      </c>
      <c r="J1001">
        <v>328.25</v>
      </c>
      <c r="K1001">
        <v>-2</v>
      </c>
      <c r="L1001">
        <v>10</v>
      </c>
      <c r="M1001" t="s">
        <v>59</v>
      </c>
      <c r="N1001" t="s">
        <v>25</v>
      </c>
      <c r="O1001" t="s">
        <v>26</v>
      </c>
    </row>
    <row r="1002" spans="1:16" x14ac:dyDescent="0.25">
      <c r="A1002" t="s">
        <v>2556</v>
      </c>
      <c r="B1002" t="s">
        <v>562</v>
      </c>
      <c r="C1002" t="s">
        <v>2557</v>
      </c>
      <c r="D1002" t="s">
        <v>101</v>
      </c>
      <c r="E1002" t="s">
        <v>46</v>
      </c>
      <c r="F1002">
        <v>47</v>
      </c>
      <c r="G1002" t="s">
        <v>86</v>
      </c>
      <c r="H1002" t="s">
        <v>31</v>
      </c>
      <c r="I1002" t="s">
        <v>32</v>
      </c>
      <c r="J1002">
        <v>477.17</v>
      </c>
      <c r="K1002">
        <v>-2</v>
      </c>
      <c r="L1002">
        <v>120</v>
      </c>
      <c r="M1002" t="s">
        <v>77</v>
      </c>
      <c r="N1002" t="s">
        <v>81</v>
      </c>
      <c r="O1002" t="s">
        <v>26</v>
      </c>
      <c r="P1002">
        <v>1</v>
      </c>
    </row>
    <row r="1003" spans="1:16" x14ac:dyDescent="0.25">
      <c r="A1003" t="s">
        <v>2558</v>
      </c>
      <c r="B1003" t="s">
        <v>2119</v>
      </c>
      <c r="C1003" t="s">
        <v>2559</v>
      </c>
      <c r="D1003" t="s">
        <v>37</v>
      </c>
      <c r="E1003" t="s">
        <v>20</v>
      </c>
      <c r="F1003">
        <v>44</v>
      </c>
      <c r="G1003" t="s">
        <v>21</v>
      </c>
      <c r="H1003" t="s">
        <v>54</v>
      </c>
      <c r="I1003" t="s">
        <v>55</v>
      </c>
      <c r="J1003">
        <v>428.16</v>
      </c>
      <c r="K1003">
        <v>-2</v>
      </c>
      <c r="L1003">
        <v>5</v>
      </c>
      <c r="M1003" t="s">
        <v>24</v>
      </c>
      <c r="N1003" t="s">
        <v>81</v>
      </c>
      <c r="O1003" t="s">
        <v>26</v>
      </c>
    </row>
    <row r="1004" spans="1:16" x14ac:dyDescent="0.25">
      <c r="A1004" t="s">
        <v>2560</v>
      </c>
      <c r="B1004" t="s">
        <v>421</v>
      </c>
      <c r="C1004" t="s">
        <v>1145</v>
      </c>
      <c r="D1004" t="s">
        <v>101</v>
      </c>
      <c r="E1004" t="s">
        <v>20</v>
      </c>
      <c r="F1004">
        <v>62</v>
      </c>
      <c r="G1004" t="s">
        <v>47</v>
      </c>
      <c r="H1004" t="s">
        <v>22</v>
      </c>
      <c r="I1004" t="s">
        <v>23</v>
      </c>
      <c r="J1004">
        <v>184.06</v>
      </c>
      <c r="K1004">
        <v>6</v>
      </c>
      <c r="L1004">
        <v>10</v>
      </c>
      <c r="N1004" t="s">
        <v>91</v>
      </c>
      <c r="O1004" t="s">
        <v>26</v>
      </c>
      <c r="P1004">
        <v>1</v>
      </c>
    </row>
    <row r="1005" spans="1:16" x14ac:dyDescent="0.25">
      <c r="A1005" t="s">
        <v>2561</v>
      </c>
      <c r="B1005" t="s">
        <v>932</v>
      </c>
      <c r="C1005" t="s">
        <v>1445</v>
      </c>
      <c r="D1005" t="s">
        <v>19</v>
      </c>
      <c r="E1005" t="s">
        <v>46</v>
      </c>
      <c r="F1005">
        <v>130</v>
      </c>
      <c r="G1005" t="s">
        <v>30</v>
      </c>
      <c r="H1005" t="s">
        <v>31</v>
      </c>
      <c r="I1005" t="s">
        <v>32</v>
      </c>
      <c r="J1005">
        <v>287.85000000000002</v>
      </c>
      <c r="K1005">
        <v>-2</v>
      </c>
      <c r="L1005">
        <v>0</v>
      </c>
      <c r="M1005" t="s">
        <v>77</v>
      </c>
      <c r="N1005" t="s">
        <v>41</v>
      </c>
      <c r="O1005" t="s">
        <v>82</v>
      </c>
      <c r="P1005">
        <v>3</v>
      </c>
    </row>
    <row r="1006" spans="1:16" x14ac:dyDescent="0.25">
      <c r="A1006" t="s">
        <v>2562</v>
      </c>
      <c r="B1006" t="s">
        <v>1114</v>
      </c>
      <c r="C1006" t="s">
        <v>2563</v>
      </c>
      <c r="D1006" t="s">
        <v>117</v>
      </c>
      <c r="E1006" t="s">
        <v>20</v>
      </c>
      <c r="F1006">
        <v>56</v>
      </c>
      <c r="G1006" t="s">
        <v>38</v>
      </c>
      <c r="H1006" t="s">
        <v>121</v>
      </c>
      <c r="I1006" t="s">
        <v>122</v>
      </c>
      <c r="J1006">
        <v>422.52</v>
      </c>
      <c r="K1006">
        <v>9</v>
      </c>
      <c r="L1006">
        <v>-10</v>
      </c>
      <c r="M1006" t="s">
        <v>77</v>
      </c>
      <c r="N1006" t="s">
        <v>91</v>
      </c>
      <c r="O1006" t="s">
        <v>82</v>
      </c>
      <c r="P1006">
        <v>4</v>
      </c>
    </row>
    <row r="1007" spans="1:16" x14ac:dyDescent="0.25">
      <c r="A1007" t="s">
        <v>2564</v>
      </c>
      <c r="B1007" t="s">
        <v>1061</v>
      </c>
      <c r="C1007" t="s">
        <v>2565</v>
      </c>
      <c r="D1007" t="s">
        <v>45</v>
      </c>
      <c r="E1007" t="s">
        <v>20</v>
      </c>
      <c r="F1007">
        <v>42</v>
      </c>
      <c r="G1007" t="s">
        <v>70</v>
      </c>
      <c r="H1007" t="s">
        <v>54</v>
      </c>
      <c r="I1007" t="s">
        <v>55</v>
      </c>
      <c r="J1007">
        <v>481</v>
      </c>
      <c r="K1007">
        <v>5</v>
      </c>
      <c r="L1007">
        <v>-10</v>
      </c>
      <c r="M1007" t="s">
        <v>64</v>
      </c>
      <c r="N1007" t="s">
        <v>81</v>
      </c>
      <c r="O1007" t="s">
        <v>33</v>
      </c>
    </row>
    <row r="1008" spans="1:16" x14ac:dyDescent="0.25">
      <c r="A1008" t="s">
        <v>2566</v>
      </c>
      <c r="B1008" t="s">
        <v>2567</v>
      </c>
      <c r="C1008" t="s">
        <v>2568</v>
      </c>
      <c r="D1008" t="s">
        <v>37</v>
      </c>
      <c r="E1008" t="s">
        <v>20</v>
      </c>
      <c r="F1008">
        <v>20</v>
      </c>
      <c r="G1008" t="s">
        <v>47</v>
      </c>
      <c r="H1008" t="s">
        <v>39</v>
      </c>
      <c r="I1008" t="s">
        <v>40</v>
      </c>
      <c r="J1008">
        <v>395.06</v>
      </c>
      <c r="K1008">
        <v>10</v>
      </c>
      <c r="L1008">
        <v>10</v>
      </c>
      <c r="M1008" t="s">
        <v>59</v>
      </c>
      <c r="N1008" t="s">
        <v>91</v>
      </c>
      <c r="O1008" t="s">
        <v>26</v>
      </c>
      <c r="P1008">
        <v>5</v>
      </c>
    </row>
    <row r="1009" spans="1:16" x14ac:dyDescent="0.25">
      <c r="A1009" t="s">
        <v>2569</v>
      </c>
      <c r="B1009" t="s">
        <v>1432</v>
      </c>
      <c r="C1009" t="s">
        <v>2570</v>
      </c>
      <c r="D1009" t="s">
        <v>101</v>
      </c>
      <c r="E1009" t="s">
        <v>46</v>
      </c>
      <c r="F1009">
        <v>8</v>
      </c>
      <c r="G1009" t="s">
        <v>21</v>
      </c>
      <c r="H1009" t="s">
        <v>87</v>
      </c>
      <c r="I1009" t="s">
        <v>49</v>
      </c>
      <c r="J1009">
        <v>154.25</v>
      </c>
      <c r="K1009">
        <v>7</v>
      </c>
      <c r="L1009">
        <v>15</v>
      </c>
      <c r="M1009" t="s">
        <v>77</v>
      </c>
      <c r="N1009" t="s">
        <v>25</v>
      </c>
      <c r="O1009" t="s">
        <v>33</v>
      </c>
    </row>
    <row r="1010" spans="1:16" x14ac:dyDescent="0.25">
      <c r="A1010" t="s">
        <v>2571</v>
      </c>
      <c r="B1010" t="s">
        <v>2572</v>
      </c>
      <c r="C1010" t="s">
        <v>2573</v>
      </c>
      <c r="D1010" t="s">
        <v>37</v>
      </c>
      <c r="E1010" t="s">
        <v>20</v>
      </c>
      <c r="F1010">
        <v>8</v>
      </c>
      <c r="G1010" t="s">
        <v>21</v>
      </c>
      <c r="H1010" t="s">
        <v>31</v>
      </c>
      <c r="I1010" t="s">
        <v>32</v>
      </c>
      <c r="J1010">
        <v>69.010000000000005</v>
      </c>
      <c r="K1010">
        <v>-2</v>
      </c>
      <c r="L1010">
        <v>-10</v>
      </c>
      <c r="M1010" t="s">
        <v>77</v>
      </c>
      <c r="N1010" t="s">
        <v>81</v>
      </c>
      <c r="O1010" t="s">
        <v>65</v>
      </c>
      <c r="P1010">
        <v>1</v>
      </c>
    </row>
    <row r="1011" spans="1:16" x14ac:dyDescent="0.25">
      <c r="A1011" t="s">
        <v>2574</v>
      </c>
      <c r="B1011" t="s">
        <v>2575</v>
      </c>
      <c r="C1011" t="s">
        <v>2542</v>
      </c>
      <c r="D1011" t="s">
        <v>19</v>
      </c>
      <c r="E1011" t="s">
        <v>46</v>
      </c>
      <c r="F1011">
        <v>8</v>
      </c>
      <c r="G1011" t="s">
        <v>86</v>
      </c>
      <c r="H1011" t="s">
        <v>87</v>
      </c>
      <c r="I1011" t="s">
        <v>49</v>
      </c>
      <c r="J1011">
        <v>60.96</v>
      </c>
      <c r="K1011">
        <v>9</v>
      </c>
      <c r="L1011">
        <v>120</v>
      </c>
      <c r="M1011" t="s">
        <v>59</v>
      </c>
      <c r="N1011" t="s">
        <v>91</v>
      </c>
      <c r="O1011" t="s">
        <v>65</v>
      </c>
    </row>
    <row r="1012" spans="1:16" x14ac:dyDescent="0.25">
      <c r="A1012" t="s">
        <v>2576</v>
      </c>
      <c r="B1012" t="s">
        <v>985</v>
      </c>
      <c r="C1012" t="s">
        <v>2577</v>
      </c>
      <c r="D1012" t="s">
        <v>37</v>
      </c>
      <c r="E1012" t="s">
        <v>46</v>
      </c>
      <c r="F1012">
        <v>8</v>
      </c>
      <c r="G1012" t="s">
        <v>47</v>
      </c>
      <c r="H1012" t="s">
        <v>121</v>
      </c>
      <c r="I1012" t="s">
        <v>122</v>
      </c>
      <c r="J1012">
        <v>260.16000000000003</v>
      </c>
      <c r="K1012">
        <v>-2</v>
      </c>
      <c r="L1012">
        <v>15</v>
      </c>
      <c r="M1012" t="s">
        <v>77</v>
      </c>
      <c r="N1012" t="s">
        <v>41</v>
      </c>
      <c r="O1012" t="s">
        <v>33</v>
      </c>
      <c r="P1012">
        <v>3</v>
      </c>
    </row>
    <row r="1013" spans="1:16" x14ac:dyDescent="0.25">
      <c r="A1013" t="s">
        <v>2578</v>
      </c>
      <c r="B1013" t="s">
        <v>613</v>
      </c>
      <c r="C1013" t="s">
        <v>2579</v>
      </c>
      <c r="D1013" t="s">
        <v>45</v>
      </c>
      <c r="E1013" t="s">
        <v>20</v>
      </c>
      <c r="F1013">
        <v>8</v>
      </c>
      <c r="G1013" t="s">
        <v>86</v>
      </c>
      <c r="H1013" t="s">
        <v>48</v>
      </c>
      <c r="I1013" t="s">
        <v>49</v>
      </c>
      <c r="J1013">
        <v>475.19</v>
      </c>
      <c r="K1013">
        <v>-2</v>
      </c>
      <c r="L1013">
        <v>120</v>
      </c>
      <c r="M1013" t="s">
        <v>59</v>
      </c>
      <c r="N1013" t="s">
        <v>41</v>
      </c>
      <c r="O1013" t="s">
        <v>65</v>
      </c>
    </row>
    <row r="1014" spans="1:16" x14ac:dyDescent="0.25">
      <c r="A1014" t="s">
        <v>2580</v>
      </c>
      <c r="B1014" t="s">
        <v>235</v>
      </c>
      <c r="C1014" t="s">
        <v>2581</v>
      </c>
      <c r="D1014" t="s">
        <v>117</v>
      </c>
      <c r="E1014" t="s">
        <v>20</v>
      </c>
      <c r="F1014">
        <v>8</v>
      </c>
      <c r="G1014" t="s">
        <v>38</v>
      </c>
      <c r="H1014" t="s">
        <v>121</v>
      </c>
      <c r="I1014" t="s">
        <v>122</v>
      </c>
      <c r="J1014">
        <v>497.16</v>
      </c>
      <c r="K1014">
        <v>1</v>
      </c>
      <c r="L1014">
        <v>120</v>
      </c>
      <c r="M1014" t="s">
        <v>77</v>
      </c>
      <c r="N1014" t="s">
        <v>91</v>
      </c>
      <c r="O1014" t="s">
        <v>26</v>
      </c>
      <c r="P1014">
        <v>1</v>
      </c>
    </row>
    <row r="1015" spans="1:16" x14ac:dyDescent="0.25">
      <c r="A1015" t="s">
        <v>2582</v>
      </c>
      <c r="B1015" t="s">
        <v>2583</v>
      </c>
      <c r="C1015" t="s">
        <v>2584</v>
      </c>
      <c r="D1015" t="s">
        <v>37</v>
      </c>
      <c r="E1015" t="s">
        <v>46</v>
      </c>
      <c r="F1015">
        <v>8</v>
      </c>
      <c r="G1015" t="s">
        <v>47</v>
      </c>
      <c r="H1015" t="s">
        <v>39</v>
      </c>
      <c r="I1015" t="s">
        <v>40</v>
      </c>
      <c r="J1015">
        <v>277.98</v>
      </c>
      <c r="K1015">
        <v>5</v>
      </c>
      <c r="L1015">
        <v>5</v>
      </c>
      <c r="M1015" t="s">
        <v>77</v>
      </c>
      <c r="N1015" t="s">
        <v>91</v>
      </c>
      <c r="O1015" t="s">
        <v>82</v>
      </c>
      <c r="P1015">
        <v>4</v>
      </c>
    </row>
    <row r="1016" spans="1:16" x14ac:dyDescent="0.25">
      <c r="A1016" t="s">
        <v>2585</v>
      </c>
      <c r="B1016" t="s">
        <v>473</v>
      </c>
      <c r="C1016" t="s">
        <v>2586</v>
      </c>
      <c r="D1016" t="s">
        <v>101</v>
      </c>
      <c r="E1016" t="s">
        <v>46</v>
      </c>
      <c r="F1016">
        <v>130</v>
      </c>
      <c r="G1016" t="s">
        <v>21</v>
      </c>
      <c r="H1016" t="s">
        <v>48</v>
      </c>
      <c r="I1016" t="s">
        <v>49</v>
      </c>
      <c r="J1016">
        <v>289.17</v>
      </c>
      <c r="K1016">
        <v>2</v>
      </c>
      <c r="L1016">
        <v>-10</v>
      </c>
      <c r="M1016" t="s">
        <v>77</v>
      </c>
      <c r="N1016" t="s">
        <v>25</v>
      </c>
      <c r="O1016" t="s">
        <v>26</v>
      </c>
      <c r="P1016">
        <v>2</v>
      </c>
    </row>
    <row r="1017" spans="1:16" x14ac:dyDescent="0.25">
      <c r="A1017" t="s">
        <v>2587</v>
      </c>
      <c r="B1017" t="s">
        <v>366</v>
      </c>
      <c r="C1017" t="s">
        <v>1029</v>
      </c>
      <c r="D1017" t="s">
        <v>69</v>
      </c>
      <c r="E1017" t="s">
        <v>20</v>
      </c>
      <c r="F1017">
        <v>130</v>
      </c>
      <c r="G1017" t="s">
        <v>30</v>
      </c>
      <c r="H1017" t="s">
        <v>31</v>
      </c>
      <c r="I1017" t="s">
        <v>32</v>
      </c>
      <c r="J1017">
        <v>272.14999999999998</v>
      </c>
      <c r="K1017">
        <v>-2</v>
      </c>
      <c r="L1017">
        <v>15</v>
      </c>
      <c r="M1017" t="s">
        <v>59</v>
      </c>
      <c r="N1017" t="s">
        <v>81</v>
      </c>
      <c r="O1017" t="s">
        <v>26</v>
      </c>
      <c r="P1017">
        <v>4</v>
      </c>
    </row>
    <row r="1018" spans="1:16" x14ac:dyDescent="0.25">
      <c r="A1018" t="s">
        <v>2588</v>
      </c>
      <c r="B1018" t="s">
        <v>2589</v>
      </c>
      <c r="C1018" t="s">
        <v>2590</v>
      </c>
      <c r="D1018" t="s">
        <v>69</v>
      </c>
      <c r="E1018" t="s">
        <v>46</v>
      </c>
      <c r="F1018">
        <v>130</v>
      </c>
      <c r="G1018" t="s">
        <v>47</v>
      </c>
      <c r="H1018" t="s">
        <v>31</v>
      </c>
      <c r="I1018" t="s">
        <v>32</v>
      </c>
      <c r="J1018">
        <v>15</v>
      </c>
      <c r="K1018">
        <v>-2</v>
      </c>
      <c r="L1018">
        <v>120</v>
      </c>
      <c r="M1018" t="s">
        <v>64</v>
      </c>
      <c r="N1018" t="s">
        <v>25</v>
      </c>
      <c r="O1018" t="s">
        <v>26</v>
      </c>
      <c r="P1018">
        <v>1</v>
      </c>
    </row>
    <row r="1019" spans="1:16" x14ac:dyDescent="0.25">
      <c r="A1019" t="s">
        <v>2591</v>
      </c>
      <c r="B1019" t="s">
        <v>164</v>
      </c>
      <c r="C1019" t="s">
        <v>2592</v>
      </c>
      <c r="D1019" t="s">
        <v>117</v>
      </c>
      <c r="E1019" t="s">
        <v>46</v>
      </c>
      <c r="F1019">
        <v>8</v>
      </c>
      <c r="G1019" t="s">
        <v>86</v>
      </c>
      <c r="H1019" t="s">
        <v>31</v>
      </c>
      <c r="I1019" t="s">
        <v>32</v>
      </c>
      <c r="J1019">
        <v>71.150000000000006</v>
      </c>
      <c r="K1019">
        <v>-2</v>
      </c>
      <c r="L1019">
        <v>0</v>
      </c>
      <c r="M1019" t="s">
        <v>64</v>
      </c>
      <c r="N1019" t="s">
        <v>25</v>
      </c>
      <c r="O1019" t="s">
        <v>82</v>
      </c>
      <c r="P1019">
        <v>4</v>
      </c>
    </row>
    <row r="1020" spans="1:16" x14ac:dyDescent="0.25">
      <c r="A1020" t="s">
        <v>2593</v>
      </c>
      <c r="B1020" t="s">
        <v>1717</v>
      </c>
      <c r="C1020" t="s">
        <v>2594</v>
      </c>
      <c r="D1020" t="s">
        <v>63</v>
      </c>
      <c r="E1020" t="s">
        <v>20</v>
      </c>
      <c r="F1020">
        <v>8</v>
      </c>
      <c r="G1020" t="s">
        <v>21</v>
      </c>
      <c r="H1020" t="s">
        <v>22</v>
      </c>
      <c r="I1020" t="s">
        <v>23</v>
      </c>
      <c r="J1020">
        <v>131.5</v>
      </c>
      <c r="K1020">
        <v>4</v>
      </c>
      <c r="L1020">
        <v>0</v>
      </c>
      <c r="M1020" t="s">
        <v>64</v>
      </c>
      <c r="N1020" t="s">
        <v>41</v>
      </c>
      <c r="O1020" t="s">
        <v>26</v>
      </c>
      <c r="P1020">
        <v>2</v>
      </c>
    </row>
    <row r="1021" spans="1:16" x14ac:dyDescent="0.25">
      <c r="A1021" t="s">
        <v>2595</v>
      </c>
      <c r="B1021" t="s">
        <v>641</v>
      </c>
      <c r="C1021" t="s">
        <v>2596</v>
      </c>
      <c r="D1021" t="s">
        <v>19</v>
      </c>
      <c r="E1021" t="s">
        <v>46</v>
      </c>
      <c r="F1021">
        <v>8</v>
      </c>
      <c r="G1021" t="s">
        <v>86</v>
      </c>
      <c r="H1021" t="s">
        <v>121</v>
      </c>
      <c r="I1021" t="s">
        <v>122</v>
      </c>
      <c r="J1021">
        <v>99.62</v>
      </c>
      <c r="K1021">
        <v>4</v>
      </c>
      <c r="L1021">
        <v>-10</v>
      </c>
      <c r="M1021" t="s">
        <v>77</v>
      </c>
      <c r="N1021" t="s">
        <v>41</v>
      </c>
      <c r="O1021" t="s">
        <v>65</v>
      </c>
      <c r="P1021">
        <v>3</v>
      </c>
    </row>
    <row r="1022" spans="1:16" x14ac:dyDescent="0.25">
      <c r="A1022" t="s">
        <v>2597</v>
      </c>
      <c r="B1022" t="s">
        <v>2050</v>
      </c>
      <c r="C1022" t="s">
        <v>2422</v>
      </c>
      <c r="D1022" t="s">
        <v>45</v>
      </c>
      <c r="E1022" t="s">
        <v>46</v>
      </c>
      <c r="F1022">
        <v>26</v>
      </c>
      <c r="G1022" t="s">
        <v>53</v>
      </c>
      <c r="H1022" t="s">
        <v>121</v>
      </c>
      <c r="I1022" t="s">
        <v>122</v>
      </c>
      <c r="J1022">
        <v>476.29</v>
      </c>
      <c r="K1022">
        <v>-2</v>
      </c>
      <c r="L1022">
        <v>0</v>
      </c>
      <c r="M1022" t="s">
        <v>24</v>
      </c>
      <c r="N1022" t="s">
        <v>91</v>
      </c>
      <c r="O1022" t="s">
        <v>82</v>
      </c>
      <c r="P1022">
        <v>5</v>
      </c>
    </row>
    <row r="1023" spans="1:16" x14ac:dyDescent="0.25">
      <c r="A1023" t="s">
        <v>2598</v>
      </c>
      <c r="B1023" t="s">
        <v>864</v>
      </c>
      <c r="C1023" t="s">
        <v>2599</v>
      </c>
      <c r="D1023" t="s">
        <v>63</v>
      </c>
      <c r="E1023" t="s">
        <v>46</v>
      </c>
      <c r="F1023">
        <v>130</v>
      </c>
      <c r="G1023" t="s">
        <v>53</v>
      </c>
      <c r="H1023" t="s">
        <v>22</v>
      </c>
      <c r="I1023" t="s">
        <v>23</v>
      </c>
      <c r="J1023">
        <v>211.44</v>
      </c>
      <c r="K1023">
        <v>5</v>
      </c>
      <c r="L1023">
        <v>-10</v>
      </c>
      <c r="M1023" t="s">
        <v>24</v>
      </c>
      <c r="N1023" t="s">
        <v>91</v>
      </c>
      <c r="O1023" t="s">
        <v>65</v>
      </c>
      <c r="P1023">
        <v>2</v>
      </c>
    </row>
    <row r="1024" spans="1:16" x14ac:dyDescent="0.25">
      <c r="A1024" t="s">
        <v>2600</v>
      </c>
      <c r="B1024" t="s">
        <v>1346</v>
      </c>
      <c r="C1024" t="s">
        <v>2601</v>
      </c>
      <c r="D1024" t="s">
        <v>37</v>
      </c>
      <c r="E1024" t="s">
        <v>46</v>
      </c>
      <c r="F1024">
        <v>8</v>
      </c>
      <c r="G1024" t="s">
        <v>30</v>
      </c>
      <c r="H1024" t="s">
        <v>31</v>
      </c>
      <c r="I1024" t="s">
        <v>32</v>
      </c>
      <c r="J1024">
        <v>356.44</v>
      </c>
      <c r="K1024">
        <v>-2</v>
      </c>
      <c r="L1024">
        <v>15</v>
      </c>
      <c r="M1024" t="s">
        <v>77</v>
      </c>
      <c r="N1024" t="s">
        <v>91</v>
      </c>
      <c r="O1024" t="s">
        <v>26</v>
      </c>
      <c r="P1024">
        <v>4</v>
      </c>
    </row>
    <row r="1025" spans="1:16" x14ac:dyDescent="0.25">
      <c r="A1025" t="s">
        <v>2602</v>
      </c>
      <c r="B1025" t="s">
        <v>1460</v>
      </c>
      <c r="C1025" t="s">
        <v>2603</v>
      </c>
      <c r="D1025" t="s">
        <v>19</v>
      </c>
      <c r="E1025" t="s">
        <v>46</v>
      </c>
      <c r="F1025">
        <v>130</v>
      </c>
      <c r="G1025" t="s">
        <v>86</v>
      </c>
      <c r="H1025" t="s">
        <v>54</v>
      </c>
      <c r="I1025" t="s">
        <v>55</v>
      </c>
      <c r="J1025">
        <v>295.64</v>
      </c>
      <c r="K1025">
        <v>2</v>
      </c>
      <c r="L1025">
        <v>0</v>
      </c>
      <c r="N1025" t="s">
        <v>41</v>
      </c>
      <c r="O1025" t="s">
        <v>26</v>
      </c>
      <c r="P1025">
        <v>2</v>
      </c>
    </row>
    <row r="1026" spans="1:16" x14ac:dyDescent="0.25">
      <c r="A1026" t="s">
        <v>2604</v>
      </c>
      <c r="B1026" t="s">
        <v>193</v>
      </c>
      <c r="C1026" t="s">
        <v>2605</v>
      </c>
      <c r="D1026" t="s">
        <v>37</v>
      </c>
      <c r="E1026" t="s">
        <v>46</v>
      </c>
      <c r="F1026">
        <v>18</v>
      </c>
      <c r="G1026" t="s">
        <v>86</v>
      </c>
      <c r="H1026" t="s">
        <v>87</v>
      </c>
      <c r="I1026" t="s">
        <v>49</v>
      </c>
      <c r="J1026">
        <v>315.98</v>
      </c>
      <c r="K1026">
        <v>-2</v>
      </c>
      <c r="L1026">
        <v>-10</v>
      </c>
      <c r="N1026" t="s">
        <v>25</v>
      </c>
      <c r="O1026" t="s">
        <v>82</v>
      </c>
      <c r="P1026">
        <v>3</v>
      </c>
    </row>
    <row r="1027" spans="1:16" x14ac:dyDescent="0.25">
      <c r="A1027" t="s">
        <v>2606</v>
      </c>
      <c r="B1027" t="s">
        <v>2607</v>
      </c>
      <c r="C1027" t="s">
        <v>2608</v>
      </c>
      <c r="D1027" t="s">
        <v>63</v>
      </c>
      <c r="E1027" t="s">
        <v>20</v>
      </c>
      <c r="F1027">
        <v>8</v>
      </c>
      <c r="G1027" t="s">
        <v>53</v>
      </c>
      <c r="H1027" t="s">
        <v>54</v>
      </c>
      <c r="I1027" t="s">
        <v>55</v>
      </c>
      <c r="J1027">
        <v>102.03</v>
      </c>
      <c r="K1027">
        <v>6</v>
      </c>
      <c r="L1027">
        <v>-10</v>
      </c>
      <c r="M1027" t="s">
        <v>59</v>
      </c>
      <c r="N1027" t="s">
        <v>25</v>
      </c>
      <c r="O1027" t="s">
        <v>26</v>
      </c>
      <c r="P1027">
        <v>2</v>
      </c>
    </row>
    <row r="1028" spans="1:16" x14ac:dyDescent="0.25">
      <c r="A1028" t="s">
        <v>2609</v>
      </c>
      <c r="B1028" t="s">
        <v>618</v>
      </c>
      <c r="C1028" t="s">
        <v>2610</v>
      </c>
      <c r="D1028" t="s">
        <v>19</v>
      </c>
      <c r="E1028" t="s">
        <v>46</v>
      </c>
      <c r="F1028">
        <v>37</v>
      </c>
      <c r="G1028" t="s">
        <v>38</v>
      </c>
      <c r="H1028" t="s">
        <v>54</v>
      </c>
      <c r="I1028" t="s">
        <v>55</v>
      </c>
      <c r="J1028">
        <v>241.44</v>
      </c>
      <c r="K1028">
        <v>-2</v>
      </c>
      <c r="L1028">
        <v>-10</v>
      </c>
      <c r="M1028" t="s">
        <v>24</v>
      </c>
      <c r="N1028" t="s">
        <v>41</v>
      </c>
      <c r="O1028" t="s">
        <v>65</v>
      </c>
      <c r="P1028">
        <v>4</v>
      </c>
    </row>
    <row r="1029" spans="1:16" x14ac:dyDescent="0.25">
      <c r="A1029" t="s">
        <v>2611</v>
      </c>
      <c r="B1029" t="s">
        <v>2612</v>
      </c>
      <c r="C1029" t="s">
        <v>2613</v>
      </c>
      <c r="D1029" t="s">
        <v>37</v>
      </c>
      <c r="E1029" t="s">
        <v>46</v>
      </c>
      <c r="F1029">
        <v>18</v>
      </c>
      <c r="G1029" t="s">
        <v>30</v>
      </c>
      <c r="H1029" t="s">
        <v>22</v>
      </c>
      <c r="I1029" t="s">
        <v>23</v>
      </c>
      <c r="J1029">
        <v>56.24</v>
      </c>
      <c r="K1029">
        <v>-2</v>
      </c>
      <c r="L1029">
        <v>120</v>
      </c>
      <c r="M1029" t="s">
        <v>59</v>
      </c>
      <c r="N1029" t="s">
        <v>81</v>
      </c>
      <c r="O1029" t="s">
        <v>26</v>
      </c>
    </row>
    <row r="1030" spans="1:16" x14ac:dyDescent="0.25">
      <c r="A1030" t="s">
        <v>2614</v>
      </c>
      <c r="B1030" t="s">
        <v>2419</v>
      </c>
      <c r="C1030" t="s">
        <v>2615</v>
      </c>
      <c r="D1030" t="s">
        <v>69</v>
      </c>
      <c r="E1030" t="s">
        <v>20</v>
      </c>
      <c r="F1030">
        <v>8</v>
      </c>
      <c r="G1030" t="s">
        <v>47</v>
      </c>
      <c r="H1030" t="s">
        <v>48</v>
      </c>
      <c r="I1030" t="s">
        <v>49</v>
      </c>
      <c r="J1030">
        <v>193.14</v>
      </c>
      <c r="K1030">
        <v>-2</v>
      </c>
      <c r="L1030">
        <v>15</v>
      </c>
      <c r="M1030" t="s">
        <v>64</v>
      </c>
      <c r="N1030" t="s">
        <v>25</v>
      </c>
      <c r="O1030" t="s">
        <v>82</v>
      </c>
    </row>
    <row r="1031" spans="1:16" x14ac:dyDescent="0.25">
      <c r="A1031" t="s">
        <v>2616</v>
      </c>
      <c r="B1031" t="s">
        <v>223</v>
      </c>
      <c r="C1031" t="s">
        <v>2617</v>
      </c>
      <c r="D1031" t="s">
        <v>37</v>
      </c>
      <c r="E1031" t="s">
        <v>20</v>
      </c>
      <c r="F1031">
        <v>19</v>
      </c>
      <c r="G1031" t="s">
        <v>30</v>
      </c>
      <c r="H1031" t="s">
        <v>31</v>
      </c>
      <c r="I1031" t="s">
        <v>32</v>
      </c>
      <c r="J1031">
        <v>165.06</v>
      </c>
      <c r="K1031">
        <v>9</v>
      </c>
      <c r="L1031">
        <v>15</v>
      </c>
      <c r="M1031" t="s">
        <v>59</v>
      </c>
      <c r="N1031" t="s">
        <v>81</v>
      </c>
      <c r="O1031" t="s">
        <v>26</v>
      </c>
      <c r="P1031">
        <v>3</v>
      </c>
    </row>
    <row r="1032" spans="1:16" x14ac:dyDescent="0.25">
      <c r="A1032" t="s">
        <v>2618</v>
      </c>
      <c r="B1032" t="s">
        <v>2619</v>
      </c>
      <c r="C1032" t="s">
        <v>2620</v>
      </c>
      <c r="D1032" t="s">
        <v>63</v>
      </c>
      <c r="E1032" t="s">
        <v>46</v>
      </c>
      <c r="F1032">
        <v>8</v>
      </c>
      <c r="G1032" t="s">
        <v>38</v>
      </c>
      <c r="H1032" t="s">
        <v>48</v>
      </c>
      <c r="I1032" t="s">
        <v>49</v>
      </c>
      <c r="J1032">
        <v>196.3</v>
      </c>
      <c r="K1032">
        <v>1</v>
      </c>
      <c r="L1032">
        <v>0</v>
      </c>
      <c r="N1032" t="s">
        <v>91</v>
      </c>
      <c r="O1032" t="s">
        <v>26</v>
      </c>
      <c r="P1032">
        <v>3</v>
      </c>
    </row>
    <row r="1033" spans="1:16" x14ac:dyDescent="0.25">
      <c r="A1033" t="s">
        <v>2621</v>
      </c>
      <c r="B1033" t="s">
        <v>51</v>
      </c>
      <c r="C1033" t="s">
        <v>2622</v>
      </c>
      <c r="D1033" t="s">
        <v>63</v>
      </c>
      <c r="E1033" t="s">
        <v>20</v>
      </c>
      <c r="F1033">
        <v>8</v>
      </c>
      <c r="G1033" t="s">
        <v>47</v>
      </c>
      <c r="H1033" t="s">
        <v>39</v>
      </c>
      <c r="I1033" t="s">
        <v>40</v>
      </c>
      <c r="J1033">
        <v>90.94</v>
      </c>
      <c r="K1033">
        <v>-2</v>
      </c>
      <c r="L1033">
        <v>-10</v>
      </c>
      <c r="M1033" t="s">
        <v>59</v>
      </c>
      <c r="N1033" t="s">
        <v>91</v>
      </c>
      <c r="O1033" t="s">
        <v>65</v>
      </c>
      <c r="P1033">
        <v>1</v>
      </c>
    </row>
    <row r="1034" spans="1:16" x14ac:dyDescent="0.25">
      <c r="A1034" t="s">
        <v>2623</v>
      </c>
      <c r="B1034" t="s">
        <v>483</v>
      </c>
      <c r="C1034" t="s">
        <v>2624</v>
      </c>
      <c r="E1034" t="s">
        <v>20</v>
      </c>
      <c r="F1034">
        <v>130</v>
      </c>
      <c r="G1034" t="s">
        <v>38</v>
      </c>
      <c r="H1034" t="s">
        <v>31</v>
      </c>
      <c r="I1034" t="s">
        <v>32</v>
      </c>
      <c r="J1034">
        <v>189.23</v>
      </c>
      <c r="K1034">
        <v>-2</v>
      </c>
      <c r="L1034">
        <v>120</v>
      </c>
      <c r="N1034" t="s">
        <v>25</v>
      </c>
      <c r="O1034" t="s">
        <v>26</v>
      </c>
      <c r="P1034">
        <v>5</v>
      </c>
    </row>
    <row r="1035" spans="1:16" x14ac:dyDescent="0.25">
      <c r="A1035" t="s">
        <v>2625</v>
      </c>
      <c r="B1035" t="s">
        <v>2626</v>
      </c>
      <c r="C1035" t="s">
        <v>2627</v>
      </c>
      <c r="D1035" t="s">
        <v>117</v>
      </c>
      <c r="E1035" t="s">
        <v>46</v>
      </c>
      <c r="F1035">
        <v>8</v>
      </c>
      <c r="G1035" t="s">
        <v>21</v>
      </c>
      <c r="H1035" t="s">
        <v>31</v>
      </c>
      <c r="I1035" t="s">
        <v>32</v>
      </c>
      <c r="J1035">
        <v>168.68</v>
      </c>
      <c r="K1035">
        <v>2</v>
      </c>
      <c r="L1035">
        <v>120</v>
      </c>
      <c r="M1035" t="s">
        <v>24</v>
      </c>
      <c r="N1035" t="s">
        <v>25</v>
      </c>
      <c r="O1035" t="s">
        <v>82</v>
      </c>
      <c r="P1035">
        <v>1</v>
      </c>
    </row>
    <row r="1036" spans="1:16" x14ac:dyDescent="0.25">
      <c r="A1036" t="s">
        <v>2628</v>
      </c>
      <c r="B1036" t="s">
        <v>2629</v>
      </c>
      <c r="C1036" t="s">
        <v>1685</v>
      </c>
      <c r="D1036" t="s">
        <v>101</v>
      </c>
      <c r="E1036" t="s">
        <v>46</v>
      </c>
      <c r="F1036">
        <v>26</v>
      </c>
      <c r="G1036" t="s">
        <v>30</v>
      </c>
      <c r="H1036" t="s">
        <v>54</v>
      </c>
      <c r="I1036" t="s">
        <v>55</v>
      </c>
      <c r="J1036">
        <v>234.85</v>
      </c>
      <c r="K1036">
        <v>-2</v>
      </c>
      <c r="L1036">
        <v>0</v>
      </c>
      <c r="N1036" t="s">
        <v>81</v>
      </c>
      <c r="O1036" t="s">
        <v>26</v>
      </c>
      <c r="P1036">
        <v>2</v>
      </c>
    </row>
    <row r="1037" spans="1:16" x14ac:dyDescent="0.25">
      <c r="A1037" t="s">
        <v>2630</v>
      </c>
      <c r="B1037" t="s">
        <v>72</v>
      </c>
      <c r="C1037" t="s">
        <v>480</v>
      </c>
      <c r="D1037" t="s">
        <v>45</v>
      </c>
      <c r="E1037" t="s">
        <v>46</v>
      </c>
      <c r="F1037">
        <v>8</v>
      </c>
      <c r="G1037" t="s">
        <v>30</v>
      </c>
      <c r="H1037" t="s">
        <v>54</v>
      </c>
      <c r="I1037" t="s">
        <v>55</v>
      </c>
      <c r="J1037">
        <v>326.06</v>
      </c>
      <c r="K1037">
        <v>-2</v>
      </c>
      <c r="L1037">
        <v>15</v>
      </c>
      <c r="M1037" t="s">
        <v>24</v>
      </c>
      <c r="N1037" t="s">
        <v>91</v>
      </c>
      <c r="O1037" t="s">
        <v>26</v>
      </c>
    </row>
    <row r="1038" spans="1:16" x14ac:dyDescent="0.25">
      <c r="A1038" t="s">
        <v>2631</v>
      </c>
      <c r="B1038" t="s">
        <v>1020</v>
      </c>
      <c r="C1038" t="s">
        <v>2632</v>
      </c>
      <c r="D1038" t="s">
        <v>19</v>
      </c>
      <c r="E1038" t="s">
        <v>46</v>
      </c>
      <c r="F1038">
        <v>130</v>
      </c>
      <c r="G1038" t="s">
        <v>47</v>
      </c>
      <c r="H1038" t="s">
        <v>87</v>
      </c>
      <c r="I1038" t="s">
        <v>49</v>
      </c>
      <c r="J1038">
        <v>278.16000000000003</v>
      </c>
      <c r="K1038">
        <v>-2</v>
      </c>
      <c r="L1038">
        <v>-10</v>
      </c>
      <c r="M1038" t="s">
        <v>77</v>
      </c>
      <c r="N1038" t="s">
        <v>25</v>
      </c>
      <c r="O1038" t="s">
        <v>82</v>
      </c>
      <c r="P1038">
        <v>5</v>
      </c>
    </row>
    <row r="1039" spans="1:16" x14ac:dyDescent="0.25">
      <c r="A1039" t="s">
        <v>2633</v>
      </c>
      <c r="B1039" t="s">
        <v>1135</v>
      </c>
      <c r="C1039" t="s">
        <v>2634</v>
      </c>
      <c r="D1039" t="s">
        <v>69</v>
      </c>
      <c r="E1039" t="s">
        <v>46</v>
      </c>
      <c r="F1039">
        <v>8</v>
      </c>
      <c r="G1039" t="s">
        <v>86</v>
      </c>
      <c r="H1039" t="s">
        <v>22</v>
      </c>
      <c r="I1039" t="s">
        <v>23</v>
      </c>
      <c r="J1039">
        <v>188.67</v>
      </c>
      <c r="K1039">
        <v>-2</v>
      </c>
      <c r="L1039">
        <v>5</v>
      </c>
      <c r="M1039" t="s">
        <v>24</v>
      </c>
      <c r="N1039" t="s">
        <v>91</v>
      </c>
      <c r="O1039" t="s">
        <v>82</v>
      </c>
      <c r="P1039">
        <v>5</v>
      </c>
    </row>
    <row r="1040" spans="1:16" x14ac:dyDescent="0.25">
      <c r="A1040" t="s">
        <v>2635</v>
      </c>
      <c r="B1040" t="s">
        <v>1832</v>
      </c>
      <c r="C1040" t="s">
        <v>2636</v>
      </c>
      <c r="D1040" t="s">
        <v>117</v>
      </c>
      <c r="E1040" t="s">
        <v>20</v>
      </c>
      <c r="F1040">
        <v>18</v>
      </c>
      <c r="G1040" t="s">
        <v>38</v>
      </c>
      <c r="H1040" t="s">
        <v>39</v>
      </c>
      <c r="I1040" t="s">
        <v>40</v>
      </c>
      <c r="J1040">
        <v>418.44</v>
      </c>
      <c r="K1040">
        <v>-2</v>
      </c>
      <c r="L1040">
        <v>15</v>
      </c>
      <c r="M1040" t="s">
        <v>59</v>
      </c>
      <c r="N1040" t="s">
        <v>25</v>
      </c>
      <c r="O1040" t="s">
        <v>26</v>
      </c>
    </row>
    <row r="1041" spans="1:16" x14ac:dyDescent="0.25">
      <c r="A1041" t="s">
        <v>2637</v>
      </c>
      <c r="B1041" t="s">
        <v>2073</v>
      </c>
      <c r="C1041" t="s">
        <v>2638</v>
      </c>
      <c r="E1041" t="s">
        <v>46</v>
      </c>
      <c r="F1041">
        <v>130</v>
      </c>
      <c r="G1041" t="s">
        <v>30</v>
      </c>
      <c r="H1041" t="s">
        <v>87</v>
      </c>
      <c r="I1041" t="s">
        <v>49</v>
      </c>
      <c r="J1041">
        <v>96.76</v>
      </c>
      <c r="K1041">
        <v>-2</v>
      </c>
      <c r="L1041">
        <v>15</v>
      </c>
      <c r="M1041" t="s">
        <v>59</v>
      </c>
      <c r="N1041" t="s">
        <v>91</v>
      </c>
      <c r="O1041" t="s">
        <v>82</v>
      </c>
      <c r="P1041">
        <v>2</v>
      </c>
    </row>
    <row r="1042" spans="1:16" x14ac:dyDescent="0.25">
      <c r="A1042" t="s">
        <v>2639</v>
      </c>
      <c r="B1042" t="s">
        <v>130</v>
      </c>
      <c r="C1042" t="s">
        <v>2640</v>
      </c>
      <c r="D1042" t="s">
        <v>69</v>
      </c>
      <c r="E1042" t="s">
        <v>46</v>
      </c>
      <c r="F1042">
        <v>36</v>
      </c>
      <c r="G1042" t="s">
        <v>30</v>
      </c>
      <c r="H1042" t="s">
        <v>48</v>
      </c>
      <c r="I1042" t="s">
        <v>49</v>
      </c>
      <c r="J1042">
        <v>277.2</v>
      </c>
      <c r="K1042">
        <v>10</v>
      </c>
      <c r="L1042">
        <v>120</v>
      </c>
      <c r="M1042" t="s">
        <v>24</v>
      </c>
      <c r="N1042" t="s">
        <v>25</v>
      </c>
      <c r="O1042" t="s">
        <v>65</v>
      </c>
      <c r="P1042">
        <v>5</v>
      </c>
    </row>
    <row r="1043" spans="1:16" x14ac:dyDescent="0.25">
      <c r="A1043" t="s">
        <v>2641</v>
      </c>
      <c r="B1043" t="s">
        <v>1103</v>
      </c>
      <c r="C1043" t="s">
        <v>2642</v>
      </c>
      <c r="E1043" t="s">
        <v>46</v>
      </c>
      <c r="F1043">
        <v>8</v>
      </c>
      <c r="G1043" t="s">
        <v>53</v>
      </c>
      <c r="H1043" t="s">
        <v>87</v>
      </c>
      <c r="I1043" t="s">
        <v>49</v>
      </c>
      <c r="J1043">
        <v>438.72</v>
      </c>
      <c r="K1043">
        <v>-2</v>
      </c>
      <c r="L1043">
        <v>5</v>
      </c>
      <c r="N1043" t="s">
        <v>25</v>
      </c>
      <c r="O1043" t="s">
        <v>26</v>
      </c>
    </row>
    <row r="1044" spans="1:16" x14ac:dyDescent="0.25">
      <c r="A1044" t="s">
        <v>2643</v>
      </c>
      <c r="B1044" t="s">
        <v>2644</v>
      </c>
      <c r="C1044" t="s">
        <v>2645</v>
      </c>
      <c r="D1044" t="s">
        <v>117</v>
      </c>
      <c r="E1044" t="s">
        <v>20</v>
      </c>
      <c r="F1044">
        <v>130</v>
      </c>
      <c r="G1044" t="s">
        <v>70</v>
      </c>
      <c r="H1044" t="s">
        <v>39</v>
      </c>
      <c r="I1044" t="s">
        <v>40</v>
      </c>
      <c r="J1044">
        <v>298.45999999999998</v>
      </c>
      <c r="K1044">
        <v>-2</v>
      </c>
      <c r="L1044">
        <v>15</v>
      </c>
      <c r="M1044" t="s">
        <v>24</v>
      </c>
      <c r="N1044" t="s">
        <v>81</v>
      </c>
      <c r="O1044" t="s">
        <v>33</v>
      </c>
      <c r="P1044">
        <v>4</v>
      </c>
    </row>
    <row r="1045" spans="1:16" x14ac:dyDescent="0.25">
      <c r="A1045" t="s">
        <v>2646</v>
      </c>
      <c r="B1045" t="s">
        <v>1625</v>
      </c>
      <c r="C1045" t="s">
        <v>2647</v>
      </c>
      <c r="D1045" t="s">
        <v>45</v>
      </c>
      <c r="E1045" t="s">
        <v>20</v>
      </c>
      <c r="F1045">
        <v>8</v>
      </c>
      <c r="G1045" t="s">
        <v>53</v>
      </c>
      <c r="H1045" t="s">
        <v>39</v>
      </c>
      <c r="I1045" t="s">
        <v>40</v>
      </c>
      <c r="J1045">
        <v>341.93</v>
      </c>
      <c r="K1045">
        <v>-2</v>
      </c>
      <c r="L1045">
        <v>-10</v>
      </c>
      <c r="M1045" t="s">
        <v>77</v>
      </c>
      <c r="N1045" t="s">
        <v>81</v>
      </c>
      <c r="O1045" t="s">
        <v>82</v>
      </c>
      <c r="P1045">
        <v>5</v>
      </c>
    </row>
    <row r="1046" spans="1:16" x14ac:dyDescent="0.25">
      <c r="A1046" t="s">
        <v>2648</v>
      </c>
      <c r="B1046" t="s">
        <v>2099</v>
      </c>
      <c r="C1046" t="s">
        <v>2649</v>
      </c>
      <c r="D1046" t="s">
        <v>45</v>
      </c>
      <c r="E1046" t="s">
        <v>46</v>
      </c>
      <c r="F1046">
        <v>29</v>
      </c>
      <c r="G1046" t="s">
        <v>30</v>
      </c>
      <c r="H1046" t="s">
        <v>87</v>
      </c>
      <c r="I1046" t="s">
        <v>49</v>
      </c>
      <c r="J1046">
        <v>45.93</v>
      </c>
      <c r="K1046">
        <v>4</v>
      </c>
      <c r="L1046">
        <v>120</v>
      </c>
      <c r="M1046" t="s">
        <v>24</v>
      </c>
      <c r="N1046" t="s">
        <v>25</v>
      </c>
      <c r="O1046" t="s">
        <v>33</v>
      </c>
    </row>
    <row r="1047" spans="1:16" x14ac:dyDescent="0.25">
      <c r="A1047" t="s">
        <v>2650</v>
      </c>
      <c r="B1047" t="s">
        <v>985</v>
      </c>
      <c r="C1047" t="s">
        <v>2651</v>
      </c>
      <c r="E1047" t="s">
        <v>20</v>
      </c>
      <c r="F1047">
        <v>29</v>
      </c>
      <c r="G1047" t="s">
        <v>47</v>
      </c>
      <c r="H1047" t="s">
        <v>39</v>
      </c>
      <c r="I1047" t="s">
        <v>40</v>
      </c>
      <c r="J1047">
        <v>137.54</v>
      </c>
      <c r="K1047">
        <v>3</v>
      </c>
      <c r="L1047">
        <v>15</v>
      </c>
      <c r="M1047" t="s">
        <v>64</v>
      </c>
      <c r="N1047" t="s">
        <v>41</v>
      </c>
      <c r="O1047" t="s">
        <v>26</v>
      </c>
      <c r="P1047">
        <v>1</v>
      </c>
    </row>
    <row r="1048" spans="1:16" x14ac:dyDescent="0.25">
      <c r="A1048" t="s">
        <v>2652</v>
      </c>
      <c r="B1048" t="s">
        <v>757</v>
      </c>
      <c r="C1048" t="s">
        <v>2155</v>
      </c>
      <c r="E1048" t="s">
        <v>20</v>
      </c>
      <c r="F1048">
        <v>8</v>
      </c>
      <c r="G1048" t="s">
        <v>70</v>
      </c>
      <c r="H1048" t="s">
        <v>22</v>
      </c>
      <c r="I1048" t="s">
        <v>23</v>
      </c>
      <c r="J1048">
        <v>12.6</v>
      </c>
      <c r="K1048">
        <v>3</v>
      </c>
      <c r="L1048">
        <v>5</v>
      </c>
      <c r="M1048" t="s">
        <v>59</v>
      </c>
      <c r="N1048" t="s">
        <v>81</v>
      </c>
      <c r="O1048" t="s">
        <v>26</v>
      </c>
      <c r="P1048">
        <v>3</v>
      </c>
    </row>
    <row r="1049" spans="1:16" x14ac:dyDescent="0.25">
      <c r="A1049" t="s">
        <v>2653</v>
      </c>
      <c r="B1049" t="s">
        <v>725</v>
      </c>
      <c r="C1049" t="s">
        <v>2654</v>
      </c>
      <c r="D1049" t="s">
        <v>69</v>
      </c>
      <c r="E1049" t="s">
        <v>20</v>
      </c>
      <c r="F1049">
        <v>8</v>
      </c>
      <c r="G1049" t="s">
        <v>47</v>
      </c>
      <c r="H1049" t="s">
        <v>54</v>
      </c>
      <c r="I1049" t="s">
        <v>55</v>
      </c>
      <c r="J1049">
        <v>194.43</v>
      </c>
      <c r="K1049">
        <v>3</v>
      </c>
      <c r="L1049">
        <v>15</v>
      </c>
      <c r="N1049" t="s">
        <v>41</v>
      </c>
      <c r="O1049" t="s">
        <v>65</v>
      </c>
    </row>
    <row r="1050" spans="1:16" x14ac:dyDescent="0.25">
      <c r="A1050" t="s">
        <v>2655</v>
      </c>
      <c r="B1050" t="s">
        <v>2290</v>
      </c>
      <c r="C1050" t="s">
        <v>2656</v>
      </c>
      <c r="D1050" t="s">
        <v>37</v>
      </c>
      <c r="E1050" t="s">
        <v>20</v>
      </c>
      <c r="F1050">
        <v>8</v>
      </c>
      <c r="G1050" t="s">
        <v>21</v>
      </c>
      <c r="H1050" t="s">
        <v>39</v>
      </c>
      <c r="I1050" t="s">
        <v>40</v>
      </c>
      <c r="J1050">
        <v>47.35</v>
      </c>
      <c r="K1050">
        <v>-2</v>
      </c>
      <c r="L1050">
        <v>120</v>
      </c>
      <c r="M1050" t="s">
        <v>24</v>
      </c>
      <c r="N1050" t="s">
        <v>41</v>
      </c>
      <c r="O1050" t="s">
        <v>82</v>
      </c>
    </row>
    <row r="1051" spans="1:16" x14ac:dyDescent="0.25">
      <c r="A1051" t="s">
        <v>2657</v>
      </c>
      <c r="B1051" t="s">
        <v>193</v>
      </c>
      <c r="C1051" t="s">
        <v>2658</v>
      </c>
      <c r="D1051" t="s">
        <v>63</v>
      </c>
      <c r="E1051" t="s">
        <v>46</v>
      </c>
      <c r="F1051">
        <v>8</v>
      </c>
      <c r="G1051" t="s">
        <v>30</v>
      </c>
      <c r="H1051" t="s">
        <v>54</v>
      </c>
      <c r="I1051" t="s">
        <v>55</v>
      </c>
      <c r="J1051">
        <v>178.63</v>
      </c>
      <c r="K1051">
        <v>6</v>
      </c>
      <c r="L1051">
        <v>15</v>
      </c>
      <c r="M1051" t="s">
        <v>59</v>
      </c>
      <c r="N1051" t="s">
        <v>41</v>
      </c>
      <c r="O1051" t="s">
        <v>33</v>
      </c>
      <c r="P1051">
        <v>1</v>
      </c>
    </row>
    <row r="1052" spans="1:16" x14ac:dyDescent="0.25">
      <c r="A1052" t="s">
        <v>2659</v>
      </c>
      <c r="B1052" t="s">
        <v>517</v>
      </c>
      <c r="C1052" t="s">
        <v>2660</v>
      </c>
      <c r="E1052" t="s">
        <v>46</v>
      </c>
      <c r="F1052">
        <v>8</v>
      </c>
      <c r="G1052" t="s">
        <v>21</v>
      </c>
      <c r="H1052" t="s">
        <v>39</v>
      </c>
      <c r="I1052" t="s">
        <v>40</v>
      </c>
      <c r="J1052">
        <v>142.63</v>
      </c>
      <c r="K1052">
        <v>3</v>
      </c>
      <c r="L1052">
        <v>10</v>
      </c>
      <c r="N1052" t="s">
        <v>91</v>
      </c>
      <c r="O1052" t="s">
        <v>65</v>
      </c>
      <c r="P1052">
        <v>2</v>
      </c>
    </row>
    <row r="1053" spans="1:16" x14ac:dyDescent="0.25">
      <c r="A1053" t="s">
        <v>2661</v>
      </c>
      <c r="B1053" t="s">
        <v>2360</v>
      </c>
      <c r="C1053" t="s">
        <v>2662</v>
      </c>
      <c r="D1053" t="s">
        <v>19</v>
      </c>
      <c r="E1053" t="s">
        <v>20</v>
      </c>
      <c r="F1053">
        <v>8</v>
      </c>
      <c r="G1053" t="s">
        <v>86</v>
      </c>
      <c r="H1053" t="s">
        <v>39</v>
      </c>
      <c r="I1053" t="s">
        <v>40</v>
      </c>
      <c r="J1053">
        <v>157.87</v>
      </c>
      <c r="K1053">
        <v>-2</v>
      </c>
      <c r="L1053">
        <v>120</v>
      </c>
      <c r="M1053" t="s">
        <v>77</v>
      </c>
      <c r="N1053" t="s">
        <v>25</v>
      </c>
      <c r="O1053" t="s">
        <v>82</v>
      </c>
      <c r="P1053">
        <v>5</v>
      </c>
    </row>
    <row r="1054" spans="1:16" x14ac:dyDescent="0.25">
      <c r="A1054" t="s">
        <v>2663</v>
      </c>
      <c r="B1054" t="s">
        <v>2664</v>
      </c>
      <c r="C1054" t="s">
        <v>2665</v>
      </c>
      <c r="E1054" t="s">
        <v>20</v>
      </c>
      <c r="F1054">
        <v>130</v>
      </c>
      <c r="G1054" t="s">
        <v>38</v>
      </c>
      <c r="H1054" t="s">
        <v>31</v>
      </c>
      <c r="I1054" t="s">
        <v>32</v>
      </c>
      <c r="J1054">
        <v>328.08</v>
      </c>
      <c r="K1054">
        <v>7</v>
      </c>
      <c r="L1054">
        <v>15</v>
      </c>
      <c r="M1054" t="s">
        <v>77</v>
      </c>
      <c r="N1054" t="s">
        <v>25</v>
      </c>
      <c r="O1054" t="s">
        <v>82</v>
      </c>
      <c r="P1054">
        <v>5</v>
      </c>
    </row>
    <row r="1055" spans="1:16" x14ac:dyDescent="0.25">
      <c r="A1055" t="s">
        <v>2666</v>
      </c>
      <c r="B1055" t="s">
        <v>638</v>
      </c>
      <c r="C1055" t="s">
        <v>688</v>
      </c>
      <c r="D1055" t="s">
        <v>69</v>
      </c>
      <c r="E1055" t="s">
        <v>46</v>
      </c>
      <c r="F1055">
        <v>8</v>
      </c>
      <c r="G1055" t="s">
        <v>47</v>
      </c>
      <c r="H1055" t="s">
        <v>87</v>
      </c>
      <c r="I1055" t="s">
        <v>49</v>
      </c>
      <c r="J1055">
        <v>222.21</v>
      </c>
      <c r="K1055">
        <v>-2</v>
      </c>
      <c r="L1055">
        <v>15</v>
      </c>
      <c r="M1055" t="s">
        <v>59</v>
      </c>
      <c r="N1055" t="s">
        <v>81</v>
      </c>
      <c r="O1055" t="s">
        <v>26</v>
      </c>
    </row>
    <row r="1056" spans="1:16" x14ac:dyDescent="0.25">
      <c r="A1056" t="s">
        <v>2667</v>
      </c>
      <c r="B1056" t="s">
        <v>434</v>
      </c>
      <c r="C1056" t="s">
        <v>2668</v>
      </c>
      <c r="D1056" t="s">
        <v>19</v>
      </c>
      <c r="E1056" t="s">
        <v>46</v>
      </c>
      <c r="F1056">
        <v>130</v>
      </c>
      <c r="G1056" t="s">
        <v>53</v>
      </c>
      <c r="H1056" t="s">
        <v>87</v>
      </c>
      <c r="I1056" t="s">
        <v>49</v>
      </c>
      <c r="J1056">
        <v>443.43</v>
      </c>
      <c r="K1056">
        <v>4</v>
      </c>
      <c r="L1056">
        <v>120</v>
      </c>
      <c r="N1056" t="s">
        <v>91</v>
      </c>
      <c r="O1056" t="s">
        <v>33</v>
      </c>
      <c r="P1056">
        <v>3</v>
      </c>
    </row>
    <row r="1057" spans="1:16" x14ac:dyDescent="0.25">
      <c r="A1057" t="s">
        <v>2669</v>
      </c>
      <c r="B1057" t="s">
        <v>437</v>
      </c>
      <c r="C1057" t="s">
        <v>2670</v>
      </c>
      <c r="D1057" t="s">
        <v>101</v>
      </c>
      <c r="E1057" t="s">
        <v>20</v>
      </c>
      <c r="F1057">
        <v>50</v>
      </c>
      <c r="G1057" t="s">
        <v>86</v>
      </c>
      <c r="H1057" t="s">
        <v>54</v>
      </c>
      <c r="I1057" t="s">
        <v>55</v>
      </c>
      <c r="J1057">
        <v>312.91000000000003</v>
      </c>
      <c r="K1057">
        <v>-2</v>
      </c>
      <c r="L1057">
        <v>10</v>
      </c>
      <c r="N1057" t="s">
        <v>25</v>
      </c>
      <c r="O1057" t="s">
        <v>33</v>
      </c>
      <c r="P1057">
        <v>2</v>
      </c>
    </row>
    <row r="1058" spans="1:16" x14ac:dyDescent="0.25">
      <c r="A1058" t="s">
        <v>2671</v>
      </c>
      <c r="B1058" t="s">
        <v>400</v>
      </c>
      <c r="C1058" t="s">
        <v>2672</v>
      </c>
      <c r="D1058" t="s">
        <v>101</v>
      </c>
      <c r="E1058" t="s">
        <v>20</v>
      </c>
      <c r="F1058">
        <v>130</v>
      </c>
      <c r="G1058" t="s">
        <v>86</v>
      </c>
      <c r="H1058" t="s">
        <v>121</v>
      </c>
      <c r="I1058" t="s">
        <v>122</v>
      </c>
      <c r="J1058">
        <v>177.48</v>
      </c>
      <c r="K1058">
        <v>4</v>
      </c>
      <c r="L1058">
        <v>-10</v>
      </c>
      <c r="M1058" t="s">
        <v>64</v>
      </c>
      <c r="N1058" t="s">
        <v>91</v>
      </c>
      <c r="O1058" t="s">
        <v>33</v>
      </c>
    </row>
    <row r="1059" spans="1:16" x14ac:dyDescent="0.25">
      <c r="A1059" t="s">
        <v>2673</v>
      </c>
      <c r="B1059" t="s">
        <v>464</v>
      </c>
      <c r="C1059" t="s">
        <v>2674</v>
      </c>
      <c r="E1059" t="s">
        <v>20</v>
      </c>
      <c r="F1059">
        <v>130</v>
      </c>
      <c r="G1059" t="s">
        <v>70</v>
      </c>
      <c r="H1059" t="s">
        <v>31</v>
      </c>
      <c r="I1059" t="s">
        <v>32</v>
      </c>
      <c r="J1059">
        <v>408.51</v>
      </c>
      <c r="K1059">
        <v>1</v>
      </c>
      <c r="L1059">
        <v>-10</v>
      </c>
      <c r="M1059" t="s">
        <v>64</v>
      </c>
      <c r="N1059" t="s">
        <v>25</v>
      </c>
      <c r="O1059" t="s">
        <v>26</v>
      </c>
      <c r="P1059">
        <v>5</v>
      </c>
    </row>
    <row r="1060" spans="1:16" x14ac:dyDescent="0.25">
      <c r="A1060" t="s">
        <v>2675</v>
      </c>
      <c r="B1060" t="s">
        <v>2676</v>
      </c>
      <c r="C1060" t="s">
        <v>2677</v>
      </c>
      <c r="D1060" t="s">
        <v>69</v>
      </c>
      <c r="E1060" t="s">
        <v>46</v>
      </c>
      <c r="F1060">
        <v>130</v>
      </c>
      <c r="G1060" t="s">
        <v>86</v>
      </c>
      <c r="H1060" t="s">
        <v>22</v>
      </c>
      <c r="I1060" t="s">
        <v>23</v>
      </c>
      <c r="J1060">
        <v>208.95</v>
      </c>
      <c r="K1060">
        <v>-2</v>
      </c>
      <c r="L1060">
        <v>120</v>
      </c>
      <c r="M1060" t="s">
        <v>24</v>
      </c>
      <c r="N1060" t="s">
        <v>91</v>
      </c>
      <c r="O1060" t="s">
        <v>82</v>
      </c>
      <c r="P1060">
        <v>1</v>
      </c>
    </row>
    <row r="1061" spans="1:16" x14ac:dyDescent="0.25">
      <c r="A1061" t="s">
        <v>2678</v>
      </c>
      <c r="B1061" t="s">
        <v>1628</v>
      </c>
      <c r="C1061" t="s">
        <v>2679</v>
      </c>
      <c r="D1061" t="s">
        <v>45</v>
      </c>
      <c r="E1061" t="s">
        <v>20</v>
      </c>
      <c r="F1061">
        <v>8</v>
      </c>
      <c r="G1061" t="s">
        <v>70</v>
      </c>
      <c r="H1061" t="s">
        <v>31</v>
      </c>
      <c r="I1061" t="s">
        <v>32</v>
      </c>
      <c r="J1061">
        <v>318.93</v>
      </c>
      <c r="K1061">
        <v>2</v>
      </c>
      <c r="L1061">
        <v>0</v>
      </c>
      <c r="M1061" t="s">
        <v>64</v>
      </c>
      <c r="N1061" t="s">
        <v>81</v>
      </c>
      <c r="O1061" t="s">
        <v>65</v>
      </c>
      <c r="P1061">
        <v>5</v>
      </c>
    </row>
    <row r="1062" spans="1:16" x14ac:dyDescent="0.25">
      <c r="A1062" t="s">
        <v>2680</v>
      </c>
      <c r="B1062" t="s">
        <v>1509</v>
      </c>
      <c r="C1062" t="s">
        <v>2681</v>
      </c>
      <c r="E1062" t="s">
        <v>46</v>
      </c>
      <c r="F1062">
        <v>8</v>
      </c>
      <c r="G1062" t="s">
        <v>21</v>
      </c>
      <c r="H1062" t="s">
        <v>39</v>
      </c>
      <c r="I1062" t="s">
        <v>40</v>
      </c>
      <c r="J1062">
        <v>102.46</v>
      </c>
      <c r="K1062">
        <v>-2</v>
      </c>
      <c r="L1062">
        <v>-10</v>
      </c>
      <c r="M1062" t="s">
        <v>77</v>
      </c>
      <c r="N1062" t="s">
        <v>41</v>
      </c>
      <c r="O1062" t="s">
        <v>82</v>
      </c>
      <c r="P1062">
        <v>4</v>
      </c>
    </row>
    <row r="1063" spans="1:16" x14ac:dyDescent="0.25">
      <c r="A1063" t="s">
        <v>2682</v>
      </c>
      <c r="B1063" t="s">
        <v>2341</v>
      </c>
      <c r="C1063" t="s">
        <v>2683</v>
      </c>
      <c r="D1063" t="s">
        <v>63</v>
      </c>
      <c r="E1063" t="s">
        <v>20</v>
      </c>
      <c r="F1063">
        <v>130</v>
      </c>
      <c r="G1063" t="s">
        <v>30</v>
      </c>
      <c r="H1063" t="s">
        <v>22</v>
      </c>
      <c r="I1063" t="s">
        <v>23</v>
      </c>
      <c r="J1063">
        <v>319.35000000000002</v>
      </c>
      <c r="K1063">
        <v>5</v>
      </c>
      <c r="L1063">
        <v>0</v>
      </c>
      <c r="M1063" t="s">
        <v>77</v>
      </c>
      <c r="N1063" t="s">
        <v>41</v>
      </c>
      <c r="O1063" t="s">
        <v>33</v>
      </c>
    </row>
    <row r="1064" spans="1:16" x14ac:dyDescent="0.25">
      <c r="A1064" t="s">
        <v>2684</v>
      </c>
      <c r="B1064" t="s">
        <v>1245</v>
      </c>
      <c r="C1064" t="s">
        <v>2348</v>
      </c>
      <c r="D1064" t="s">
        <v>37</v>
      </c>
      <c r="E1064" t="s">
        <v>20</v>
      </c>
      <c r="F1064">
        <v>8</v>
      </c>
      <c r="G1064" t="s">
        <v>21</v>
      </c>
      <c r="H1064" t="s">
        <v>48</v>
      </c>
      <c r="I1064" t="s">
        <v>49</v>
      </c>
      <c r="J1064">
        <v>300.57</v>
      </c>
      <c r="K1064">
        <v>2</v>
      </c>
      <c r="L1064">
        <v>120</v>
      </c>
      <c r="M1064" t="s">
        <v>77</v>
      </c>
      <c r="N1064" t="s">
        <v>25</v>
      </c>
      <c r="O1064" t="s">
        <v>65</v>
      </c>
      <c r="P1064">
        <v>5</v>
      </c>
    </row>
    <row r="1065" spans="1:16" x14ac:dyDescent="0.25">
      <c r="A1065" t="s">
        <v>2685</v>
      </c>
      <c r="B1065" t="s">
        <v>2686</v>
      </c>
      <c r="C1065" t="s">
        <v>2687</v>
      </c>
      <c r="D1065" t="s">
        <v>19</v>
      </c>
      <c r="E1065" t="s">
        <v>46</v>
      </c>
      <c r="F1065">
        <v>130</v>
      </c>
      <c r="G1065" t="s">
        <v>47</v>
      </c>
      <c r="H1065" t="s">
        <v>54</v>
      </c>
      <c r="I1065" t="s">
        <v>55</v>
      </c>
      <c r="J1065">
        <v>317.3</v>
      </c>
      <c r="K1065">
        <v>-2</v>
      </c>
      <c r="L1065">
        <v>15</v>
      </c>
      <c r="N1065" t="s">
        <v>91</v>
      </c>
      <c r="O1065" t="s">
        <v>33</v>
      </c>
      <c r="P1065">
        <v>1</v>
      </c>
    </row>
    <row r="1066" spans="1:16" x14ac:dyDescent="0.25">
      <c r="A1066" t="s">
        <v>2688</v>
      </c>
      <c r="B1066" t="s">
        <v>2689</v>
      </c>
      <c r="C1066" t="s">
        <v>2690</v>
      </c>
      <c r="D1066" t="s">
        <v>45</v>
      </c>
      <c r="E1066" t="s">
        <v>20</v>
      </c>
      <c r="F1066">
        <v>8</v>
      </c>
      <c r="G1066" t="s">
        <v>38</v>
      </c>
      <c r="H1066" t="s">
        <v>22</v>
      </c>
      <c r="I1066" t="s">
        <v>23</v>
      </c>
      <c r="J1066">
        <v>62.14</v>
      </c>
      <c r="K1066">
        <v>7</v>
      </c>
      <c r="L1066">
        <v>15</v>
      </c>
      <c r="M1066" t="s">
        <v>24</v>
      </c>
      <c r="N1066" t="s">
        <v>81</v>
      </c>
      <c r="O1066" t="s">
        <v>82</v>
      </c>
    </row>
    <row r="1067" spans="1:16" x14ac:dyDescent="0.25">
      <c r="A1067" t="s">
        <v>2691</v>
      </c>
      <c r="B1067" t="s">
        <v>662</v>
      </c>
      <c r="C1067" t="s">
        <v>2692</v>
      </c>
      <c r="D1067" t="s">
        <v>37</v>
      </c>
      <c r="E1067" t="s">
        <v>20</v>
      </c>
      <c r="F1067">
        <v>43</v>
      </c>
      <c r="G1067" t="s">
        <v>30</v>
      </c>
      <c r="H1067" t="s">
        <v>87</v>
      </c>
      <c r="I1067" t="s">
        <v>49</v>
      </c>
      <c r="J1067">
        <v>184.32</v>
      </c>
      <c r="K1067">
        <v>7</v>
      </c>
      <c r="L1067">
        <v>0</v>
      </c>
      <c r="M1067" t="s">
        <v>59</v>
      </c>
      <c r="N1067" t="s">
        <v>91</v>
      </c>
      <c r="O1067" t="s">
        <v>33</v>
      </c>
      <c r="P1067">
        <v>5</v>
      </c>
    </row>
    <row r="1068" spans="1:16" x14ac:dyDescent="0.25">
      <c r="A1068" t="s">
        <v>2693</v>
      </c>
      <c r="B1068" t="s">
        <v>1589</v>
      </c>
      <c r="C1068" t="s">
        <v>2694</v>
      </c>
      <c r="D1068" t="s">
        <v>45</v>
      </c>
      <c r="E1068" t="s">
        <v>46</v>
      </c>
      <c r="F1068">
        <v>130</v>
      </c>
      <c r="G1068" t="s">
        <v>53</v>
      </c>
      <c r="H1068" t="s">
        <v>31</v>
      </c>
      <c r="I1068" t="s">
        <v>32</v>
      </c>
      <c r="J1068">
        <v>16.5</v>
      </c>
      <c r="K1068">
        <v>7</v>
      </c>
      <c r="L1068">
        <v>15</v>
      </c>
      <c r="M1068" t="s">
        <v>59</v>
      </c>
      <c r="N1068" t="s">
        <v>81</v>
      </c>
      <c r="O1068" t="s">
        <v>65</v>
      </c>
      <c r="P1068">
        <v>2</v>
      </c>
    </row>
    <row r="1069" spans="1:16" x14ac:dyDescent="0.25">
      <c r="A1069" t="s">
        <v>2695</v>
      </c>
      <c r="B1069" t="s">
        <v>2696</v>
      </c>
      <c r="C1069" t="s">
        <v>795</v>
      </c>
      <c r="D1069" t="s">
        <v>101</v>
      </c>
      <c r="E1069" t="s">
        <v>20</v>
      </c>
      <c r="F1069">
        <v>32</v>
      </c>
      <c r="G1069" t="s">
        <v>21</v>
      </c>
      <c r="H1069" t="s">
        <v>48</v>
      </c>
      <c r="I1069" t="s">
        <v>49</v>
      </c>
      <c r="J1069">
        <v>339.22</v>
      </c>
      <c r="K1069">
        <v>6</v>
      </c>
      <c r="L1069">
        <v>10</v>
      </c>
      <c r="N1069" t="s">
        <v>81</v>
      </c>
      <c r="O1069" t="s">
        <v>65</v>
      </c>
    </row>
    <row r="1070" spans="1:16" x14ac:dyDescent="0.25">
      <c r="A1070" t="s">
        <v>2697</v>
      </c>
      <c r="B1070" t="s">
        <v>2274</v>
      </c>
      <c r="C1070" t="s">
        <v>1293</v>
      </c>
      <c r="D1070" t="s">
        <v>69</v>
      </c>
      <c r="E1070" t="s">
        <v>46</v>
      </c>
      <c r="F1070">
        <v>8</v>
      </c>
      <c r="G1070" t="s">
        <v>53</v>
      </c>
      <c r="H1070" t="s">
        <v>39</v>
      </c>
      <c r="I1070" t="s">
        <v>40</v>
      </c>
      <c r="J1070">
        <v>97.76</v>
      </c>
      <c r="K1070">
        <v>-2</v>
      </c>
      <c r="L1070">
        <v>5</v>
      </c>
      <c r="M1070" t="s">
        <v>24</v>
      </c>
      <c r="N1070" t="s">
        <v>25</v>
      </c>
      <c r="O1070" t="s">
        <v>65</v>
      </c>
      <c r="P1070">
        <v>1</v>
      </c>
    </row>
    <row r="1071" spans="1:16" x14ac:dyDescent="0.25">
      <c r="A1071" t="s">
        <v>2698</v>
      </c>
      <c r="B1071" t="s">
        <v>2699</v>
      </c>
      <c r="C1071" t="s">
        <v>2700</v>
      </c>
      <c r="E1071" t="s">
        <v>46</v>
      </c>
      <c r="F1071">
        <v>58</v>
      </c>
      <c r="G1071" t="s">
        <v>47</v>
      </c>
      <c r="H1071" t="s">
        <v>48</v>
      </c>
      <c r="I1071" t="s">
        <v>49</v>
      </c>
      <c r="J1071">
        <v>454.39</v>
      </c>
      <c r="K1071">
        <v>2</v>
      </c>
      <c r="L1071">
        <v>120</v>
      </c>
      <c r="M1071" t="s">
        <v>77</v>
      </c>
      <c r="N1071" t="s">
        <v>81</v>
      </c>
      <c r="O1071" t="s">
        <v>65</v>
      </c>
      <c r="P1071">
        <v>4</v>
      </c>
    </row>
    <row r="1072" spans="1:16" x14ac:dyDescent="0.25">
      <c r="A1072" t="s">
        <v>2701</v>
      </c>
      <c r="B1072" t="s">
        <v>1380</v>
      </c>
      <c r="C1072" t="s">
        <v>2702</v>
      </c>
      <c r="D1072" t="s">
        <v>37</v>
      </c>
      <c r="E1072" t="s">
        <v>46</v>
      </c>
      <c r="F1072">
        <v>130</v>
      </c>
      <c r="G1072" t="s">
        <v>21</v>
      </c>
      <c r="H1072" t="s">
        <v>48</v>
      </c>
      <c r="I1072" t="s">
        <v>49</v>
      </c>
      <c r="J1072">
        <v>317.51</v>
      </c>
      <c r="K1072">
        <v>-2</v>
      </c>
      <c r="L1072">
        <v>5</v>
      </c>
      <c r="M1072" t="s">
        <v>77</v>
      </c>
      <c r="N1072" t="s">
        <v>25</v>
      </c>
      <c r="O1072" t="s">
        <v>65</v>
      </c>
      <c r="P1072">
        <v>5</v>
      </c>
    </row>
    <row r="1073" spans="1:16" x14ac:dyDescent="0.25">
      <c r="A1073" t="s">
        <v>2703</v>
      </c>
      <c r="B1073" t="s">
        <v>1012</v>
      </c>
      <c r="C1073" t="s">
        <v>2704</v>
      </c>
      <c r="D1073" t="s">
        <v>19</v>
      </c>
      <c r="E1073" t="s">
        <v>20</v>
      </c>
      <c r="F1073">
        <v>8</v>
      </c>
      <c r="G1073" t="s">
        <v>86</v>
      </c>
      <c r="H1073" t="s">
        <v>39</v>
      </c>
      <c r="I1073" t="s">
        <v>40</v>
      </c>
      <c r="J1073">
        <v>83.32</v>
      </c>
      <c r="K1073">
        <v>-2</v>
      </c>
      <c r="L1073">
        <v>5</v>
      </c>
      <c r="N1073" t="s">
        <v>25</v>
      </c>
      <c r="O1073" t="s">
        <v>26</v>
      </c>
    </row>
    <row r="1074" spans="1:16" x14ac:dyDescent="0.25">
      <c r="A1074" t="s">
        <v>2705</v>
      </c>
      <c r="B1074" t="s">
        <v>1309</v>
      </c>
      <c r="C1074" t="s">
        <v>2706</v>
      </c>
      <c r="D1074" t="s">
        <v>63</v>
      </c>
      <c r="E1074" t="s">
        <v>20</v>
      </c>
      <c r="F1074">
        <v>8</v>
      </c>
      <c r="G1074" t="s">
        <v>70</v>
      </c>
      <c r="H1074" t="s">
        <v>54</v>
      </c>
      <c r="I1074" t="s">
        <v>55</v>
      </c>
      <c r="J1074">
        <v>388.91</v>
      </c>
      <c r="K1074">
        <v>6</v>
      </c>
      <c r="L1074">
        <v>120</v>
      </c>
      <c r="M1074" t="s">
        <v>64</v>
      </c>
      <c r="N1074" t="s">
        <v>25</v>
      </c>
      <c r="O1074" t="s">
        <v>82</v>
      </c>
      <c r="P1074">
        <v>5</v>
      </c>
    </row>
    <row r="1075" spans="1:16" x14ac:dyDescent="0.25">
      <c r="A1075" t="s">
        <v>2707</v>
      </c>
      <c r="B1075" t="s">
        <v>1374</v>
      </c>
      <c r="C1075" t="s">
        <v>2708</v>
      </c>
      <c r="D1075" t="s">
        <v>45</v>
      </c>
      <c r="E1075" t="s">
        <v>46</v>
      </c>
      <c r="F1075">
        <v>23</v>
      </c>
      <c r="G1075" t="s">
        <v>30</v>
      </c>
      <c r="H1075" t="s">
        <v>121</v>
      </c>
      <c r="I1075" t="s">
        <v>122</v>
      </c>
      <c r="J1075">
        <v>473.5</v>
      </c>
      <c r="K1075">
        <v>5</v>
      </c>
      <c r="L1075">
        <v>0</v>
      </c>
      <c r="N1075" t="s">
        <v>81</v>
      </c>
      <c r="O1075" t="s">
        <v>26</v>
      </c>
      <c r="P1075">
        <v>3</v>
      </c>
    </row>
    <row r="1076" spans="1:16" x14ac:dyDescent="0.25">
      <c r="A1076" t="s">
        <v>2709</v>
      </c>
      <c r="B1076" t="s">
        <v>1349</v>
      </c>
      <c r="C1076" t="s">
        <v>2710</v>
      </c>
      <c r="E1076" t="s">
        <v>20</v>
      </c>
      <c r="F1076">
        <v>130</v>
      </c>
      <c r="G1076" t="s">
        <v>53</v>
      </c>
      <c r="H1076" t="s">
        <v>31</v>
      </c>
      <c r="I1076" t="s">
        <v>32</v>
      </c>
      <c r="J1076">
        <v>163</v>
      </c>
      <c r="K1076">
        <v>-2</v>
      </c>
      <c r="L1076">
        <v>10</v>
      </c>
      <c r="M1076" t="s">
        <v>59</v>
      </c>
      <c r="N1076" t="s">
        <v>81</v>
      </c>
      <c r="O1076" t="s">
        <v>82</v>
      </c>
      <c r="P1076">
        <v>4</v>
      </c>
    </row>
    <row r="1077" spans="1:16" x14ac:dyDescent="0.25">
      <c r="A1077" t="s">
        <v>2711</v>
      </c>
      <c r="B1077" t="s">
        <v>788</v>
      </c>
      <c r="C1077" t="s">
        <v>2712</v>
      </c>
      <c r="E1077" t="s">
        <v>46</v>
      </c>
      <c r="F1077">
        <v>130</v>
      </c>
      <c r="G1077" t="s">
        <v>47</v>
      </c>
      <c r="H1077" t="s">
        <v>121</v>
      </c>
      <c r="I1077" t="s">
        <v>122</v>
      </c>
      <c r="J1077">
        <v>47.15</v>
      </c>
      <c r="K1077">
        <v>1</v>
      </c>
      <c r="L1077">
        <v>0</v>
      </c>
      <c r="M1077" t="s">
        <v>64</v>
      </c>
      <c r="N1077" t="s">
        <v>25</v>
      </c>
      <c r="O1077" t="s">
        <v>65</v>
      </c>
      <c r="P1077">
        <v>5</v>
      </c>
    </row>
    <row r="1078" spans="1:16" x14ac:dyDescent="0.25">
      <c r="A1078" t="s">
        <v>2713</v>
      </c>
      <c r="B1078" t="s">
        <v>2714</v>
      </c>
      <c r="C1078" t="s">
        <v>2715</v>
      </c>
      <c r="D1078" t="s">
        <v>37</v>
      </c>
      <c r="E1078" t="s">
        <v>20</v>
      </c>
      <c r="F1078">
        <v>8</v>
      </c>
      <c r="G1078" t="s">
        <v>21</v>
      </c>
      <c r="H1078" t="s">
        <v>87</v>
      </c>
      <c r="I1078" t="s">
        <v>49</v>
      </c>
      <c r="J1078">
        <v>217.62</v>
      </c>
      <c r="K1078">
        <v>-2</v>
      </c>
      <c r="L1078">
        <v>15</v>
      </c>
      <c r="M1078" t="s">
        <v>24</v>
      </c>
      <c r="N1078" t="s">
        <v>91</v>
      </c>
      <c r="O1078" t="s">
        <v>65</v>
      </c>
    </row>
    <row r="1079" spans="1:16" x14ac:dyDescent="0.25">
      <c r="A1079" t="s">
        <v>2716</v>
      </c>
      <c r="B1079" t="s">
        <v>2717</v>
      </c>
      <c r="C1079" t="s">
        <v>2718</v>
      </c>
      <c r="D1079" t="s">
        <v>45</v>
      </c>
      <c r="E1079" t="s">
        <v>20</v>
      </c>
      <c r="F1079">
        <v>130</v>
      </c>
      <c r="G1079" t="s">
        <v>38</v>
      </c>
      <c r="H1079" t="s">
        <v>31</v>
      </c>
      <c r="I1079" t="s">
        <v>32</v>
      </c>
      <c r="J1079">
        <v>89.74</v>
      </c>
      <c r="K1079">
        <v>-2</v>
      </c>
      <c r="L1079">
        <v>15</v>
      </c>
      <c r="M1079" t="s">
        <v>59</v>
      </c>
      <c r="N1079" t="s">
        <v>81</v>
      </c>
      <c r="O1079" t="s">
        <v>82</v>
      </c>
      <c r="P1079">
        <v>5</v>
      </c>
    </row>
    <row r="1080" spans="1:16" x14ac:dyDescent="0.25">
      <c r="A1080" t="s">
        <v>2719</v>
      </c>
      <c r="B1080" t="s">
        <v>2720</v>
      </c>
      <c r="C1080" t="s">
        <v>2721</v>
      </c>
      <c r="D1080" t="s">
        <v>45</v>
      </c>
      <c r="E1080" t="s">
        <v>20</v>
      </c>
      <c r="F1080">
        <v>40</v>
      </c>
      <c r="G1080" t="s">
        <v>86</v>
      </c>
      <c r="H1080" t="s">
        <v>39</v>
      </c>
      <c r="I1080" t="s">
        <v>40</v>
      </c>
      <c r="J1080">
        <v>86.54</v>
      </c>
      <c r="K1080">
        <v>10</v>
      </c>
      <c r="L1080">
        <v>0</v>
      </c>
      <c r="M1080" t="s">
        <v>64</v>
      </c>
      <c r="N1080" t="s">
        <v>41</v>
      </c>
      <c r="O1080" t="s">
        <v>33</v>
      </c>
      <c r="P1080">
        <v>4</v>
      </c>
    </row>
    <row r="1081" spans="1:16" x14ac:dyDescent="0.25">
      <c r="A1081" t="s">
        <v>2722</v>
      </c>
      <c r="B1081" t="s">
        <v>1159</v>
      </c>
      <c r="C1081" t="s">
        <v>2723</v>
      </c>
      <c r="D1081" t="s">
        <v>19</v>
      </c>
      <c r="E1081" t="s">
        <v>20</v>
      </c>
      <c r="F1081">
        <v>22</v>
      </c>
      <c r="G1081" t="s">
        <v>38</v>
      </c>
      <c r="H1081" t="s">
        <v>39</v>
      </c>
      <c r="I1081" t="s">
        <v>40</v>
      </c>
      <c r="J1081">
        <v>35.11</v>
      </c>
      <c r="K1081">
        <v>3</v>
      </c>
      <c r="L1081">
        <v>15</v>
      </c>
      <c r="M1081" t="s">
        <v>77</v>
      </c>
      <c r="N1081" t="s">
        <v>91</v>
      </c>
      <c r="O1081" t="s">
        <v>65</v>
      </c>
      <c r="P1081">
        <v>2</v>
      </c>
    </row>
    <row r="1082" spans="1:16" x14ac:dyDescent="0.25">
      <c r="A1082" t="s">
        <v>2724</v>
      </c>
      <c r="B1082" t="s">
        <v>291</v>
      </c>
      <c r="C1082" t="s">
        <v>2294</v>
      </c>
      <c r="D1082" t="s">
        <v>69</v>
      </c>
      <c r="E1082" t="s">
        <v>20</v>
      </c>
      <c r="F1082">
        <v>8</v>
      </c>
      <c r="G1082" t="s">
        <v>70</v>
      </c>
      <c r="H1082" t="s">
        <v>87</v>
      </c>
      <c r="I1082" t="s">
        <v>49</v>
      </c>
      <c r="J1082">
        <v>226.02</v>
      </c>
      <c r="K1082">
        <v>7</v>
      </c>
      <c r="L1082">
        <v>-10</v>
      </c>
      <c r="N1082" t="s">
        <v>41</v>
      </c>
      <c r="O1082" t="s">
        <v>26</v>
      </c>
      <c r="P1082">
        <v>4</v>
      </c>
    </row>
    <row r="1083" spans="1:16" x14ac:dyDescent="0.25">
      <c r="A1083" t="s">
        <v>2725</v>
      </c>
      <c r="B1083" t="s">
        <v>2726</v>
      </c>
      <c r="C1083" t="s">
        <v>2727</v>
      </c>
      <c r="E1083" t="s">
        <v>20</v>
      </c>
      <c r="F1083">
        <v>34</v>
      </c>
      <c r="G1083" t="s">
        <v>21</v>
      </c>
      <c r="H1083" t="s">
        <v>22</v>
      </c>
      <c r="I1083" t="s">
        <v>23</v>
      </c>
      <c r="J1083">
        <v>294.27</v>
      </c>
      <c r="K1083">
        <v>-2</v>
      </c>
      <c r="L1083">
        <v>120</v>
      </c>
      <c r="M1083" t="s">
        <v>77</v>
      </c>
      <c r="N1083" t="s">
        <v>41</v>
      </c>
      <c r="O1083" t="s">
        <v>82</v>
      </c>
      <c r="P1083">
        <v>4</v>
      </c>
    </row>
    <row r="1084" spans="1:16" x14ac:dyDescent="0.25">
      <c r="A1084" t="s">
        <v>2728</v>
      </c>
      <c r="B1084" t="s">
        <v>914</v>
      </c>
      <c r="C1084" t="s">
        <v>2729</v>
      </c>
      <c r="D1084" t="s">
        <v>117</v>
      </c>
      <c r="E1084" t="s">
        <v>46</v>
      </c>
      <c r="F1084">
        <v>130</v>
      </c>
      <c r="G1084" t="s">
        <v>30</v>
      </c>
      <c r="H1084" t="s">
        <v>48</v>
      </c>
      <c r="I1084" t="s">
        <v>49</v>
      </c>
      <c r="J1084">
        <v>398.79</v>
      </c>
      <c r="K1084">
        <v>10</v>
      </c>
      <c r="L1084">
        <v>0</v>
      </c>
      <c r="M1084" t="s">
        <v>24</v>
      </c>
      <c r="N1084" t="s">
        <v>91</v>
      </c>
      <c r="O1084" t="s">
        <v>26</v>
      </c>
    </row>
    <row r="1085" spans="1:16" x14ac:dyDescent="0.25">
      <c r="A1085" t="s">
        <v>2730</v>
      </c>
      <c r="B1085" t="s">
        <v>2731</v>
      </c>
      <c r="C1085" t="s">
        <v>2732</v>
      </c>
      <c r="D1085" t="s">
        <v>37</v>
      </c>
      <c r="E1085" t="s">
        <v>20</v>
      </c>
      <c r="F1085">
        <v>57</v>
      </c>
      <c r="G1085" t="s">
        <v>86</v>
      </c>
      <c r="H1085" t="s">
        <v>54</v>
      </c>
      <c r="I1085" t="s">
        <v>55</v>
      </c>
      <c r="J1085">
        <v>103.26</v>
      </c>
      <c r="K1085">
        <v>-2</v>
      </c>
      <c r="L1085">
        <v>10</v>
      </c>
      <c r="N1085" t="s">
        <v>25</v>
      </c>
      <c r="O1085" t="s">
        <v>82</v>
      </c>
      <c r="P1085">
        <v>2</v>
      </c>
    </row>
    <row r="1086" spans="1:16" x14ac:dyDescent="0.25">
      <c r="A1086" t="s">
        <v>2733</v>
      </c>
      <c r="B1086" t="s">
        <v>2343</v>
      </c>
      <c r="C1086" t="s">
        <v>2734</v>
      </c>
      <c r="E1086" t="s">
        <v>46</v>
      </c>
      <c r="F1086">
        <v>130</v>
      </c>
      <c r="G1086" t="s">
        <v>30</v>
      </c>
      <c r="H1086" t="s">
        <v>22</v>
      </c>
      <c r="I1086" t="s">
        <v>23</v>
      </c>
      <c r="J1086">
        <v>491.71</v>
      </c>
      <c r="K1086">
        <v>-2</v>
      </c>
      <c r="L1086">
        <v>10</v>
      </c>
      <c r="N1086" t="s">
        <v>25</v>
      </c>
      <c r="O1086" t="s">
        <v>26</v>
      </c>
      <c r="P1086">
        <v>2</v>
      </c>
    </row>
    <row r="1087" spans="1:16" x14ac:dyDescent="0.25">
      <c r="A1087" t="s">
        <v>2735</v>
      </c>
      <c r="B1087" t="s">
        <v>1217</v>
      </c>
      <c r="C1087" t="s">
        <v>1849</v>
      </c>
      <c r="D1087" t="s">
        <v>37</v>
      </c>
      <c r="E1087" t="s">
        <v>20</v>
      </c>
      <c r="F1087">
        <v>8</v>
      </c>
      <c r="G1087" t="s">
        <v>70</v>
      </c>
      <c r="H1087" t="s">
        <v>87</v>
      </c>
      <c r="I1087" t="s">
        <v>49</v>
      </c>
      <c r="J1087">
        <v>370.44</v>
      </c>
      <c r="K1087">
        <v>-2</v>
      </c>
      <c r="L1087">
        <v>-10</v>
      </c>
      <c r="N1087" t="s">
        <v>41</v>
      </c>
      <c r="O1087" t="s">
        <v>65</v>
      </c>
    </row>
    <row r="1088" spans="1:16" x14ac:dyDescent="0.25">
      <c r="A1088" t="s">
        <v>2736</v>
      </c>
      <c r="B1088" t="s">
        <v>951</v>
      </c>
      <c r="C1088" t="s">
        <v>1852</v>
      </c>
      <c r="D1088" t="s">
        <v>45</v>
      </c>
      <c r="E1088" t="s">
        <v>20</v>
      </c>
      <c r="F1088">
        <v>32</v>
      </c>
      <c r="G1088" t="s">
        <v>53</v>
      </c>
      <c r="H1088" t="s">
        <v>121</v>
      </c>
      <c r="I1088" t="s">
        <v>122</v>
      </c>
      <c r="J1088">
        <v>11.34</v>
      </c>
      <c r="K1088">
        <v>10</v>
      </c>
      <c r="L1088">
        <v>5</v>
      </c>
      <c r="N1088" t="s">
        <v>41</v>
      </c>
      <c r="O1088" t="s">
        <v>82</v>
      </c>
      <c r="P1088">
        <v>1</v>
      </c>
    </row>
    <row r="1089" spans="1:16" x14ac:dyDescent="0.25">
      <c r="A1089" t="s">
        <v>2737</v>
      </c>
      <c r="B1089" t="s">
        <v>1363</v>
      </c>
      <c r="C1089" t="s">
        <v>2738</v>
      </c>
      <c r="D1089" t="s">
        <v>63</v>
      </c>
      <c r="E1089" t="s">
        <v>20</v>
      </c>
      <c r="F1089">
        <v>43</v>
      </c>
      <c r="G1089" t="s">
        <v>86</v>
      </c>
      <c r="H1089" t="s">
        <v>39</v>
      </c>
      <c r="I1089" t="s">
        <v>40</v>
      </c>
      <c r="J1089">
        <v>357.92</v>
      </c>
      <c r="K1089">
        <v>-2</v>
      </c>
      <c r="L1089">
        <v>5</v>
      </c>
      <c r="M1089" t="s">
        <v>64</v>
      </c>
      <c r="N1089" t="s">
        <v>91</v>
      </c>
      <c r="O1089" t="s">
        <v>82</v>
      </c>
      <c r="P1089">
        <v>5</v>
      </c>
    </row>
    <row r="1090" spans="1:16" x14ac:dyDescent="0.25">
      <c r="A1090" t="s">
        <v>2739</v>
      </c>
      <c r="B1090" t="s">
        <v>470</v>
      </c>
      <c r="C1090" t="s">
        <v>2740</v>
      </c>
      <c r="E1090" t="s">
        <v>46</v>
      </c>
      <c r="F1090">
        <v>8</v>
      </c>
      <c r="G1090" t="s">
        <v>38</v>
      </c>
      <c r="H1090" t="s">
        <v>31</v>
      </c>
      <c r="I1090" t="s">
        <v>32</v>
      </c>
      <c r="J1090">
        <v>450.32</v>
      </c>
      <c r="K1090">
        <v>-2</v>
      </c>
      <c r="L1090">
        <v>5</v>
      </c>
      <c r="M1090" t="s">
        <v>24</v>
      </c>
      <c r="N1090" t="s">
        <v>25</v>
      </c>
      <c r="O1090" t="s">
        <v>82</v>
      </c>
    </row>
    <row r="1091" spans="1:16" x14ac:dyDescent="0.25">
      <c r="A1091" t="s">
        <v>2741</v>
      </c>
      <c r="B1091" t="s">
        <v>1900</v>
      </c>
      <c r="C1091" t="s">
        <v>2742</v>
      </c>
      <c r="D1091" t="s">
        <v>19</v>
      </c>
      <c r="E1091" t="s">
        <v>20</v>
      </c>
      <c r="F1091">
        <v>130</v>
      </c>
      <c r="G1091" t="s">
        <v>70</v>
      </c>
      <c r="H1091" t="s">
        <v>54</v>
      </c>
      <c r="I1091" t="s">
        <v>55</v>
      </c>
      <c r="J1091">
        <v>306.32</v>
      </c>
      <c r="K1091">
        <v>-2</v>
      </c>
      <c r="L1091">
        <v>10</v>
      </c>
      <c r="M1091" t="s">
        <v>77</v>
      </c>
      <c r="N1091" t="s">
        <v>25</v>
      </c>
      <c r="O1091" t="s">
        <v>26</v>
      </c>
      <c r="P1091">
        <v>1</v>
      </c>
    </row>
    <row r="1092" spans="1:16" x14ac:dyDescent="0.25">
      <c r="A1092" t="s">
        <v>2743</v>
      </c>
      <c r="B1092" t="s">
        <v>2744</v>
      </c>
      <c r="C1092" t="s">
        <v>2745</v>
      </c>
      <c r="E1092" t="s">
        <v>46</v>
      </c>
      <c r="F1092">
        <v>8</v>
      </c>
      <c r="G1092" t="s">
        <v>30</v>
      </c>
      <c r="H1092" t="s">
        <v>54</v>
      </c>
      <c r="I1092" t="s">
        <v>55</v>
      </c>
      <c r="J1092">
        <v>176.78</v>
      </c>
      <c r="K1092">
        <v>-2</v>
      </c>
      <c r="L1092">
        <v>-10</v>
      </c>
      <c r="M1092" t="s">
        <v>59</v>
      </c>
      <c r="N1092" t="s">
        <v>25</v>
      </c>
      <c r="O1092" t="s">
        <v>65</v>
      </c>
      <c r="P1092">
        <v>3</v>
      </c>
    </row>
    <row r="1093" spans="1:16" x14ac:dyDescent="0.25">
      <c r="A1093" t="s">
        <v>2746</v>
      </c>
      <c r="B1093" t="s">
        <v>1729</v>
      </c>
      <c r="C1093" t="s">
        <v>2747</v>
      </c>
      <c r="D1093" t="s">
        <v>63</v>
      </c>
      <c r="E1093" t="s">
        <v>46</v>
      </c>
      <c r="F1093">
        <v>8</v>
      </c>
      <c r="G1093" t="s">
        <v>47</v>
      </c>
      <c r="H1093" t="s">
        <v>22</v>
      </c>
      <c r="I1093" t="s">
        <v>23</v>
      </c>
      <c r="J1093">
        <v>138.12</v>
      </c>
      <c r="K1093">
        <v>10</v>
      </c>
      <c r="L1093">
        <v>5</v>
      </c>
      <c r="M1093" t="s">
        <v>24</v>
      </c>
      <c r="N1093" t="s">
        <v>81</v>
      </c>
      <c r="O1093" t="s">
        <v>33</v>
      </c>
      <c r="P1093">
        <v>5</v>
      </c>
    </row>
    <row r="1094" spans="1:16" x14ac:dyDescent="0.25">
      <c r="A1094" t="s">
        <v>2748</v>
      </c>
      <c r="B1094" t="s">
        <v>2749</v>
      </c>
      <c r="C1094" t="s">
        <v>2750</v>
      </c>
      <c r="D1094" t="s">
        <v>63</v>
      </c>
      <c r="E1094" t="s">
        <v>20</v>
      </c>
      <c r="F1094">
        <v>130</v>
      </c>
      <c r="G1094" t="s">
        <v>86</v>
      </c>
      <c r="H1094" t="s">
        <v>48</v>
      </c>
      <c r="I1094" t="s">
        <v>49</v>
      </c>
      <c r="J1094">
        <v>200.1</v>
      </c>
      <c r="K1094">
        <v>-2</v>
      </c>
      <c r="L1094">
        <v>15</v>
      </c>
      <c r="M1094" t="s">
        <v>59</v>
      </c>
      <c r="N1094" t="s">
        <v>41</v>
      </c>
      <c r="O1094" t="s">
        <v>26</v>
      </c>
      <c r="P1094">
        <v>5</v>
      </c>
    </row>
    <row r="1095" spans="1:16" x14ac:dyDescent="0.25">
      <c r="A1095" t="s">
        <v>2751</v>
      </c>
      <c r="B1095" t="s">
        <v>671</v>
      </c>
      <c r="C1095" t="s">
        <v>2752</v>
      </c>
      <c r="D1095" t="s">
        <v>117</v>
      </c>
      <c r="E1095" t="s">
        <v>20</v>
      </c>
      <c r="F1095">
        <v>8</v>
      </c>
      <c r="G1095" t="s">
        <v>53</v>
      </c>
      <c r="H1095" t="s">
        <v>48</v>
      </c>
      <c r="I1095" t="s">
        <v>49</v>
      </c>
      <c r="J1095">
        <v>213.53</v>
      </c>
      <c r="K1095">
        <v>7</v>
      </c>
      <c r="L1095">
        <v>10</v>
      </c>
      <c r="M1095" t="s">
        <v>64</v>
      </c>
      <c r="N1095" t="s">
        <v>91</v>
      </c>
      <c r="O1095" t="s">
        <v>65</v>
      </c>
      <c r="P1095">
        <v>1</v>
      </c>
    </row>
    <row r="1096" spans="1:16" x14ac:dyDescent="0.25">
      <c r="A1096" t="s">
        <v>2753</v>
      </c>
      <c r="B1096" t="s">
        <v>1699</v>
      </c>
      <c r="C1096" t="s">
        <v>2754</v>
      </c>
      <c r="E1096" t="s">
        <v>46</v>
      </c>
      <c r="F1096">
        <v>130</v>
      </c>
      <c r="G1096" t="s">
        <v>30</v>
      </c>
      <c r="H1096" t="s">
        <v>54</v>
      </c>
      <c r="I1096" t="s">
        <v>55</v>
      </c>
      <c r="J1096">
        <v>115.81</v>
      </c>
      <c r="K1096">
        <v>9</v>
      </c>
      <c r="L1096">
        <v>-10</v>
      </c>
      <c r="N1096" t="s">
        <v>81</v>
      </c>
      <c r="O1096" t="s">
        <v>82</v>
      </c>
      <c r="P1096">
        <v>4</v>
      </c>
    </row>
    <row r="1097" spans="1:16" x14ac:dyDescent="0.25">
      <c r="A1097" t="s">
        <v>2755</v>
      </c>
      <c r="B1097" t="s">
        <v>372</v>
      </c>
      <c r="C1097" t="s">
        <v>2756</v>
      </c>
      <c r="D1097" t="s">
        <v>45</v>
      </c>
      <c r="E1097" t="s">
        <v>46</v>
      </c>
      <c r="F1097">
        <v>130</v>
      </c>
      <c r="G1097" t="s">
        <v>21</v>
      </c>
      <c r="H1097" t="s">
        <v>39</v>
      </c>
      <c r="I1097" t="s">
        <v>40</v>
      </c>
      <c r="J1097">
        <v>329.29</v>
      </c>
      <c r="K1097">
        <v>-2</v>
      </c>
      <c r="L1097">
        <v>0</v>
      </c>
      <c r="M1097" t="s">
        <v>77</v>
      </c>
      <c r="N1097" t="s">
        <v>41</v>
      </c>
      <c r="O1097" t="s">
        <v>82</v>
      </c>
      <c r="P1097">
        <v>5</v>
      </c>
    </row>
    <row r="1098" spans="1:16" x14ac:dyDescent="0.25">
      <c r="A1098" t="s">
        <v>2757</v>
      </c>
      <c r="B1098" t="s">
        <v>807</v>
      </c>
      <c r="C1098" t="s">
        <v>2758</v>
      </c>
      <c r="D1098" t="s">
        <v>45</v>
      </c>
      <c r="E1098" t="s">
        <v>46</v>
      </c>
      <c r="F1098">
        <v>8</v>
      </c>
      <c r="G1098" t="s">
        <v>53</v>
      </c>
      <c r="H1098" t="s">
        <v>87</v>
      </c>
      <c r="I1098" t="s">
        <v>49</v>
      </c>
      <c r="J1098">
        <v>207.91</v>
      </c>
      <c r="K1098">
        <v>-2</v>
      </c>
      <c r="L1098">
        <v>0</v>
      </c>
      <c r="M1098" t="s">
        <v>64</v>
      </c>
      <c r="N1098" t="s">
        <v>25</v>
      </c>
      <c r="O1098" t="s">
        <v>26</v>
      </c>
    </row>
    <row r="1099" spans="1:16" x14ac:dyDescent="0.25">
      <c r="A1099" t="s">
        <v>2759</v>
      </c>
      <c r="B1099" t="s">
        <v>2760</v>
      </c>
      <c r="C1099" t="s">
        <v>2761</v>
      </c>
      <c r="D1099" t="s">
        <v>101</v>
      </c>
      <c r="E1099" t="s">
        <v>20</v>
      </c>
      <c r="F1099">
        <v>130</v>
      </c>
      <c r="G1099" t="s">
        <v>53</v>
      </c>
      <c r="H1099" t="s">
        <v>87</v>
      </c>
      <c r="I1099" t="s">
        <v>49</v>
      </c>
      <c r="J1099">
        <v>402.71</v>
      </c>
      <c r="K1099">
        <v>-2</v>
      </c>
      <c r="L1099">
        <v>0</v>
      </c>
      <c r="N1099" t="s">
        <v>41</v>
      </c>
      <c r="O1099" t="s">
        <v>26</v>
      </c>
      <c r="P1099">
        <v>2</v>
      </c>
    </row>
    <row r="1100" spans="1:16" x14ac:dyDescent="0.25">
      <c r="A1100" t="s">
        <v>2762</v>
      </c>
      <c r="B1100" t="s">
        <v>464</v>
      </c>
      <c r="C1100" t="s">
        <v>398</v>
      </c>
      <c r="D1100" t="s">
        <v>45</v>
      </c>
      <c r="E1100" t="s">
        <v>20</v>
      </c>
      <c r="F1100">
        <v>130</v>
      </c>
      <c r="G1100" t="s">
        <v>53</v>
      </c>
      <c r="H1100" t="s">
        <v>87</v>
      </c>
      <c r="I1100" t="s">
        <v>49</v>
      </c>
      <c r="J1100">
        <v>181.81</v>
      </c>
      <c r="K1100">
        <v>-2</v>
      </c>
      <c r="L1100">
        <v>0</v>
      </c>
      <c r="M1100" t="s">
        <v>59</v>
      </c>
      <c r="N1100" t="s">
        <v>25</v>
      </c>
      <c r="O1100" t="s">
        <v>82</v>
      </c>
      <c r="P1100">
        <v>3</v>
      </c>
    </row>
    <row r="1101" spans="1:16" x14ac:dyDescent="0.25">
      <c r="A1101" t="s">
        <v>2763</v>
      </c>
      <c r="B1101" t="s">
        <v>2764</v>
      </c>
      <c r="C1101" t="s">
        <v>2765</v>
      </c>
      <c r="D1101" t="s">
        <v>69</v>
      </c>
      <c r="E1101" t="s">
        <v>46</v>
      </c>
      <c r="F1101">
        <v>8</v>
      </c>
      <c r="G1101" t="s">
        <v>47</v>
      </c>
      <c r="H1101" t="s">
        <v>48</v>
      </c>
      <c r="I1101" t="s">
        <v>49</v>
      </c>
      <c r="J1101">
        <v>106.42</v>
      </c>
      <c r="K1101">
        <v>4</v>
      </c>
      <c r="L1101">
        <v>0</v>
      </c>
      <c r="M1101" t="s">
        <v>59</v>
      </c>
      <c r="N1101" t="s">
        <v>91</v>
      </c>
      <c r="O1101" t="s">
        <v>65</v>
      </c>
      <c r="P1101">
        <v>3</v>
      </c>
    </row>
    <row r="1102" spans="1:16" x14ac:dyDescent="0.25">
      <c r="A1102" t="s">
        <v>2766</v>
      </c>
      <c r="B1102" t="s">
        <v>788</v>
      </c>
      <c r="C1102" t="s">
        <v>2767</v>
      </c>
      <c r="D1102" t="s">
        <v>19</v>
      </c>
      <c r="E1102" t="s">
        <v>46</v>
      </c>
      <c r="F1102">
        <v>130</v>
      </c>
      <c r="G1102" t="s">
        <v>70</v>
      </c>
      <c r="H1102" t="s">
        <v>48</v>
      </c>
      <c r="I1102" t="s">
        <v>49</v>
      </c>
      <c r="J1102">
        <v>248.77</v>
      </c>
      <c r="K1102">
        <v>-2</v>
      </c>
      <c r="L1102">
        <v>-10</v>
      </c>
      <c r="M1102" t="s">
        <v>24</v>
      </c>
      <c r="N1102" t="s">
        <v>81</v>
      </c>
      <c r="O1102" t="s">
        <v>33</v>
      </c>
    </row>
    <row r="1103" spans="1:16" x14ac:dyDescent="0.25">
      <c r="A1103" t="s">
        <v>2768</v>
      </c>
      <c r="B1103" t="s">
        <v>879</v>
      </c>
      <c r="C1103" t="s">
        <v>2769</v>
      </c>
      <c r="D1103" t="s">
        <v>37</v>
      </c>
      <c r="E1103" t="s">
        <v>46</v>
      </c>
      <c r="F1103">
        <v>45</v>
      </c>
      <c r="G1103" t="s">
        <v>38</v>
      </c>
      <c r="H1103" t="s">
        <v>39</v>
      </c>
      <c r="I1103" t="s">
        <v>40</v>
      </c>
      <c r="J1103">
        <v>249.02</v>
      </c>
      <c r="K1103">
        <v>-2</v>
      </c>
      <c r="L1103">
        <v>5</v>
      </c>
      <c r="M1103" t="s">
        <v>77</v>
      </c>
      <c r="N1103" t="s">
        <v>91</v>
      </c>
      <c r="O1103" t="s">
        <v>82</v>
      </c>
      <c r="P1103">
        <v>3</v>
      </c>
    </row>
    <row r="1104" spans="1:16" x14ac:dyDescent="0.25">
      <c r="A1104" t="s">
        <v>2770</v>
      </c>
      <c r="B1104" t="s">
        <v>2056</v>
      </c>
      <c r="C1104" t="s">
        <v>2771</v>
      </c>
      <c r="E1104" t="s">
        <v>20</v>
      </c>
      <c r="F1104">
        <v>28</v>
      </c>
      <c r="G1104" t="s">
        <v>38</v>
      </c>
      <c r="H1104" t="s">
        <v>31</v>
      </c>
      <c r="I1104" t="s">
        <v>32</v>
      </c>
      <c r="J1104">
        <v>128.62</v>
      </c>
      <c r="K1104">
        <v>5</v>
      </c>
      <c r="L1104">
        <v>0</v>
      </c>
      <c r="M1104" t="s">
        <v>77</v>
      </c>
      <c r="N1104" t="s">
        <v>81</v>
      </c>
      <c r="O1104" t="s">
        <v>65</v>
      </c>
      <c r="P1104">
        <v>1</v>
      </c>
    </row>
    <row r="1105" spans="1:16" x14ac:dyDescent="0.25">
      <c r="A1105" t="s">
        <v>2772</v>
      </c>
      <c r="B1105" t="s">
        <v>84</v>
      </c>
      <c r="C1105" t="s">
        <v>2773</v>
      </c>
      <c r="D1105" t="s">
        <v>19</v>
      </c>
      <c r="E1105" t="s">
        <v>20</v>
      </c>
      <c r="F1105">
        <v>8</v>
      </c>
      <c r="G1105" t="s">
        <v>86</v>
      </c>
      <c r="H1105" t="s">
        <v>54</v>
      </c>
      <c r="I1105" t="s">
        <v>55</v>
      </c>
      <c r="J1105">
        <v>66.87</v>
      </c>
      <c r="K1105">
        <v>-2</v>
      </c>
      <c r="L1105">
        <v>5</v>
      </c>
      <c r="M1105" t="s">
        <v>77</v>
      </c>
      <c r="N1105" t="s">
        <v>81</v>
      </c>
      <c r="O1105" t="s">
        <v>82</v>
      </c>
      <c r="P1105">
        <v>2</v>
      </c>
    </row>
    <row r="1106" spans="1:16" x14ac:dyDescent="0.25">
      <c r="A1106" t="s">
        <v>2774</v>
      </c>
      <c r="B1106" t="s">
        <v>1860</v>
      </c>
      <c r="C1106" t="s">
        <v>2775</v>
      </c>
      <c r="D1106" t="s">
        <v>63</v>
      </c>
      <c r="E1106" t="s">
        <v>20</v>
      </c>
      <c r="F1106">
        <v>130</v>
      </c>
      <c r="G1106" t="s">
        <v>47</v>
      </c>
      <c r="H1106" t="s">
        <v>39</v>
      </c>
      <c r="I1106" t="s">
        <v>40</v>
      </c>
      <c r="J1106">
        <v>430.4</v>
      </c>
      <c r="K1106">
        <v>4</v>
      </c>
      <c r="L1106">
        <v>10</v>
      </c>
      <c r="N1106" t="s">
        <v>41</v>
      </c>
      <c r="O1106" t="s">
        <v>26</v>
      </c>
      <c r="P1106">
        <v>2</v>
      </c>
    </row>
    <row r="1107" spans="1:16" x14ac:dyDescent="0.25">
      <c r="A1107" t="s">
        <v>2776</v>
      </c>
      <c r="B1107" t="s">
        <v>1679</v>
      </c>
      <c r="C1107" t="s">
        <v>2777</v>
      </c>
      <c r="D1107" t="s">
        <v>101</v>
      </c>
      <c r="E1107" t="s">
        <v>20</v>
      </c>
      <c r="F1107">
        <v>47</v>
      </c>
      <c r="G1107" t="s">
        <v>47</v>
      </c>
      <c r="H1107" t="s">
        <v>87</v>
      </c>
      <c r="I1107" t="s">
        <v>49</v>
      </c>
      <c r="J1107">
        <v>330.15</v>
      </c>
      <c r="K1107">
        <v>-2</v>
      </c>
      <c r="L1107">
        <v>0</v>
      </c>
      <c r="M1107" t="s">
        <v>77</v>
      </c>
      <c r="N1107" t="s">
        <v>41</v>
      </c>
      <c r="O1107" t="s">
        <v>33</v>
      </c>
      <c r="P1107">
        <v>1</v>
      </c>
    </row>
    <row r="1108" spans="1:16" x14ac:dyDescent="0.25">
      <c r="A1108" t="s">
        <v>2778</v>
      </c>
      <c r="B1108" t="s">
        <v>2040</v>
      </c>
      <c r="C1108" t="s">
        <v>2779</v>
      </c>
      <c r="E1108" t="s">
        <v>46</v>
      </c>
      <c r="F1108">
        <v>45</v>
      </c>
      <c r="G1108" t="s">
        <v>38</v>
      </c>
      <c r="H1108" t="s">
        <v>121</v>
      </c>
      <c r="I1108" t="s">
        <v>122</v>
      </c>
      <c r="J1108">
        <v>87.22</v>
      </c>
      <c r="K1108">
        <v>-2</v>
      </c>
      <c r="L1108">
        <v>120</v>
      </c>
      <c r="M1108" t="s">
        <v>77</v>
      </c>
      <c r="N1108" t="s">
        <v>41</v>
      </c>
      <c r="O1108" t="s">
        <v>26</v>
      </c>
      <c r="P1108">
        <v>5</v>
      </c>
    </row>
    <row r="1109" spans="1:16" x14ac:dyDescent="0.25">
      <c r="A1109" t="s">
        <v>2780</v>
      </c>
      <c r="B1109" t="s">
        <v>2781</v>
      </c>
      <c r="C1109" t="s">
        <v>2782</v>
      </c>
      <c r="D1109" t="s">
        <v>45</v>
      </c>
      <c r="E1109" t="s">
        <v>20</v>
      </c>
      <c r="F1109">
        <v>57</v>
      </c>
      <c r="G1109" t="s">
        <v>86</v>
      </c>
      <c r="H1109" t="s">
        <v>87</v>
      </c>
      <c r="I1109" t="s">
        <v>49</v>
      </c>
      <c r="J1109">
        <v>140.63999999999999</v>
      </c>
      <c r="K1109">
        <v>1</v>
      </c>
      <c r="L1109">
        <v>10</v>
      </c>
      <c r="M1109" t="s">
        <v>59</v>
      </c>
      <c r="N1109" t="s">
        <v>41</v>
      </c>
      <c r="O1109" t="s">
        <v>65</v>
      </c>
      <c r="P1109">
        <v>5</v>
      </c>
    </row>
    <row r="1110" spans="1:16" x14ac:dyDescent="0.25">
      <c r="A1110" t="s">
        <v>2783</v>
      </c>
      <c r="B1110" t="s">
        <v>178</v>
      </c>
      <c r="C1110" t="s">
        <v>2784</v>
      </c>
      <c r="D1110" t="s">
        <v>117</v>
      </c>
      <c r="E1110" t="s">
        <v>20</v>
      </c>
      <c r="F1110">
        <v>130</v>
      </c>
      <c r="G1110" t="s">
        <v>47</v>
      </c>
      <c r="H1110" t="s">
        <v>121</v>
      </c>
      <c r="I1110" t="s">
        <v>122</v>
      </c>
      <c r="J1110">
        <v>372.97</v>
      </c>
      <c r="K1110">
        <v>-2</v>
      </c>
      <c r="L1110">
        <v>120</v>
      </c>
      <c r="M1110" t="s">
        <v>64</v>
      </c>
      <c r="N1110" t="s">
        <v>81</v>
      </c>
      <c r="O1110" t="s">
        <v>26</v>
      </c>
    </row>
    <row r="1111" spans="1:16" x14ac:dyDescent="0.25">
      <c r="A1111" t="s">
        <v>2785</v>
      </c>
      <c r="B1111" t="s">
        <v>2786</v>
      </c>
      <c r="C1111" t="s">
        <v>2787</v>
      </c>
      <c r="D1111" t="s">
        <v>101</v>
      </c>
      <c r="E1111" t="s">
        <v>20</v>
      </c>
      <c r="F1111">
        <v>130</v>
      </c>
      <c r="G1111" t="s">
        <v>53</v>
      </c>
      <c r="H1111" t="s">
        <v>121</v>
      </c>
      <c r="I1111" t="s">
        <v>122</v>
      </c>
      <c r="J1111">
        <v>158.04</v>
      </c>
      <c r="K1111">
        <v>6</v>
      </c>
      <c r="L1111">
        <v>10</v>
      </c>
      <c r="M1111" t="s">
        <v>59</v>
      </c>
      <c r="N1111" t="s">
        <v>91</v>
      </c>
      <c r="O1111" t="s">
        <v>82</v>
      </c>
      <c r="P1111">
        <v>5</v>
      </c>
    </row>
    <row r="1112" spans="1:16" x14ac:dyDescent="0.25">
      <c r="A1112" t="s">
        <v>2788</v>
      </c>
      <c r="B1112" t="s">
        <v>807</v>
      </c>
      <c r="C1112" t="s">
        <v>2789</v>
      </c>
      <c r="D1112" t="s">
        <v>69</v>
      </c>
      <c r="E1112" t="s">
        <v>46</v>
      </c>
      <c r="F1112">
        <v>8</v>
      </c>
      <c r="G1112" t="s">
        <v>70</v>
      </c>
      <c r="H1112" t="s">
        <v>48</v>
      </c>
      <c r="I1112" t="s">
        <v>49</v>
      </c>
      <c r="J1112">
        <v>458.92</v>
      </c>
      <c r="K1112">
        <v>-2</v>
      </c>
      <c r="L1112">
        <v>10</v>
      </c>
      <c r="M1112" t="s">
        <v>59</v>
      </c>
      <c r="N1112" t="s">
        <v>25</v>
      </c>
      <c r="O1112" t="s">
        <v>26</v>
      </c>
      <c r="P1112">
        <v>2</v>
      </c>
    </row>
    <row r="1113" spans="1:16" x14ac:dyDescent="0.25">
      <c r="A1113" t="s">
        <v>2790</v>
      </c>
      <c r="B1113" t="s">
        <v>2791</v>
      </c>
      <c r="C1113" t="s">
        <v>2792</v>
      </c>
      <c r="D1113" t="s">
        <v>19</v>
      </c>
      <c r="E1113" t="s">
        <v>20</v>
      </c>
      <c r="F1113">
        <v>130</v>
      </c>
      <c r="G1113" t="s">
        <v>21</v>
      </c>
      <c r="H1113" t="s">
        <v>48</v>
      </c>
      <c r="I1113" t="s">
        <v>49</v>
      </c>
      <c r="J1113">
        <v>389.79</v>
      </c>
      <c r="K1113">
        <v>-2</v>
      </c>
      <c r="L1113">
        <v>-10</v>
      </c>
      <c r="M1113" t="s">
        <v>77</v>
      </c>
      <c r="N1113" t="s">
        <v>41</v>
      </c>
      <c r="O1113" t="s">
        <v>65</v>
      </c>
    </row>
    <row r="1114" spans="1:16" x14ac:dyDescent="0.25">
      <c r="A1114" t="s">
        <v>2793</v>
      </c>
      <c r="B1114" t="s">
        <v>2455</v>
      </c>
      <c r="C1114" t="s">
        <v>2794</v>
      </c>
      <c r="D1114" t="s">
        <v>19</v>
      </c>
      <c r="E1114" t="s">
        <v>20</v>
      </c>
      <c r="F1114">
        <v>130</v>
      </c>
      <c r="G1114" t="s">
        <v>38</v>
      </c>
      <c r="H1114" t="s">
        <v>48</v>
      </c>
      <c r="I1114" t="s">
        <v>49</v>
      </c>
      <c r="J1114">
        <v>35.67</v>
      </c>
      <c r="K1114">
        <v>8</v>
      </c>
      <c r="L1114">
        <v>120</v>
      </c>
      <c r="M1114" t="s">
        <v>77</v>
      </c>
      <c r="N1114" t="s">
        <v>81</v>
      </c>
      <c r="O1114" t="s">
        <v>33</v>
      </c>
      <c r="P1114">
        <v>3</v>
      </c>
    </row>
    <row r="1115" spans="1:16" x14ac:dyDescent="0.25">
      <c r="A1115" t="s">
        <v>2795</v>
      </c>
      <c r="B1115" t="s">
        <v>2796</v>
      </c>
      <c r="C1115" t="s">
        <v>2797</v>
      </c>
      <c r="D1115" t="s">
        <v>63</v>
      </c>
      <c r="E1115" t="s">
        <v>46</v>
      </c>
      <c r="F1115">
        <v>44</v>
      </c>
      <c r="G1115" t="s">
        <v>53</v>
      </c>
      <c r="H1115" t="s">
        <v>54</v>
      </c>
      <c r="I1115" t="s">
        <v>55</v>
      </c>
      <c r="J1115">
        <v>181.35</v>
      </c>
      <c r="K1115">
        <v>2</v>
      </c>
      <c r="L1115">
        <v>5</v>
      </c>
      <c r="M1115" t="s">
        <v>64</v>
      </c>
      <c r="N1115" t="s">
        <v>91</v>
      </c>
      <c r="O1115" t="s">
        <v>65</v>
      </c>
      <c r="P1115">
        <v>4</v>
      </c>
    </row>
    <row r="1116" spans="1:16" x14ac:dyDescent="0.25">
      <c r="A1116" t="s">
        <v>2798</v>
      </c>
      <c r="B1116" t="s">
        <v>1935</v>
      </c>
      <c r="C1116" t="s">
        <v>826</v>
      </c>
      <c r="D1116" t="s">
        <v>45</v>
      </c>
      <c r="E1116" t="s">
        <v>20</v>
      </c>
      <c r="F1116">
        <v>47</v>
      </c>
      <c r="G1116" t="s">
        <v>30</v>
      </c>
      <c r="H1116" t="s">
        <v>121</v>
      </c>
      <c r="I1116" t="s">
        <v>122</v>
      </c>
      <c r="J1116">
        <v>203.55</v>
      </c>
      <c r="K1116">
        <v>-2</v>
      </c>
      <c r="L1116">
        <v>15</v>
      </c>
      <c r="M1116" t="s">
        <v>24</v>
      </c>
      <c r="N1116" t="s">
        <v>25</v>
      </c>
      <c r="O1116" t="s">
        <v>65</v>
      </c>
      <c r="P1116">
        <v>5</v>
      </c>
    </row>
    <row r="1117" spans="1:16" x14ac:dyDescent="0.25">
      <c r="A1117" t="s">
        <v>2799</v>
      </c>
      <c r="B1117" t="s">
        <v>2800</v>
      </c>
      <c r="C1117" t="s">
        <v>2801</v>
      </c>
      <c r="D1117" t="s">
        <v>117</v>
      </c>
      <c r="E1117" t="s">
        <v>46</v>
      </c>
      <c r="F1117">
        <v>8</v>
      </c>
      <c r="G1117" t="s">
        <v>30</v>
      </c>
      <c r="H1117" t="s">
        <v>31</v>
      </c>
      <c r="I1117" t="s">
        <v>32</v>
      </c>
      <c r="J1117">
        <v>234.41</v>
      </c>
      <c r="K1117">
        <v>2</v>
      </c>
      <c r="L1117">
        <v>-10</v>
      </c>
      <c r="M1117" t="s">
        <v>64</v>
      </c>
      <c r="N1117" t="s">
        <v>91</v>
      </c>
      <c r="O1117" t="s">
        <v>33</v>
      </c>
      <c r="P1117">
        <v>2</v>
      </c>
    </row>
    <row r="1118" spans="1:16" x14ac:dyDescent="0.25">
      <c r="A1118" t="s">
        <v>2802</v>
      </c>
      <c r="B1118" t="s">
        <v>2175</v>
      </c>
      <c r="C1118" t="s">
        <v>2803</v>
      </c>
      <c r="D1118" t="s">
        <v>117</v>
      </c>
      <c r="E1118" t="s">
        <v>46</v>
      </c>
      <c r="F1118">
        <v>8</v>
      </c>
      <c r="G1118" t="s">
        <v>70</v>
      </c>
      <c r="H1118" t="s">
        <v>54</v>
      </c>
      <c r="I1118" t="s">
        <v>55</v>
      </c>
      <c r="J1118">
        <v>328.22</v>
      </c>
      <c r="K1118">
        <v>-2</v>
      </c>
      <c r="L1118">
        <v>0</v>
      </c>
      <c r="N1118" t="s">
        <v>25</v>
      </c>
      <c r="O1118" t="s">
        <v>82</v>
      </c>
      <c r="P1118">
        <v>3</v>
      </c>
    </row>
    <row r="1119" spans="1:16" x14ac:dyDescent="0.25">
      <c r="A1119" t="s">
        <v>2804</v>
      </c>
      <c r="B1119" t="s">
        <v>2040</v>
      </c>
      <c r="C1119" t="s">
        <v>2805</v>
      </c>
      <c r="D1119" t="s">
        <v>117</v>
      </c>
      <c r="E1119" t="s">
        <v>20</v>
      </c>
      <c r="F1119">
        <v>130</v>
      </c>
      <c r="G1119" t="s">
        <v>21</v>
      </c>
      <c r="H1119" t="s">
        <v>48</v>
      </c>
      <c r="I1119" t="s">
        <v>49</v>
      </c>
      <c r="J1119">
        <v>469.16</v>
      </c>
      <c r="K1119">
        <v>9</v>
      </c>
      <c r="L1119">
        <v>15</v>
      </c>
      <c r="M1119" t="s">
        <v>59</v>
      </c>
      <c r="N1119" t="s">
        <v>91</v>
      </c>
      <c r="O1119" t="s">
        <v>33</v>
      </c>
      <c r="P1119">
        <v>2</v>
      </c>
    </row>
    <row r="1120" spans="1:16" x14ac:dyDescent="0.25">
      <c r="A1120" t="s">
        <v>2806</v>
      </c>
      <c r="B1120" t="s">
        <v>2807</v>
      </c>
      <c r="C1120" t="s">
        <v>2808</v>
      </c>
      <c r="D1120" t="s">
        <v>69</v>
      </c>
      <c r="E1120" t="s">
        <v>20</v>
      </c>
      <c r="F1120">
        <v>130</v>
      </c>
      <c r="G1120" t="s">
        <v>38</v>
      </c>
      <c r="H1120" t="s">
        <v>121</v>
      </c>
      <c r="I1120" t="s">
        <v>122</v>
      </c>
      <c r="J1120">
        <v>269.55</v>
      </c>
      <c r="K1120">
        <v>4</v>
      </c>
      <c r="L1120">
        <v>120</v>
      </c>
      <c r="M1120" t="s">
        <v>24</v>
      </c>
      <c r="N1120" t="s">
        <v>81</v>
      </c>
      <c r="O1120" t="s">
        <v>33</v>
      </c>
    </row>
    <row r="1121" spans="1:16" x14ac:dyDescent="0.25">
      <c r="A1121" t="s">
        <v>2809</v>
      </c>
      <c r="B1121" t="s">
        <v>2796</v>
      </c>
      <c r="C1121" t="s">
        <v>2810</v>
      </c>
      <c r="D1121" t="s">
        <v>63</v>
      </c>
      <c r="E1121" t="s">
        <v>20</v>
      </c>
      <c r="F1121">
        <v>130</v>
      </c>
      <c r="G1121" t="s">
        <v>21</v>
      </c>
      <c r="H1121" t="s">
        <v>48</v>
      </c>
      <c r="I1121" t="s">
        <v>49</v>
      </c>
      <c r="J1121">
        <v>255.06</v>
      </c>
      <c r="K1121">
        <v>-2</v>
      </c>
      <c r="L1121">
        <v>-10</v>
      </c>
      <c r="M1121" t="s">
        <v>24</v>
      </c>
      <c r="N1121" t="s">
        <v>25</v>
      </c>
      <c r="O1121" t="s">
        <v>33</v>
      </c>
      <c r="P1121">
        <v>2</v>
      </c>
    </row>
    <row r="1122" spans="1:16" x14ac:dyDescent="0.25">
      <c r="A1122" t="s">
        <v>2811</v>
      </c>
      <c r="B1122" t="s">
        <v>791</v>
      </c>
      <c r="C1122" t="s">
        <v>2812</v>
      </c>
      <c r="D1122" t="s">
        <v>63</v>
      </c>
      <c r="E1122" t="s">
        <v>46</v>
      </c>
      <c r="F1122">
        <v>130</v>
      </c>
      <c r="G1122" t="s">
        <v>30</v>
      </c>
      <c r="H1122" t="s">
        <v>22</v>
      </c>
      <c r="I1122" t="s">
        <v>23</v>
      </c>
      <c r="J1122">
        <v>333.08</v>
      </c>
      <c r="K1122">
        <v>8</v>
      </c>
      <c r="L1122">
        <v>10</v>
      </c>
      <c r="N1122" t="s">
        <v>81</v>
      </c>
      <c r="O1122" t="s">
        <v>65</v>
      </c>
      <c r="P1122">
        <v>3</v>
      </c>
    </row>
    <row r="1123" spans="1:16" x14ac:dyDescent="0.25">
      <c r="A1123" t="s">
        <v>2813</v>
      </c>
      <c r="B1123" t="s">
        <v>2814</v>
      </c>
      <c r="C1123" t="s">
        <v>2815</v>
      </c>
      <c r="D1123" t="s">
        <v>45</v>
      </c>
      <c r="E1123" t="s">
        <v>20</v>
      </c>
      <c r="F1123">
        <v>8</v>
      </c>
      <c r="G1123" t="s">
        <v>70</v>
      </c>
      <c r="H1123" t="s">
        <v>54</v>
      </c>
      <c r="I1123" t="s">
        <v>55</v>
      </c>
      <c r="J1123">
        <v>100.1</v>
      </c>
      <c r="K1123">
        <v>5</v>
      </c>
      <c r="L1123">
        <v>-10</v>
      </c>
      <c r="M1123" t="s">
        <v>24</v>
      </c>
      <c r="N1123" t="s">
        <v>41</v>
      </c>
      <c r="O1123" t="s">
        <v>33</v>
      </c>
      <c r="P1123">
        <v>3</v>
      </c>
    </row>
    <row r="1124" spans="1:16" x14ac:dyDescent="0.25">
      <c r="A1124" t="s">
        <v>2816</v>
      </c>
      <c r="B1124" t="s">
        <v>988</v>
      </c>
      <c r="C1124" t="s">
        <v>2817</v>
      </c>
      <c r="E1124" t="s">
        <v>46</v>
      </c>
      <c r="F1124">
        <v>130</v>
      </c>
      <c r="G1124" t="s">
        <v>47</v>
      </c>
      <c r="H1124" t="s">
        <v>121</v>
      </c>
      <c r="I1124" t="s">
        <v>122</v>
      </c>
      <c r="J1124">
        <v>424.71</v>
      </c>
      <c r="K1124">
        <v>9</v>
      </c>
      <c r="L1124">
        <v>10</v>
      </c>
      <c r="M1124" t="s">
        <v>64</v>
      </c>
      <c r="N1124" t="s">
        <v>91</v>
      </c>
      <c r="O1124" t="s">
        <v>33</v>
      </c>
      <c r="P1124">
        <v>1</v>
      </c>
    </row>
    <row r="1125" spans="1:16" x14ac:dyDescent="0.25">
      <c r="A1125" t="s">
        <v>2818</v>
      </c>
      <c r="B1125" t="s">
        <v>282</v>
      </c>
      <c r="C1125" t="s">
        <v>2819</v>
      </c>
      <c r="D1125" t="s">
        <v>37</v>
      </c>
      <c r="E1125" t="s">
        <v>46</v>
      </c>
      <c r="F1125">
        <v>130</v>
      </c>
      <c r="G1125" t="s">
        <v>86</v>
      </c>
      <c r="H1125" t="s">
        <v>87</v>
      </c>
      <c r="I1125" t="s">
        <v>49</v>
      </c>
      <c r="J1125">
        <v>35.54</v>
      </c>
      <c r="K1125">
        <v>-2</v>
      </c>
      <c r="L1125">
        <v>15</v>
      </c>
      <c r="M1125" t="s">
        <v>77</v>
      </c>
      <c r="N1125" t="s">
        <v>91</v>
      </c>
      <c r="O1125" t="s">
        <v>65</v>
      </c>
      <c r="P1125">
        <v>1</v>
      </c>
    </row>
    <row r="1126" spans="1:16" x14ac:dyDescent="0.25">
      <c r="A1126" t="s">
        <v>2820</v>
      </c>
      <c r="B1126" t="s">
        <v>2403</v>
      </c>
      <c r="C1126" t="s">
        <v>2821</v>
      </c>
      <c r="D1126" t="s">
        <v>45</v>
      </c>
      <c r="E1126" t="s">
        <v>46</v>
      </c>
      <c r="F1126">
        <v>62</v>
      </c>
      <c r="G1126" t="s">
        <v>21</v>
      </c>
      <c r="H1126" t="s">
        <v>39</v>
      </c>
      <c r="I1126" t="s">
        <v>40</v>
      </c>
      <c r="J1126">
        <v>398.03</v>
      </c>
      <c r="K1126">
        <v>-2</v>
      </c>
      <c r="L1126">
        <v>5</v>
      </c>
      <c r="M1126" t="s">
        <v>77</v>
      </c>
      <c r="N1126" t="s">
        <v>41</v>
      </c>
      <c r="O1126" t="s">
        <v>26</v>
      </c>
      <c r="P1126">
        <v>1</v>
      </c>
    </row>
    <row r="1127" spans="1:16" x14ac:dyDescent="0.25">
      <c r="A1127" t="s">
        <v>2822</v>
      </c>
      <c r="B1127" t="s">
        <v>2823</v>
      </c>
      <c r="C1127" t="s">
        <v>2824</v>
      </c>
      <c r="D1127" t="s">
        <v>63</v>
      </c>
      <c r="E1127" t="s">
        <v>46</v>
      </c>
      <c r="F1127">
        <v>130</v>
      </c>
      <c r="G1127" t="s">
        <v>21</v>
      </c>
      <c r="H1127" t="s">
        <v>31</v>
      </c>
      <c r="I1127" t="s">
        <v>32</v>
      </c>
      <c r="J1127">
        <v>442.39</v>
      </c>
      <c r="K1127">
        <v>2</v>
      </c>
      <c r="L1127">
        <v>-10</v>
      </c>
      <c r="M1127" t="s">
        <v>64</v>
      </c>
      <c r="N1127" t="s">
        <v>25</v>
      </c>
      <c r="O1127" t="s">
        <v>26</v>
      </c>
      <c r="P1127">
        <v>2</v>
      </c>
    </row>
    <row r="1128" spans="1:16" x14ac:dyDescent="0.25">
      <c r="A1128" t="s">
        <v>2825</v>
      </c>
      <c r="B1128" t="s">
        <v>1783</v>
      </c>
      <c r="C1128" t="s">
        <v>2826</v>
      </c>
      <c r="D1128" t="s">
        <v>117</v>
      </c>
      <c r="E1128" t="s">
        <v>46</v>
      </c>
      <c r="F1128">
        <v>130</v>
      </c>
      <c r="G1128" t="s">
        <v>53</v>
      </c>
      <c r="H1128" t="s">
        <v>31</v>
      </c>
      <c r="I1128" t="s">
        <v>32</v>
      </c>
      <c r="J1128">
        <v>265.60000000000002</v>
      </c>
      <c r="K1128">
        <v>-2</v>
      </c>
      <c r="L1128">
        <v>5</v>
      </c>
      <c r="M1128" t="s">
        <v>24</v>
      </c>
      <c r="N1128" t="s">
        <v>81</v>
      </c>
      <c r="O1128" t="s">
        <v>26</v>
      </c>
      <c r="P1128">
        <v>3</v>
      </c>
    </row>
    <row r="1129" spans="1:16" x14ac:dyDescent="0.25">
      <c r="A1129" t="s">
        <v>2827</v>
      </c>
      <c r="B1129" t="s">
        <v>184</v>
      </c>
      <c r="C1129" t="s">
        <v>2828</v>
      </c>
      <c r="D1129" t="s">
        <v>37</v>
      </c>
      <c r="E1129" t="s">
        <v>46</v>
      </c>
      <c r="F1129">
        <v>34</v>
      </c>
      <c r="G1129" t="s">
        <v>21</v>
      </c>
      <c r="H1129" t="s">
        <v>54</v>
      </c>
      <c r="I1129" t="s">
        <v>55</v>
      </c>
      <c r="J1129">
        <v>224.45</v>
      </c>
      <c r="K1129">
        <v>-2</v>
      </c>
      <c r="L1129">
        <v>0</v>
      </c>
      <c r="M1129" t="s">
        <v>77</v>
      </c>
      <c r="N1129" t="s">
        <v>91</v>
      </c>
      <c r="O1129" t="s">
        <v>82</v>
      </c>
      <c r="P1129">
        <v>5</v>
      </c>
    </row>
    <row r="1130" spans="1:16" x14ac:dyDescent="0.25">
      <c r="A1130" t="s">
        <v>2829</v>
      </c>
      <c r="B1130" t="s">
        <v>1309</v>
      </c>
      <c r="C1130" t="s">
        <v>758</v>
      </c>
      <c r="D1130" t="s">
        <v>101</v>
      </c>
      <c r="E1130" t="s">
        <v>20</v>
      </c>
      <c r="F1130">
        <v>130</v>
      </c>
      <c r="G1130" t="s">
        <v>30</v>
      </c>
      <c r="H1130" t="s">
        <v>87</v>
      </c>
      <c r="I1130" t="s">
        <v>49</v>
      </c>
      <c r="J1130">
        <v>273.83999999999997</v>
      </c>
      <c r="K1130">
        <v>6</v>
      </c>
      <c r="L1130">
        <v>15</v>
      </c>
      <c r="M1130" t="s">
        <v>64</v>
      </c>
      <c r="N1130" t="s">
        <v>25</v>
      </c>
      <c r="O1130" t="s">
        <v>33</v>
      </c>
    </row>
    <row r="1131" spans="1:16" x14ac:dyDescent="0.25">
      <c r="A1131" t="s">
        <v>2830</v>
      </c>
      <c r="B1131" t="s">
        <v>2831</v>
      </c>
      <c r="C1131" t="s">
        <v>2832</v>
      </c>
      <c r="D1131" t="s">
        <v>19</v>
      </c>
      <c r="E1131" t="s">
        <v>20</v>
      </c>
      <c r="F1131">
        <v>47</v>
      </c>
      <c r="G1131" t="s">
        <v>21</v>
      </c>
      <c r="H1131" t="s">
        <v>54</v>
      </c>
      <c r="I1131" t="s">
        <v>55</v>
      </c>
      <c r="J1131">
        <v>415.18</v>
      </c>
      <c r="K1131">
        <v>-2</v>
      </c>
      <c r="L1131">
        <v>15</v>
      </c>
      <c r="M1131" t="s">
        <v>64</v>
      </c>
      <c r="N1131" t="s">
        <v>41</v>
      </c>
      <c r="O1131" t="s">
        <v>82</v>
      </c>
      <c r="P1131">
        <v>2</v>
      </c>
    </row>
    <row r="1132" spans="1:16" x14ac:dyDescent="0.25">
      <c r="A1132" t="s">
        <v>2833</v>
      </c>
      <c r="B1132" t="s">
        <v>2749</v>
      </c>
      <c r="C1132" t="s">
        <v>2834</v>
      </c>
      <c r="D1132" t="s">
        <v>117</v>
      </c>
      <c r="E1132" t="s">
        <v>20</v>
      </c>
      <c r="F1132">
        <v>21</v>
      </c>
      <c r="G1132" t="s">
        <v>70</v>
      </c>
      <c r="H1132" t="s">
        <v>121</v>
      </c>
      <c r="I1132" t="s">
        <v>122</v>
      </c>
      <c r="J1132">
        <v>468.25</v>
      </c>
      <c r="K1132">
        <v>10</v>
      </c>
      <c r="L1132">
        <v>15</v>
      </c>
      <c r="M1132" t="s">
        <v>59</v>
      </c>
      <c r="N1132" t="s">
        <v>41</v>
      </c>
      <c r="O1132" t="s">
        <v>82</v>
      </c>
      <c r="P1132">
        <v>1</v>
      </c>
    </row>
    <row r="1133" spans="1:16" x14ac:dyDescent="0.25">
      <c r="A1133" t="s">
        <v>2835</v>
      </c>
      <c r="B1133" t="s">
        <v>754</v>
      </c>
      <c r="C1133" t="s">
        <v>2836</v>
      </c>
      <c r="D1133" t="s">
        <v>63</v>
      </c>
      <c r="E1133" t="s">
        <v>46</v>
      </c>
      <c r="F1133">
        <v>45</v>
      </c>
      <c r="G1133" t="s">
        <v>53</v>
      </c>
      <c r="H1133" t="s">
        <v>54</v>
      </c>
      <c r="I1133" t="s">
        <v>55</v>
      </c>
      <c r="J1133">
        <v>75.11</v>
      </c>
      <c r="K1133">
        <v>-2</v>
      </c>
      <c r="L1133">
        <v>5</v>
      </c>
      <c r="M1133" t="s">
        <v>64</v>
      </c>
      <c r="N1133" t="s">
        <v>81</v>
      </c>
      <c r="O1133" t="s">
        <v>26</v>
      </c>
      <c r="P1133">
        <v>2</v>
      </c>
    </row>
    <row r="1134" spans="1:16" x14ac:dyDescent="0.25">
      <c r="A1134" t="s">
        <v>2837</v>
      </c>
      <c r="B1134" t="s">
        <v>2838</v>
      </c>
      <c r="C1134" t="s">
        <v>2839</v>
      </c>
      <c r="E1134" t="s">
        <v>46</v>
      </c>
      <c r="F1134">
        <v>8</v>
      </c>
      <c r="G1134" t="s">
        <v>38</v>
      </c>
      <c r="H1134" t="s">
        <v>48</v>
      </c>
      <c r="I1134" t="s">
        <v>49</v>
      </c>
      <c r="J1134">
        <v>442.39</v>
      </c>
      <c r="K1134">
        <v>1</v>
      </c>
      <c r="L1134">
        <v>5</v>
      </c>
      <c r="M1134" t="s">
        <v>64</v>
      </c>
      <c r="N1134" t="s">
        <v>91</v>
      </c>
      <c r="O1134" t="s">
        <v>65</v>
      </c>
      <c r="P1134">
        <v>5</v>
      </c>
    </row>
    <row r="1135" spans="1:16" x14ac:dyDescent="0.25">
      <c r="A1135" t="s">
        <v>2840</v>
      </c>
      <c r="B1135" t="s">
        <v>903</v>
      </c>
      <c r="C1135" t="s">
        <v>1253</v>
      </c>
      <c r="D1135" t="s">
        <v>69</v>
      </c>
      <c r="E1135" t="s">
        <v>46</v>
      </c>
      <c r="F1135">
        <v>130</v>
      </c>
      <c r="G1135" t="s">
        <v>47</v>
      </c>
      <c r="H1135" t="s">
        <v>121</v>
      </c>
      <c r="I1135" t="s">
        <v>122</v>
      </c>
      <c r="J1135">
        <v>108.35</v>
      </c>
      <c r="K1135">
        <v>-2</v>
      </c>
      <c r="L1135">
        <v>15</v>
      </c>
      <c r="M1135" t="s">
        <v>64</v>
      </c>
      <c r="N1135" t="s">
        <v>25</v>
      </c>
      <c r="O1135" t="s">
        <v>26</v>
      </c>
      <c r="P1135">
        <v>2</v>
      </c>
    </row>
    <row r="1136" spans="1:16" x14ac:dyDescent="0.25">
      <c r="A1136" t="s">
        <v>2841</v>
      </c>
      <c r="B1136" t="s">
        <v>309</v>
      </c>
      <c r="C1136" t="s">
        <v>2842</v>
      </c>
      <c r="D1136" t="s">
        <v>117</v>
      </c>
      <c r="E1136" t="s">
        <v>46</v>
      </c>
      <c r="F1136">
        <v>26</v>
      </c>
      <c r="G1136" t="s">
        <v>21</v>
      </c>
      <c r="H1136" t="s">
        <v>31</v>
      </c>
      <c r="I1136" t="s">
        <v>32</v>
      </c>
      <c r="J1136">
        <v>496.67</v>
      </c>
      <c r="K1136">
        <v>3</v>
      </c>
      <c r="L1136">
        <v>0</v>
      </c>
      <c r="M1136" t="s">
        <v>77</v>
      </c>
      <c r="N1136" t="s">
        <v>41</v>
      </c>
      <c r="O1136" t="s">
        <v>65</v>
      </c>
      <c r="P1136">
        <v>4</v>
      </c>
    </row>
    <row r="1137" spans="1:16" x14ac:dyDescent="0.25">
      <c r="A1137" t="s">
        <v>2843</v>
      </c>
      <c r="B1137" t="s">
        <v>2080</v>
      </c>
      <c r="C1137" t="s">
        <v>2844</v>
      </c>
      <c r="D1137" t="s">
        <v>45</v>
      </c>
      <c r="E1137" t="s">
        <v>46</v>
      </c>
      <c r="F1137">
        <v>130</v>
      </c>
      <c r="G1137" t="s">
        <v>21</v>
      </c>
      <c r="H1137" t="s">
        <v>54</v>
      </c>
      <c r="I1137" t="s">
        <v>55</v>
      </c>
      <c r="J1137">
        <v>328.34</v>
      </c>
      <c r="K1137">
        <v>-2</v>
      </c>
      <c r="L1137">
        <v>15</v>
      </c>
      <c r="M1137" t="s">
        <v>64</v>
      </c>
      <c r="N1137" t="s">
        <v>91</v>
      </c>
      <c r="O1137" t="s">
        <v>33</v>
      </c>
      <c r="P1137">
        <v>3</v>
      </c>
    </row>
    <row r="1138" spans="1:16" x14ac:dyDescent="0.25">
      <c r="A1138" t="s">
        <v>2845</v>
      </c>
      <c r="B1138" t="s">
        <v>1851</v>
      </c>
      <c r="C1138" t="s">
        <v>2846</v>
      </c>
      <c r="D1138" t="s">
        <v>37</v>
      </c>
      <c r="E1138" t="s">
        <v>46</v>
      </c>
      <c r="F1138">
        <v>24</v>
      </c>
      <c r="G1138" t="s">
        <v>38</v>
      </c>
      <c r="H1138" t="s">
        <v>87</v>
      </c>
      <c r="I1138" t="s">
        <v>49</v>
      </c>
      <c r="J1138">
        <v>7.37</v>
      </c>
      <c r="K1138">
        <v>5</v>
      </c>
      <c r="L1138">
        <v>120</v>
      </c>
      <c r="M1138" t="s">
        <v>24</v>
      </c>
      <c r="N1138" t="s">
        <v>81</v>
      </c>
      <c r="O1138" t="s">
        <v>26</v>
      </c>
      <c r="P1138">
        <v>1</v>
      </c>
    </row>
    <row r="1139" spans="1:16" x14ac:dyDescent="0.25">
      <c r="A1139" t="s">
        <v>2847</v>
      </c>
      <c r="B1139" t="s">
        <v>938</v>
      </c>
      <c r="C1139" t="s">
        <v>2848</v>
      </c>
      <c r="D1139" t="s">
        <v>69</v>
      </c>
      <c r="E1139" t="s">
        <v>46</v>
      </c>
      <c r="F1139">
        <v>130</v>
      </c>
      <c r="G1139" t="s">
        <v>21</v>
      </c>
      <c r="H1139" t="s">
        <v>121</v>
      </c>
      <c r="I1139" t="s">
        <v>122</v>
      </c>
      <c r="J1139">
        <v>20.39</v>
      </c>
      <c r="K1139">
        <v>-2</v>
      </c>
      <c r="L1139">
        <v>10</v>
      </c>
      <c r="M1139" t="s">
        <v>77</v>
      </c>
      <c r="N1139" t="s">
        <v>81</v>
      </c>
      <c r="O1139" t="s">
        <v>65</v>
      </c>
    </row>
    <row r="1140" spans="1:16" x14ac:dyDescent="0.25">
      <c r="A1140" t="s">
        <v>2849</v>
      </c>
      <c r="B1140" t="s">
        <v>347</v>
      </c>
      <c r="C1140" t="s">
        <v>2850</v>
      </c>
      <c r="D1140" t="s">
        <v>117</v>
      </c>
      <c r="E1140" t="s">
        <v>20</v>
      </c>
      <c r="F1140">
        <v>8</v>
      </c>
      <c r="G1140" t="s">
        <v>38</v>
      </c>
      <c r="H1140" t="s">
        <v>39</v>
      </c>
      <c r="I1140" t="s">
        <v>40</v>
      </c>
      <c r="J1140">
        <v>397.67</v>
      </c>
      <c r="K1140">
        <v>-2</v>
      </c>
      <c r="L1140">
        <v>120</v>
      </c>
      <c r="M1140" t="s">
        <v>64</v>
      </c>
      <c r="N1140" t="s">
        <v>25</v>
      </c>
      <c r="O1140" t="s">
        <v>65</v>
      </c>
      <c r="P1140">
        <v>3</v>
      </c>
    </row>
    <row r="1141" spans="1:16" x14ac:dyDescent="0.25">
      <c r="A1141" t="s">
        <v>2851</v>
      </c>
      <c r="B1141" t="s">
        <v>217</v>
      </c>
      <c r="C1141" t="s">
        <v>2852</v>
      </c>
      <c r="D1141" t="s">
        <v>101</v>
      </c>
      <c r="E1141" t="s">
        <v>20</v>
      </c>
      <c r="F1141">
        <v>51</v>
      </c>
      <c r="G1141" t="s">
        <v>38</v>
      </c>
      <c r="H1141" t="s">
        <v>39</v>
      </c>
      <c r="I1141" t="s">
        <v>40</v>
      </c>
      <c r="J1141">
        <v>74.7</v>
      </c>
      <c r="K1141">
        <v>2</v>
      </c>
      <c r="L1141">
        <v>-10</v>
      </c>
      <c r="M1141" t="s">
        <v>64</v>
      </c>
      <c r="N1141" t="s">
        <v>41</v>
      </c>
      <c r="O1141" t="s">
        <v>26</v>
      </c>
      <c r="P1141">
        <v>5</v>
      </c>
    </row>
    <row r="1142" spans="1:16" x14ac:dyDescent="0.25">
      <c r="A1142" t="s">
        <v>2853</v>
      </c>
      <c r="B1142" t="s">
        <v>329</v>
      </c>
      <c r="C1142" t="s">
        <v>2471</v>
      </c>
      <c r="D1142" t="s">
        <v>117</v>
      </c>
      <c r="E1142" t="s">
        <v>46</v>
      </c>
      <c r="F1142">
        <v>54</v>
      </c>
      <c r="G1142" t="s">
        <v>53</v>
      </c>
      <c r="H1142" t="s">
        <v>48</v>
      </c>
      <c r="I1142" t="s">
        <v>49</v>
      </c>
      <c r="J1142">
        <v>7.09</v>
      </c>
      <c r="K1142">
        <v>-2</v>
      </c>
      <c r="L1142">
        <v>5</v>
      </c>
      <c r="M1142" t="s">
        <v>64</v>
      </c>
      <c r="N1142" t="s">
        <v>25</v>
      </c>
      <c r="O1142" t="s">
        <v>26</v>
      </c>
      <c r="P1142">
        <v>3</v>
      </c>
    </row>
    <row r="1143" spans="1:16" x14ac:dyDescent="0.25">
      <c r="A1143" t="s">
        <v>2854</v>
      </c>
      <c r="B1143" t="s">
        <v>2855</v>
      </c>
      <c r="C1143" t="s">
        <v>2856</v>
      </c>
      <c r="D1143" t="s">
        <v>37</v>
      </c>
      <c r="E1143" t="s">
        <v>20</v>
      </c>
      <c r="F1143">
        <v>8</v>
      </c>
      <c r="G1143" t="s">
        <v>86</v>
      </c>
      <c r="H1143" t="s">
        <v>54</v>
      </c>
      <c r="I1143" t="s">
        <v>55</v>
      </c>
      <c r="J1143">
        <v>233.07</v>
      </c>
      <c r="K1143">
        <v>2</v>
      </c>
      <c r="L1143">
        <v>-10</v>
      </c>
      <c r="M1143" t="s">
        <v>77</v>
      </c>
      <c r="N1143" t="s">
        <v>25</v>
      </c>
      <c r="O1143" t="s">
        <v>82</v>
      </c>
      <c r="P1143">
        <v>3</v>
      </c>
    </row>
    <row r="1144" spans="1:16" x14ac:dyDescent="0.25">
      <c r="A1144" t="s">
        <v>2857</v>
      </c>
      <c r="B1144" t="s">
        <v>631</v>
      </c>
      <c r="C1144" t="s">
        <v>2858</v>
      </c>
      <c r="D1144" t="s">
        <v>101</v>
      </c>
      <c r="E1144" t="s">
        <v>46</v>
      </c>
      <c r="F1144">
        <v>46</v>
      </c>
      <c r="G1144" t="s">
        <v>86</v>
      </c>
      <c r="H1144" t="s">
        <v>31</v>
      </c>
      <c r="I1144" t="s">
        <v>32</v>
      </c>
      <c r="J1144">
        <v>361.79</v>
      </c>
      <c r="K1144">
        <v>8</v>
      </c>
      <c r="L1144">
        <v>120</v>
      </c>
      <c r="M1144" t="s">
        <v>24</v>
      </c>
      <c r="N1144" t="s">
        <v>41</v>
      </c>
      <c r="O1144" t="s">
        <v>33</v>
      </c>
    </row>
    <row r="1145" spans="1:16" x14ac:dyDescent="0.25">
      <c r="A1145" t="s">
        <v>2859</v>
      </c>
      <c r="B1145" t="s">
        <v>2860</v>
      </c>
      <c r="C1145" t="s">
        <v>2861</v>
      </c>
      <c r="E1145" t="s">
        <v>20</v>
      </c>
      <c r="F1145">
        <v>48</v>
      </c>
      <c r="G1145" t="s">
        <v>30</v>
      </c>
      <c r="H1145" t="s">
        <v>87</v>
      </c>
      <c r="I1145" t="s">
        <v>49</v>
      </c>
      <c r="J1145">
        <v>396.79</v>
      </c>
      <c r="K1145">
        <v>4</v>
      </c>
      <c r="L1145">
        <v>0</v>
      </c>
      <c r="M1145" t="s">
        <v>77</v>
      </c>
      <c r="N1145" t="s">
        <v>81</v>
      </c>
      <c r="O1145" t="s">
        <v>26</v>
      </c>
      <c r="P1145">
        <v>2</v>
      </c>
    </row>
    <row r="1146" spans="1:16" x14ac:dyDescent="0.25">
      <c r="A1146" t="s">
        <v>2862</v>
      </c>
      <c r="B1146" t="s">
        <v>1722</v>
      </c>
      <c r="C1146" t="s">
        <v>2863</v>
      </c>
      <c r="D1146" t="s">
        <v>37</v>
      </c>
      <c r="E1146" t="s">
        <v>46</v>
      </c>
      <c r="F1146">
        <v>8</v>
      </c>
      <c r="G1146" t="s">
        <v>53</v>
      </c>
      <c r="H1146" t="s">
        <v>54</v>
      </c>
      <c r="I1146" t="s">
        <v>55</v>
      </c>
      <c r="J1146">
        <v>53.8</v>
      </c>
      <c r="K1146">
        <v>1</v>
      </c>
      <c r="L1146">
        <v>5</v>
      </c>
      <c r="M1146" t="s">
        <v>59</v>
      </c>
      <c r="N1146" t="s">
        <v>81</v>
      </c>
      <c r="O1146" t="s">
        <v>65</v>
      </c>
      <c r="P1146">
        <v>3</v>
      </c>
    </row>
    <row r="1147" spans="1:16" x14ac:dyDescent="0.25">
      <c r="A1147" t="s">
        <v>2864</v>
      </c>
      <c r="B1147" t="s">
        <v>568</v>
      </c>
      <c r="C1147" t="s">
        <v>2865</v>
      </c>
      <c r="D1147" t="s">
        <v>45</v>
      </c>
      <c r="E1147" t="s">
        <v>20</v>
      </c>
      <c r="F1147">
        <v>56</v>
      </c>
      <c r="G1147" t="s">
        <v>53</v>
      </c>
      <c r="H1147" t="s">
        <v>48</v>
      </c>
      <c r="I1147" t="s">
        <v>49</v>
      </c>
      <c r="J1147">
        <v>89.28</v>
      </c>
      <c r="K1147">
        <v>-2</v>
      </c>
      <c r="L1147">
        <v>120</v>
      </c>
      <c r="M1147" t="s">
        <v>59</v>
      </c>
      <c r="N1147" t="s">
        <v>25</v>
      </c>
      <c r="O1147" t="s">
        <v>26</v>
      </c>
      <c r="P1147">
        <v>2</v>
      </c>
    </row>
    <row r="1148" spans="1:16" x14ac:dyDescent="0.25">
      <c r="A1148" t="s">
        <v>2866</v>
      </c>
      <c r="B1148" t="s">
        <v>1120</v>
      </c>
      <c r="C1148" t="s">
        <v>2867</v>
      </c>
      <c r="D1148" t="s">
        <v>19</v>
      </c>
      <c r="E1148" t="s">
        <v>20</v>
      </c>
      <c r="F1148">
        <v>130</v>
      </c>
      <c r="G1148" t="s">
        <v>47</v>
      </c>
      <c r="H1148" t="s">
        <v>22</v>
      </c>
      <c r="I1148" t="s">
        <v>23</v>
      </c>
      <c r="J1148">
        <v>313.10000000000002</v>
      </c>
      <c r="K1148">
        <v>-2</v>
      </c>
      <c r="L1148">
        <v>-10</v>
      </c>
      <c r="M1148" t="s">
        <v>24</v>
      </c>
      <c r="N1148" t="s">
        <v>25</v>
      </c>
      <c r="O1148" t="s">
        <v>82</v>
      </c>
      <c r="P1148">
        <v>2</v>
      </c>
    </row>
    <row r="1149" spans="1:16" x14ac:dyDescent="0.25">
      <c r="A1149" t="s">
        <v>2868</v>
      </c>
      <c r="B1149" t="s">
        <v>1468</v>
      </c>
      <c r="C1149" t="s">
        <v>2869</v>
      </c>
      <c r="D1149" t="s">
        <v>19</v>
      </c>
      <c r="E1149" t="s">
        <v>46</v>
      </c>
      <c r="F1149">
        <v>130</v>
      </c>
      <c r="G1149" t="s">
        <v>21</v>
      </c>
      <c r="H1149" t="s">
        <v>31</v>
      </c>
      <c r="I1149" t="s">
        <v>32</v>
      </c>
      <c r="J1149">
        <v>36.369999999999997</v>
      </c>
      <c r="K1149">
        <v>1</v>
      </c>
      <c r="L1149">
        <v>10</v>
      </c>
      <c r="M1149" t="s">
        <v>77</v>
      </c>
      <c r="N1149" t="s">
        <v>25</v>
      </c>
      <c r="O1149" t="s">
        <v>65</v>
      </c>
      <c r="P1149">
        <v>3</v>
      </c>
    </row>
    <row r="1150" spans="1:16" x14ac:dyDescent="0.25">
      <c r="A1150" t="s">
        <v>2870</v>
      </c>
      <c r="B1150" t="s">
        <v>2871</v>
      </c>
      <c r="C1150" t="s">
        <v>2872</v>
      </c>
      <c r="E1150" t="s">
        <v>46</v>
      </c>
      <c r="F1150">
        <v>61</v>
      </c>
      <c r="G1150" t="s">
        <v>70</v>
      </c>
      <c r="H1150" t="s">
        <v>39</v>
      </c>
      <c r="I1150" t="s">
        <v>40</v>
      </c>
      <c r="J1150">
        <v>438.62</v>
      </c>
      <c r="K1150">
        <v>6</v>
      </c>
      <c r="L1150">
        <v>15</v>
      </c>
      <c r="M1150" t="s">
        <v>64</v>
      </c>
      <c r="N1150" t="s">
        <v>91</v>
      </c>
      <c r="O1150" t="s">
        <v>65</v>
      </c>
      <c r="P1150">
        <v>2</v>
      </c>
    </row>
    <row r="1151" spans="1:16" x14ac:dyDescent="0.25">
      <c r="A1151" t="s">
        <v>2873</v>
      </c>
      <c r="B1151" t="s">
        <v>2489</v>
      </c>
      <c r="C1151" t="s">
        <v>2874</v>
      </c>
      <c r="D1151" t="s">
        <v>117</v>
      </c>
      <c r="E1151" t="s">
        <v>20</v>
      </c>
      <c r="F1151">
        <v>8</v>
      </c>
      <c r="G1151" t="s">
        <v>38</v>
      </c>
      <c r="H1151" t="s">
        <v>22</v>
      </c>
      <c r="I1151" t="s">
        <v>23</v>
      </c>
      <c r="J1151">
        <v>112.93</v>
      </c>
      <c r="K1151">
        <v>4</v>
      </c>
      <c r="L1151">
        <v>15</v>
      </c>
      <c r="M1151" t="s">
        <v>59</v>
      </c>
      <c r="N1151" t="s">
        <v>25</v>
      </c>
      <c r="O1151" t="s">
        <v>82</v>
      </c>
      <c r="P1151">
        <v>1</v>
      </c>
    </row>
    <row r="1152" spans="1:16" x14ac:dyDescent="0.25">
      <c r="A1152" t="s">
        <v>2875</v>
      </c>
      <c r="B1152" t="s">
        <v>631</v>
      </c>
      <c r="C1152" t="s">
        <v>2876</v>
      </c>
      <c r="D1152" t="s">
        <v>117</v>
      </c>
      <c r="E1152" t="s">
        <v>46</v>
      </c>
      <c r="F1152">
        <v>130</v>
      </c>
      <c r="G1152" t="s">
        <v>47</v>
      </c>
      <c r="H1152" t="s">
        <v>39</v>
      </c>
      <c r="I1152" t="s">
        <v>40</v>
      </c>
      <c r="J1152">
        <v>202.73</v>
      </c>
      <c r="K1152">
        <v>-2</v>
      </c>
      <c r="L1152">
        <v>10</v>
      </c>
      <c r="M1152" t="s">
        <v>59</v>
      </c>
      <c r="N1152" t="s">
        <v>25</v>
      </c>
      <c r="O1152" t="s">
        <v>65</v>
      </c>
    </row>
    <row r="1153" spans="1:16" x14ac:dyDescent="0.25">
      <c r="A1153" t="s">
        <v>2877</v>
      </c>
      <c r="B1153" t="s">
        <v>2855</v>
      </c>
      <c r="C1153" t="s">
        <v>2878</v>
      </c>
      <c r="D1153" t="s">
        <v>37</v>
      </c>
      <c r="E1153" t="s">
        <v>20</v>
      </c>
      <c r="F1153">
        <v>130</v>
      </c>
      <c r="G1153" t="s">
        <v>47</v>
      </c>
      <c r="H1153" t="s">
        <v>22</v>
      </c>
      <c r="I1153" t="s">
        <v>23</v>
      </c>
      <c r="J1153">
        <v>394.12</v>
      </c>
      <c r="K1153">
        <v>1</v>
      </c>
      <c r="L1153">
        <v>-10</v>
      </c>
      <c r="M1153" t="s">
        <v>64</v>
      </c>
      <c r="N1153" t="s">
        <v>41</v>
      </c>
      <c r="O1153" t="s">
        <v>65</v>
      </c>
      <c r="P1153">
        <v>5</v>
      </c>
    </row>
    <row r="1154" spans="1:16" x14ac:dyDescent="0.25">
      <c r="A1154" t="s">
        <v>2879</v>
      </c>
      <c r="B1154" t="s">
        <v>2880</v>
      </c>
      <c r="C1154" t="s">
        <v>2881</v>
      </c>
      <c r="D1154" t="s">
        <v>63</v>
      </c>
      <c r="E1154" t="s">
        <v>20</v>
      </c>
      <c r="F1154">
        <v>130</v>
      </c>
      <c r="G1154" t="s">
        <v>70</v>
      </c>
      <c r="H1154" t="s">
        <v>54</v>
      </c>
      <c r="I1154" t="s">
        <v>55</v>
      </c>
      <c r="J1154">
        <v>470.61</v>
      </c>
      <c r="K1154">
        <v>5</v>
      </c>
      <c r="L1154">
        <v>-10</v>
      </c>
      <c r="M1154" t="s">
        <v>64</v>
      </c>
      <c r="N1154" t="s">
        <v>25</v>
      </c>
      <c r="O1154" t="s">
        <v>33</v>
      </c>
      <c r="P1154">
        <v>2</v>
      </c>
    </row>
    <row r="1155" spans="1:16" x14ac:dyDescent="0.25">
      <c r="A1155" t="s">
        <v>2882</v>
      </c>
      <c r="B1155" t="s">
        <v>2883</v>
      </c>
      <c r="C1155" t="s">
        <v>2884</v>
      </c>
      <c r="D1155" t="s">
        <v>69</v>
      </c>
      <c r="E1155" t="s">
        <v>20</v>
      </c>
      <c r="F1155">
        <v>34</v>
      </c>
      <c r="G1155" t="s">
        <v>70</v>
      </c>
      <c r="H1155" t="s">
        <v>54</v>
      </c>
      <c r="I1155" t="s">
        <v>55</v>
      </c>
      <c r="J1155">
        <v>89.4</v>
      </c>
      <c r="K1155">
        <v>-2</v>
      </c>
      <c r="L1155">
        <v>10</v>
      </c>
      <c r="N1155" t="s">
        <v>81</v>
      </c>
      <c r="O1155" t="s">
        <v>33</v>
      </c>
      <c r="P1155">
        <v>5</v>
      </c>
    </row>
    <row r="1156" spans="1:16" x14ac:dyDescent="0.25">
      <c r="A1156" t="s">
        <v>2885</v>
      </c>
      <c r="B1156" t="s">
        <v>246</v>
      </c>
      <c r="C1156" t="s">
        <v>2886</v>
      </c>
      <c r="D1156" t="s">
        <v>101</v>
      </c>
      <c r="E1156" t="s">
        <v>20</v>
      </c>
      <c r="F1156">
        <v>130</v>
      </c>
      <c r="G1156" t="s">
        <v>38</v>
      </c>
      <c r="H1156" t="s">
        <v>87</v>
      </c>
      <c r="I1156" t="s">
        <v>49</v>
      </c>
      <c r="J1156">
        <v>61.35</v>
      </c>
      <c r="K1156">
        <v>-2</v>
      </c>
      <c r="L1156">
        <v>-10</v>
      </c>
      <c r="M1156" t="s">
        <v>24</v>
      </c>
      <c r="N1156" t="s">
        <v>41</v>
      </c>
      <c r="O1156" t="s">
        <v>26</v>
      </c>
      <c r="P1156">
        <v>2</v>
      </c>
    </row>
    <row r="1157" spans="1:16" x14ac:dyDescent="0.25">
      <c r="A1157" t="s">
        <v>2887</v>
      </c>
      <c r="B1157" t="s">
        <v>1612</v>
      </c>
      <c r="C1157" t="s">
        <v>2888</v>
      </c>
      <c r="D1157" t="s">
        <v>69</v>
      </c>
      <c r="E1157" t="s">
        <v>46</v>
      </c>
      <c r="F1157">
        <v>130</v>
      </c>
      <c r="G1157" t="s">
        <v>53</v>
      </c>
      <c r="H1157" t="s">
        <v>22</v>
      </c>
      <c r="I1157" t="s">
        <v>23</v>
      </c>
      <c r="J1157">
        <v>19.100000000000001</v>
      </c>
      <c r="K1157">
        <v>-2</v>
      </c>
      <c r="L1157">
        <v>10</v>
      </c>
      <c r="M1157" t="s">
        <v>64</v>
      </c>
      <c r="N1157" t="s">
        <v>81</v>
      </c>
      <c r="O1157" t="s">
        <v>33</v>
      </c>
      <c r="P1157">
        <v>3</v>
      </c>
    </row>
    <row r="1158" spans="1:16" x14ac:dyDescent="0.25">
      <c r="A1158" t="s">
        <v>2889</v>
      </c>
      <c r="B1158" t="s">
        <v>2890</v>
      </c>
      <c r="C1158" t="s">
        <v>2891</v>
      </c>
      <c r="D1158" t="s">
        <v>19</v>
      </c>
      <c r="E1158" t="s">
        <v>20</v>
      </c>
      <c r="F1158">
        <v>130</v>
      </c>
      <c r="G1158" t="s">
        <v>47</v>
      </c>
      <c r="H1158" t="s">
        <v>22</v>
      </c>
      <c r="I1158" t="s">
        <v>23</v>
      </c>
      <c r="J1158">
        <v>403.65</v>
      </c>
      <c r="K1158">
        <v>-2</v>
      </c>
      <c r="L1158">
        <v>10</v>
      </c>
      <c r="M1158" t="s">
        <v>59</v>
      </c>
      <c r="N1158" t="s">
        <v>91</v>
      </c>
      <c r="O1158" t="s">
        <v>65</v>
      </c>
      <c r="P1158">
        <v>4</v>
      </c>
    </row>
    <row r="1159" spans="1:16" x14ac:dyDescent="0.25">
      <c r="A1159" t="s">
        <v>2892</v>
      </c>
      <c r="B1159" t="s">
        <v>1374</v>
      </c>
      <c r="C1159" t="s">
        <v>2893</v>
      </c>
      <c r="D1159" t="s">
        <v>69</v>
      </c>
      <c r="E1159" t="s">
        <v>46</v>
      </c>
      <c r="F1159">
        <v>49</v>
      </c>
      <c r="G1159" t="s">
        <v>86</v>
      </c>
      <c r="H1159" t="s">
        <v>39</v>
      </c>
      <c r="I1159" t="s">
        <v>40</v>
      </c>
      <c r="J1159">
        <v>376.39</v>
      </c>
      <c r="K1159">
        <v>-2</v>
      </c>
      <c r="L1159">
        <v>0</v>
      </c>
      <c r="N1159" t="s">
        <v>41</v>
      </c>
      <c r="O1159" t="s">
        <v>82</v>
      </c>
      <c r="P1159">
        <v>2</v>
      </c>
    </row>
    <row r="1160" spans="1:16" x14ac:dyDescent="0.25">
      <c r="A1160" t="s">
        <v>2894</v>
      </c>
      <c r="B1160" t="s">
        <v>473</v>
      </c>
      <c r="C1160" t="s">
        <v>2895</v>
      </c>
      <c r="D1160" t="s">
        <v>63</v>
      </c>
      <c r="E1160" t="s">
        <v>20</v>
      </c>
      <c r="F1160">
        <v>8</v>
      </c>
      <c r="G1160" t="s">
        <v>53</v>
      </c>
      <c r="H1160" t="s">
        <v>31</v>
      </c>
      <c r="I1160" t="s">
        <v>32</v>
      </c>
      <c r="J1160">
        <v>258.52999999999997</v>
      </c>
      <c r="K1160">
        <v>1</v>
      </c>
      <c r="L1160">
        <v>-10</v>
      </c>
      <c r="M1160" t="s">
        <v>64</v>
      </c>
      <c r="N1160" t="s">
        <v>25</v>
      </c>
      <c r="O1160" t="s">
        <v>82</v>
      </c>
      <c r="P1160">
        <v>1</v>
      </c>
    </row>
    <row r="1161" spans="1:16" x14ac:dyDescent="0.25">
      <c r="A1161" t="s">
        <v>2896</v>
      </c>
      <c r="B1161" t="s">
        <v>2796</v>
      </c>
      <c r="C1161" t="s">
        <v>2897</v>
      </c>
      <c r="E1161" t="s">
        <v>20</v>
      </c>
      <c r="F1161">
        <v>8</v>
      </c>
      <c r="G1161" t="s">
        <v>38</v>
      </c>
      <c r="H1161" t="s">
        <v>54</v>
      </c>
      <c r="I1161" t="s">
        <v>55</v>
      </c>
      <c r="J1161">
        <v>179.69</v>
      </c>
      <c r="K1161">
        <v>1</v>
      </c>
      <c r="L1161">
        <v>-10</v>
      </c>
      <c r="N1161" t="s">
        <v>81</v>
      </c>
      <c r="O1161" t="s">
        <v>65</v>
      </c>
      <c r="P1161">
        <v>2</v>
      </c>
    </row>
    <row r="1162" spans="1:16" x14ac:dyDescent="0.25">
      <c r="A1162" t="s">
        <v>2898</v>
      </c>
      <c r="B1162" t="s">
        <v>2899</v>
      </c>
      <c r="C1162" t="s">
        <v>2900</v>
      </c>
      <c r="D1162" t="s">
        <v>101</v>
      </c>
      <c r="E1162" t="s">
        <v>46</v>
      </c>
      <c r="F1162">
        <v>130</v>
      </c>
      <c r="G1162" t="s">
        <v>21</v>
      </c>
      <c r="H1162" t="s">
        <v>87</v>
      </c>
      <c r="I1162" t="s">
        <v>49</v>
      </c>
      <c r="J1162">
        <v>263.58</v>
      </c>
      <c r="K1162">
        <v>2</v>
      </c>
      <c r="L1162">
        <v>-10</v>
      </c>
      <c r="M1162" t="s">
        <v>77</v>
      </c>
      <c r="N1162" t="s">
        <v>41</v>
      </c>
      <c r="O1162" t="s">
        <v>82</v>
      </c>
      <c r="P1162">
        <v>1</v>
      </c>
    </row>
    <row r="1163" spans="1:16" x14ac:dyDescent="0.25">
      <c r="A1163" t="s">
        <v>2901</v>
      </c>
      <c r="B1163" t="s">
        <v>2855</v>
      </c>
      <c r="C1163" t="s">
        <v>2902</v>
      </c>
      <c r="D1163" t="s">
        <v>63</v>
      </c>
      <c r="E1163" t="s">
        <v>20</v>
      </c>
      <c r="F1163">
        <v>8</v>
      </c>
      <c r="G1163" t="s">
        <v>53</v>
      </c>
      <c r="H1163" t="s">
        <v>121</v>
      </c>
      <c r="I1163" t="s">
        <v>122</v>
      </c>
      <c r="J1163">
        <v>177.72</v>
      </c>
      <c r="K1163">
        <v>3</v>
      </c>
      <c r="L1163">
        <v>120</v>
      </c>
      <c r="M1163" t="s">
        <v>64</v>
      </c>
      <c r="N1163" t="s">
        <v>41</v>
      </c>
      <c r="O1163" t="s">
        <v>26</v>
      </c>
      <c r="P1163">
        <v>3</v>
      </c>
    </row>
    <row r="1164" spans="1:16" x14ac:dyDescent="0.25">
      <c r="A1164" t="s">
        <v>2903</v>
      </c>
      <c r="B1164" t="s">
        <v>1635</v>
      </c>
      <c r="C1164" t="s">
        <v>2904</v>
      </c>
      <c r="D1164" t="s">
        <v>63</v>
      </c>
      <c r="E1164" t="s">
        <v>20</v>
      </c>
      <c r="F1164">
        <v>8</v>
      </c>
      <c r="G1164" t="s">
        <v>86</v>
      </c>
      <c r="H1164" t="s">
        <v>31</v>
      </c>
      <c r="I1164" t="s">
        <v>32</v>
      </c>
      <c r="J1164">
        <v>446.89</v>
      </c>
      <c r="K1164">
        <v>-2</v>
      </c>
      <c r="L1164">
        <v>-10</v>
      </c>
      <c r="M1164" t="s">
        <v>24</v>
      </c>
      <c r="N1164" t="s">
        <v>81</v>
      </c>
      <c r="O1164" t="s">
        <v>65</v>
      </c>
      <c r="P1164">
        <v>3</v>
      </c>
    </row>
    <row r="1165" spans="1:16" x14ac:dyDescent="0.25">
      <c r="A1165" t="s">
        <v>2905</v>
      </c>
      <c r="B1165" t="s">
        <v>267</v>
      </c>
      <c r="C1165" t="s">
        <v>2906</v>
      </c>
      <c r="D1165" t="s">
        <v>63</v>
      </c>
      <c r="E1165" t="s">
        <v>46</v>
      </c>
      <c r="F1165">
        <v>130</v>
      </c>
      <c r="G1165" t="s">
        <v>47</v>
      </c>
      <c r="H1165" t="s">
        <v>87</v>
      </c>
      <c r="I1165" t="s">
        <v>49</v>
      </c>
      <c r="J1165">
        <v>376.48</v>
      </c>
      <c r="K1165">
        <v>7</v>
      </c>
      <c r="L1165">
        <v>0</v>
      </c>
      <c r="N1165" t="s">
        <v>41</v>
      </c>
      <c r="O1165" t="s">
        <v>26</v>
      </c>
      <c r="P1165">
        <v>5</v>
      </c>
    </row>
    <row r="1166" spans="1:16" x14ac:dyDescent="0.25">
      <c r="A1166" t="s">
        <v>2907</v>
      </c>
      <c r="B1166" t="s">
        <v>744</v>
      </c>
      <c r="C1166" t="s">
        <v>2908</v>
      </c>
      <c r="D1166" t="s">
        <v>37</v>
      </c>
      <c r="E1166" t="s">
        <v>20</v>
      </c>
      <c r="F1166">
        <v>8</v>
      </c>
      <c r="G1166" t="s">
        <v>38</v>
      </c>
      <c r="H1166" t="s">
        <v>39</v>
      </c>
      <c r="I1166" t="s">
        <v>40</v>
      </c>
      <c r="J1166">
        <v>338.82</v>
      </c>
      <c r="K1166">
        <v>8</v>
      </c>
      <c r="L1166">
        <v>-10</v>
      </c>
      <c r="M1166" t="s">
        <v>64</v>
      </c>
      <c r="N1166" t="s">
        <v>91</v>
      </c>
      <c r="O1166" t="s">
        <v>26</v>
      </c>
      <c r="P1166">
        <v>2</v>
      </c>
    </row>
    <row r="1167" spans="1:16" x14ac:dyDescent="0.25">
      <c r="A1167" t="s">
        <v>2909</v>
      </c>
      <c r="B1167" t="s">
        <v>2910</v>
      </c>
      <c r="C1167" t="s">
        <v>2911</v>
      </c>
      <c r="D1167" t="s">
        <v>45</v>
      </c>
      <c r="E1167" t="s">
        <v>20</v>
      </c>
      <c r="F1167">
        <v>130</v>
      </c>
      <c r="G1167" t="s">
        <v>53</v>
      </c>
      <c r="H1167" t="s">
        <v>22</v>
      </c>
      <c r="I1167" t="s">
        <v>23</v>
      </c>
      <c r="J1167">
        <v>467.78</v>
      </c>
      <c r="K1167">
        <v>10</v>
      </c>
      <c r="L1167">
        <v>120</v>
      </c>
      <c r="M1167" t="s">
        <v>64</v>
      </c>
      <c r="N1167" t="s">
        <v>91</v>
      </c>
      <c r="O1167" t="s">
        <v>33</v>
      </c>
      <c r="P1167">
        <v>4</v>
      </c>
    </row>
    <row r="1168" spans="1:16" x14ac:dyDescent="0.25">
      <c r="A1168" t="s">
        <v>2912</v>
      </c>
      <c r="B1168" t="s">
        <v>1374</v>
      </c>
      <c r="C1168" t="s">
        <v>936</v>
      </c>
      <c r="D1168" t="s">
        <v>117</v>
      </c>
      <c r="E1168" t="s">
        <v>46</v>
      </c>
      <c r="F1168">
        <v>8</v>
      </c>
      <c r="G1168" t="s">
        <v>30</v>
      </c>
      <c r="H1168" t="s">
        <v>87</v>
      </c>
      <c r="I1168" t="s">
        <v>49</v>
      </c>
      <c r="J1168">
        <v>338</v>
      </c>
      <c r="K1168">
        <v>9</v>
      </c>
      <c r="L1168">
        <v>120</v>
      </c>
      <c r="N1168" t="s">
        <v>91</v>
      </c>
      <c r="O1168" t="s">
        <v>26</v>
      </c>
    </row>
    <row r="1169" spans="1:16" x14ac:dyDescent="0.25">
      <c r="A1169" t="s">
        <v>2913</v>
      </c>
      <c r="B1169" t="s">
        <v>2914</v>
      </c>
      <c r="C1169" t="s">
        <v>2915</v>
      </c>
      <c r="D1169" t="s">
        <v>117</v>
      </c>
      <c r="E1169" t="s">
        <v>20</v>
      </c>
      <c r="F1169">
        <v>130</v>
      </c>
      <c r="G1169" t="s">
        <v>21</v>
      </c>
      <c r="H1169" t="s">
        <v>39</v>
      </c>
      <c r="I1169" t="s">
        <v>40</v>
      </c>
      <c r="J1169">
        <v>401.76</v>
      </c>
      <c r="K1169">
        <v>-2</v>
      </c>
      <c r="L1169">
        <v>10</v>
      </c>
      <c r="M1169" t="s">
        <v>64</v>
      </c>
      <c r="N1169" t="s">
        <v>81</v>
      </c>
      <c r="O1169" t="s">
        <v>82</v>
      </c>
      <c r="P1169">
        <v>1</v>
      </c>
    </row>
    <row r="1170" spans="1:16" x14ac:dyDescent="0.25">
      <c r="A1170" t="s">
        <v>2916</v>
      </c>
      <c r="B1170" t="s">
        <v>249</v>
      </c>
      <c r="C1170" t="s">
        <v>2908</v>
      </c>
      <c r="D1170" t="s">
        <v>45</v>
      </c>
      <c r="E1170" t="s">
        <v>20</v>
      </c>
      <c r="F1170">
        <v>8</v>
      </c>
      <c r="G1170" t="s">
        <v>70</v>
      </c>
      <c r="H1170" t="s">
        <v>48</v>
      </c>
      <c r="I1170" t="s">
        <v>49</v>
      </c>
      <c r="J1170">
        <v>401.83</v>
      </c>
      <c r="K1170">
        <v>-2</v>
      </c>
      <c r="L1170">
        <v>0</v>
      </c>
      <c r="M1170" t="s">
        <v>24</v>
      </c>
      <c r="N1170" t="s">
        <v>81</v>
      </c>
      <c r="O1170" t="s">
        <v>26</v>
      </c>
      <c r="P1170">
        <v>3</v>
      </c>
    </row>
    <row r="1171" spans="1:16" x14ac:dyDescent="0.25">
      <c r="A1171" t="s">
        <v>2917</v>
      </c>
      <c r="B1171" t="s">
        <v>147</v>
      </c>
      <c r="C1171" t="s">
        <v>2918</v>
      </c>
      <c r="E1171" t="s">
        <v>20</v>
      </c>
      <c r="F1171">
        <v>8</v>
      </c>
      <c r="G1171" t="s">
        <v>30</v>
      </c>
      <c r="H1171" t="s">
        <v>87</v>
      </c>
      <c r="I1171" t="s">
        <v>49</v>
      </c>
      <c r="J1171">
        <v>390.44</v>
      </c>
      <c r="K1171">
        <v>-2</v>
      </c>
      <c r="L1171">
        <v>0</v>
      </c>
      <c r="M1171" t="s">
        <v>24</v>
      </c>
      <c r="N1171" t="s">
        <v>41</v>
      </c>
      <c r="O1171" t="s">
        <v>26</v>
      </c>
      <c r="P1171">
        <v>5</v>
      </c>
    </row>
    <row r="1172" spans="1:16" x14ac:dyDescent="0.25">
      <c r="A1172" t="s">
        <v>2919</v>
      </c>
      <c r="B1172" t="s">
        <v>2814</v>
      </c>
      <c r="C1172" t="s">
        <v>505</v>
      </c>
      <c r="D1172" t="s">
        <v>69</v>
      </c>
      <c r="E1172" t="s">
        <v>20</v>
      </c>
      <c r="F1172">
        <v>8</v>
      </c>
      <c r="G1172" t="s">
        <v>30</v>
      </c>
      <c r="H1172" t="s">
        <v>31</v>
      </c>
      <c r="I1172" t="s">
        <v>32</v>
      </c>
      <c r="J1172">
        <v>368.54</v>
      </c>
      <c r="K1172">
        <v>-2</v>
      </c>
      <c r="L1172">
        <v>15</v>
      </c>
      <c r="N1172" t="s">
        <v>91</v>
      </c>
      <c r="O1172" t="s">
        <v>65</v>
      </c>
    </row>
    <row r="1173" spans="1:16" x14ac:dyDescent="0.25">
      <c r="A1173" t="s">
        <v>2920</v>
      </c>
      <c r="B1173" t="s">
        <v>2233</v>
      </c>
      <c r="C1173" t="s">
        <v>2921</v>
      </c>
      <c r="E1173" t="s">
        <v>46</v>
      </c>
      <c r="F1173">
        <v>8</v>
      </c>
      <c r="G1173" t="s">
        <v>70</v>
      </c>
      <c r="H1173" t="s">
        <v>87</v>
      </c>
      <c r="I1173" t="s">
        <v>49</v>
      </c>
      <c r="J1173">
        <v>83.27</v>
      </c>
      <c r="K1173">
        <v>9</v>
      </c>
      <c r="L1173">
        <v>-10</v>
      </c>
      <c r="M1173" t="s">
        <v>77</v>
      </c>
      <c r="N1173" t="s">
        <v>41</v>
      </c>
      <c r="O1173" t="s">
        <v>33</v>
      </c>
      <c r="P1173">
        <v>2</v>
      </c>
    </row>
    <row r="1174" spans="1:16" x14ac:dyDescent="0.25">
      <c r="A1174" t="s">
        <v>2922</v>
      </c>
      <c r="B1174" t="s">
        <v>650</v>
      </c>
      <c r="C1174" t="s">
        <v>2923</v>
      </c>
      <c r="E1174" t="s">
        <v>20</v>
      </c>
      <c r="F1174">
        <v>130</v>
      </c>
      <c r="G1174" t="s">
        <v>38</v>
      </c>
      <c r="H1174" t="s">
        <v>121</v>
      </c>
      <c r="I1174" t="s">
        <v>122</v>
      </c>
      <c r="J1174">
        <v>378.34</v>
      </c>
      <c r="K1174">
        <v>-2</v>
      </c>
      <c r="L1174">
        <v>0</v>
      </c>
      <c r="N1174" t="s">
        <v>91</v>
      </c>
      <c r="O1174" t="s">
        <v>26</v>
      </c>
    </row>
    <row r="1175" spans="1:16" x14ac:dyDescent="0.25">
      <c r="A1175" t="s">
        <v>2924</v>
      </c>
      <c r="B1175" t="s">
        <v>625</v>
      </c>
      <c r="C1175" t="s">
        <v>2925</v>
      </c>
      <c r="D1175" t="s">
        <v>69</v>
      </c>
      <c r="E1175" t="s">
        <v>46</v>
      </c>
      <c r="F1175">
        <v>130</v>
      </c>
      <c r="G1175" t="s">
        <v>21</v>
      </c>
      <c r="H1175" t="s">
        <v>39</v>
      </c>
      <c r="I1175" t="s">
        <v>40</v>
      </c>
      <c r="J1175">
        <v>341.49</v>
      </c>
      <c r="K1175">
        <v>-2</v>
      </c>
      <c r="L1175">
        <v>120</v>
      </c>
      <c r="M1175" t="s">
        <v>77</v>
      </c>
      <c r="N1175" t="s">
        <v>81</v>
      </c>
      <c r="O1175" t="s">
        <v>26</v>
      </c>
      <c r="P1175">
        <v>3</v>
      </c>
    </row>
    <row r="1176" spans="1:16" x14ac:dyDescent="0.25">
      <c r="A1176" t="s">
        <v>2926</v>
      </c>
      <c r="B1176" t="s">
        <v>2433</v>
      </c>
      <c r="C1176" t="s">
        <v>1033</v>
      </c>
      <c r="D1176" t="s">
        <v>101</v>
      </c>
      <c r="E1176" t="s">
        <v>20</v>
      </c>
      <c r="F1176">
        <v>8</v>
      </c>
      <c r="G1176" t="s">
        <v>21</v>
      </c>
      <c r="H1176" t="s">
        <v>22</v>
      </c>
      <c r="I1176" t="s">
        <v>23</v>
      </c>
      <c r="J1176">
        <v>415.78</v>
      </c>
      <c r="K1176">
        <v>-2</v>
      </c>
      <c r="L1176">
        <v>15</v>
      </c>
      <c r="M1176" t="s">
        <v>77</v>
      </c>
      <c r="N1176" t="s">
        <v>91</v>
      </c>
      <c r="O1176" t="s">
        <v>33</v>
      </c>
      <c r="P1176">
        <v>2</v>
      </c>
    </row>
    <row r="1177" spans="1:16" x14ac:dyDescent="0.25">
      <c r="A1177" t="s">
        <v>2927</v>
      </c>
      <c r="B1177" t="s">
        <v>255</v>
      </c>
      <c r="C1177" t="s">
        <v>2928</v>
      </c>
      <c r="D1177" t="s">
        <v>117</v>
      </c>
      <c r="E1177" t="s">
        <v>46</v>
      </c>
      <c r="F1177">
        <v>130</v>
      </c>
      <c r="G1177" t="s">
        <v>21</v>
      </c>
      <c r="H1177" t="s">
        <v>31</v>
      </c>
      <c r="I1177" t="s">
        <v>32</v>
      </c>
      <c r="J1177">
        <v>91.68</v>
      </c>
      <c r="K1177">
        <v>-2</v>
      </c>
      <c r="L1177">
        <v>10</v>
      </c>
      <c r="N1177" t="s">
        <v>25</v>
      </c>
      <c r="O1177" t="s">
        <v>82</v>
      </c>
      <c r="P1177">
        <v>1</v>
      </c>
    </row>
    <row r="1178" spans="1:16" x14ac:dyDescent="0.25">
      <c r="A1178" t="s">
        <v>2929</v>
      </c>
      <c r="B1178" t="s">
        <v>288</v>
      </c>
      <c r="C1178" t="s">
        <v>2930</v>
      </c>
      <c r="D1178" t="s">
        <v>101</v>
      </c>
      <c r="E1178" t="s">
        <v>46</v>
      </c>
      <c r="F1178">
        <v>8</v>
      </c>
      <c r="G1178" t="s">
        <v>38</v>
      </c>
      <c r="H1178" t="s">
        <v>87</v>
      </c>
      <c r="I1178" t="s">
        <v>49</v>
      </c>
      <c r="J1178">
        <v>12.58</v>
      </c>
      <c r="K1178">
        <v>-2</v>
      </c>
      <c r="L1178">
        <v>10</v>
      </c>
      <c r="M1178" t="s">
        <v>64</v>
      </c>
      <c r="N1178" t="s">
        <v>25</v>
      </c>
      <c r="O1178" t="s">
        <v>65</v>
      </c>
      <c r="P1178">
        <v>5</v>
      </c>
    </row>
    <row r="1179" spans="1:16" x14ac:dyDescent="0.25">
      <c r="A1179" t="s">
        <v>2931</v>
      </c>
      <c r="B1179" t="s">
        <v>2070</v>
      </c>
      <c r="C1179" t="s">
        <v>2207</v>
      </c>
      <c r="D1179" t="s">
        <v>37</v>
      </c>
      <c r="E1179" t="s">
        <v>20</v>
      </c>
      <c r="F1179">
        <v>36</v>
      </c>
      <c r="G1179" t="s">
        <v>86</v>
      </c>
      <c r="H1179" t="s">
        <v>39</v>
      </c>
      <c r="I1179" t="s">
        <v>40</v>
      </c>
      <c r="J1179">
        <v>185.28</v>
      </c>
      <c r="K1179">
        <v>2</v>
      </c>
      <c r="L1179">
        <v>0</v>
      </c>
      <c r="M1179" t="s">
        <v>64</v>
      </c>
      <c r="N1179" t="s">
        <v>91</v>
      </c>
      <c r="O1179" t="s">
        <v>65</v>
      </c>
    </row>
    <row r="1180" spans="1:16" x14ac:dyDescent="0.25">
      <c r="A1180" t="s">
        <v>2932</v>
      </c>
      <c r="B1180" t="s">
        <v>1009</v>
      </c>
      <c r="C1180" t="s">
        <v>2933</v>
      </c>
      <c r="D1180" t="s">
        <v>37</v>
      </c>
      <c r="E1180" t="s">
        <v>46</v>
      </c>
      <c r="F1180">
        <v>40</v>
      </c>
      <c r="G1180" t="s">
        <v>21</v>
      </c>
      <c r="H1180" t="s">
        <v>39</v>
      </c>
      <c r="I1180" t="s">
        <v>40</v>
      </c>
      <c r="J1180">
        <v>103.19</v>
      </c>
      <c r="K1180">
        <v>5</v>
      </c>
      <c r="L1180">
        <v>120</v>
      </c>
      <c r="M1180" t="s">
        <v>24</v>
      </c>
      <c r="N1180" t="s">
        <v>91</v>
      </c>
      <c r="O1180" t="s">
        <v>26</v>
      </c>
      <c r="P1180">
        <v>5</v>
      </c>
    </row>
    <row r="1181" spans="1:16" x14ac:dyDescent="0.25">
      <c r="A1181" t="s">
        <v>2934</v>
      </c>
      <c r="B1181" t="s">
        <v>1579</v>
      </c>
      <c r="C1181" t="s">
        <v>2935</v>
      </c>
      <c r="D1181" t="s">
        <v>117</v>
      </c>
      <c r="E1181" t="s">
        <v>20</v>
      </c>
      <c r="F1181">
        <v>130</v>
      </c>
      <c r="G1181" t="s">
        <v>38</v>
      </c>
      <c r="H1181" t="s">
        <v>22</v>
      </c>
      <c r="I1181" t="s">
        <v>23</v>
      </c>
      <c r="J1181">
        <v>364.86</v>
      </c>
      <c r="K1181">
        <v>-2</v>
      </c>
      <c r="L1181">
        <v>10</v>
      </c>
      <c r="M1181" t="s">
        <v>77</v>
      </c>
      <c r="N1181" t="s">
        <v>91</v>
      </c>
      <c r="O1181" t="s">
        <v>26</v>
      </c>
    </row>
    <row r="1182" spans="1:16" x14ac:dyDescent="0.25">
      <c r="A1182" t="s">
        <v>2936</v>
      </c>
      <c r="B1182" t="s">
        <v>106</v>
      </c>
      <c r="C1182" t="s">
        <v>2937</v>
      </c>
      <c r="D1182" t="s">
        <v>63</v>
      </c>
      <c r="E1182" t="s">
        <v>20</v>
      </c>
      <c r="F1182">
        <v>130</v>
      </c>
      <c r="G1182" t="s">
        <v>70</v>
      </c>
      <c r="H1182" t="s">
        <v>22</v>
      </c>
      <c r="I1182" t="s">
        <v>23</v>
      </c>
      <c r="J1182">
        <v>388.1</v>
      </c>
      <c r="K1182">
        <v>5</v>
      </c>
      <c r="L1182">
        <v>15</v>
      </c>
      <c r="M1182" t="s">
        <v>24</v>
      </c>
      <c r="N1182" t="s">
        <v>91</v>
      </c>
      <c r="O1182" t="s">
        <v>26</v>
      </c>
      <c r="P1182">
        <v>4</v>
      </c>
    </row>
    <row r="1183" spans="1:16" x14ac:dyDescent="0.25">
      <c r="A1183" t="s">
        <v>2938</v>
      </c>
      <c r="B1183" t="s">
        <v>2939</v>
      </c>
      <c r="C1183" t="s">
        <v>2940</v>
      </c>
      <c r="D1183" t="s">
        <v>19</v>
      </c>
      <c r="E1183" t="s">
        <v>46</v>
      </c>
      <c r="F1183">
        <v>61</v>
      </c>
      <c r="G1183" t="s">
        <v>47</v>
      </c>
      <c r="H1183" t="s">
        <v>121</v>
      </c>
      <c r="I1183" t="s">
        <v>122</v>
      </c>
      <c r="J1183">
        <v>465.4</v>
      </c>
      <c r="K1183">
        <v>-2</v>
      </c>
      <c r="L1183">
        <v>5</v>
      </c>
      <c r="M1183" t="s">
        <v>64</v>
      </c>
      <c r="N1183" t="s">
        <v>91</v>
      </c>
      <c r="O1183" t="s">
        <v>26</v>
      </c>
      <c r="P1183">
        <v>2</v>
      </c>
    </row>
    <row r="1184" spans="1:16" x14ac:dyDescent="0.25">
      <c r="A1184" t="s">
        <v>2941</v>
      </c>
      <c r="B1184" t="s">
        <v>1607</v>
      </c>
      <c r="C1184" t="s">
        <v>2942</v>
      </c>
      <c r="D1184" t="s">
        <v>19</v>
      </c>
      <c r="E1184" t="s">
        <v>20</v>
      </c>
      <c r="F1184">
        <v>31</v>
      </c>
      <c r="G1184" t="s">
        <v>53</v>
      </c>
      <c r="H1184" t="s">
        <v>48</v>
      </c>
      <c r="I1184" t="s">
        <v>49</v>
      </c>
      <c r="J1184">
        <v>67.3</v>
      </c>
      <c r="K1184">
        <v>10</v>
      </c>
      <c r="L1184">
        <v>0</v>
      </c>
      <c r="M1184" t="s">
        <v>24</v>
      </c>
      <c r="N1184" t="s">
        <v>91</v>
      </c>
      <c r="O1184" t="s">
        <v>26</v>
      </c>
    </row>
    <row r="1185" spans="1:16" x14ac:dyDescent="0.25">
      <c r="A1185" t="s">
        <v>2943</v>
      </c>
      <c r="B1185" t="s">
        <v>96</v>
      </c>
      <c r="C1185" t="s">
        <v>2944</v>
      </c>
      <c r="D1185" t="s">
        <v>19</v>
      </c>
      <c r="E1185" t="s">
        <v>20</v>
      </c>
      <c r="F1185">
        <v>130</v>
      </c>
      <c r="G1185" t="s">
        <v>21</v>
      </c>
      <c r="H1185" t="s">
        <v>22</v>
      </c>
      <c r="I1185" t="s">
        <v>23</v>
      </c>
      <c r="J1185">
        <v>334.81</v>
      </c>
      <c r="K1185">
        <v>-2</v>
      </c>
      <c r="L1185">
        <v>5</v>
      </c>
      <c r="M1185" t="s">
        <v>77</v>
      </c>
      <c r="N1185" t="s">
        <v>25</v>
      </c>
      <c r="O1185" t="s">
        <v>26</v>
      </c>
      <c r="P1185">
        <v>1</v>
      </c>
    </row>
    <row r="1186" spans="1:16" x14ac:dyDescent="0.25">
      <c r="A1186" t="s">
        <v>2945</v>
      </c>
      <c r="B1186" t="s">
        <v>1165</v>
      </c>
      <c r="C1186" t="s">
        <v>2946</v>
      </c>
      <c r="D1186" t="s">
        <v>45</v>
      </c>
      <c r="E1186" t="s">
        <v>20</v>
      </c>
      <c r="F1186">
        <v>65</v>
      </c>
      <c r="G1186" t="s">
        <v>53</v>
      </c>
      <c r="H1186" t="s">
        <v>87</v>
      </c>
      <c r="I1186" t="s">
        <v>49</v>
      </c>
      <c r="J1186">
        <v>354.53</v>
      </c>
      <c r="K1186">
        <v>-2</v>
      </c>
      <c r="L1186">
        <v>0</v>
      </c>
      <c r="M1186" t="s">
        <v>59</v>
      </c>
      <c r="N1186" t="s">
        <v>91</v>
      </c>
      <c r="O1186" t="s">
        <v>65</v>
      </c>
      <c r="P1186">
        <v>1</v>
      </c>
    </row>
    <row r="1187" spans="1:16" x14ac:dyDescent="0.25">
      <c r="A1187" t="s">
        <v>2947</v>
      </c>
      <c r="B1187" t="s">
        <v>1135</v>
      </c>
      <c r="C1187" t="s">
        <v>2948</v>
      </c>
      <c r="D1187" t="s">
        <v>117</v>
      </c>
      <c r="E1187" t="s">
        <v>20</v>
      </c>
      <c r="F1187">
        <v>8</v>
      </c>
      <c r="G1187" t="s">
        <v>70</v>
      </c>
      <c r="H1187" t="s">
        <v>31</v>
      </c>
      <c r="I1187" t="s">
        <v>32</v>
      </c>
      <c r="J1187">
        <v>480.18</v>
      </c>
      <c r="K1187">
        <v>7</v>
      </c>
      <c r="L1187">
        <v>120</v>
      </c>
      <c r="M1187" t="s">
        <v>24</v>
      </c>
      <c r="N1187" t="s">
        <v>91</v>
      </c>
      <c r="O1187" t="s">
        <v>65</v>
      </c>
      <c r="P1187">
        <v>5</v>
      </c>
    </row>
    <row r="1188" spans="1:16" x14ac:dyDescent="0.25">
      <c r="A1188" t="s">
        <v>2949</v>
      </c>
      <c r="B1188" t="s">
        <v>99</v>
      </c>
      <c r="C1188" t="s">
        <v>2950</v>
      </c>
      <c r="D1188" t="s">
        <v>69</v>
      </c>
      <c r="E1188" t="s">
        <v>20</v>
      </c>
      <c r="F1188">
        <v>8</v>
      </c>
      <c r="G1188" t="s">
        <v>86</v>
      </c>
      <c r="H1188" t="s">
        <v>31</v>
      </c>
      <c r="I1188" t="s">
        <v>32</v>
      </c>
      <c r="J1188">
        <v>423.89</v>
      </c>
      <c r="K1188">
        <v>6</v>
      </c>
      <c r="L1188">
        <v>0</v>
      </c>
      <c r="M1188" t="s">
        <v>59</v>
      </c>
      <c r="N1188" t="s">
        <v>81</v>
      </c>
      <c r="O1188" t="s">
        <v>26</v>
      </c>
      <c r="P1188">
        <v>2</v>
      </c>
    </row>
    <row r="1189" spans="1:16" x14ac:dyDescent="0.25">
      <c r="A1189" t="s">
        <v>2951</v>
      </c>
      <c r="B1189" t="s">
        <v>1012</v>
      </c>
      <c r="C1189" t="s">
        <v>2952</v>
      </c>
      <c r="D1189" t="s">
        <v>37</v>
      </c>
      <c r="E1189" t="s">
        <v>46</v>
      </c>
      <c r="F1189">
        <v>8</v>
      </c>
      <c r="G1189" t="s">
        <v>30</v>
      </c>
      <c r="H1189" t="s">
        <v>54</v>
      </c>
      <c r="I1189" t="s">
        <v>55</v>
      </c>
      <c r="J1189">
        <v>459.94</v>
      </c>
      <c r="K1189">
        <v>-2</v>
      </c>
      <c r="L1189">
        <v>0</v>
      </c>
      <c r="M1189" t="s">
        <v>59</v>
      </c>
      <c r="N1189" t="s">
        <v>41</v>
      </c>
      <c r="O1189" t="s">
        <v>26</v>
      </c>
      <c r="P1189">
        <v>5</v>
      </c>
    </row>
    <row r="1190" spans="1:16" x14ac:dyDescent="0.25">
      <c r="A1190" t="s">
        <v>2953</v>
      </c>
      <c r="B1190" t="s">
        <v>2954</v>
      </c>
      <c r="C1190" t="s">
        <v>2955</v>
      </c>
      <c r="D1190" t="s">
        <v>37</v>
      </c>
      <c r="E1190" t="s">
        <v>20</v>
      </c>
      <c r="F1190">
        <v>61</v>
      </c>
      <c r="G1190" t="s">
        <v>30</v>
      </c>
      <c r="H1190" t="s">
        <v>31</v>
      </c>
      <c r="I1190" t="s">
        <v>32</v>
      </c>
      <c r="J1190">
        <v>286.56</v>
      </c>
      <c r="K1190">
        <v>6</v>
      </c>
      <c r="L1190">
        <v>0</v>
      </c>
      <c r="M1190" t="s">
        <v>24</v>
      </c>
      <c r="N1190" t="s">
        <v>25</v>
      </c>
      <c r="O1190" t="s">
        <v>65</v>
      </c>
      <c r="P1190">
        <v>1</v>
      </c>
    </row>
    <row r="1191" spans="1:16" x14ac:dyDescent="0.25">
      <c r="A1191" t="s">
        <v>2956</v>
      </c>
      <c r="B1191" t="s">
        <v>2188</v>
      </c>
      <c r="C1191" t="s">
        <v>2957</v>
      </c>
      <c r="D1191" t="s">
        <v>37</v>
      </c>
      <c r="E1191" t="s">
        <v>20</v>
      </c>
      <c r="F1191">
        <v>130</v>
      </c>
      <c r="G1191" t="s">
        <v>21</v>
      </c>
      <c r="H1191" t="s">
        <v>48</v>
      </c>
      <c r="I1191" t="s">
        <v>49</v>
      </c>
      <c r="J1191">
        <v>102.45</v>
      </c>
      <c r="K1191">
        <v>-2</v>
      </c>
      <c r="L1191">
        <v>-10</v>
      </c>
      <c r="N1191" t="s">
        <v>91</v>
      </c>
      <c r="O1191" t="s">
        <v>65</v>
      </c>
      <c r="P1191">
        <v>2</v>
      </c>
    </row>
    <row r="1192" spans="1:16" x14ac:dyDescent="0.25">
      <c r="A1192" t="s">
        <v>2958</v>
      </c>
      <c r="B1192" t="s">
        <v>774</v>
      </c>
      <c r="C1192" t="s">
        <v>2959</v>
      </c>
      <c r="D1192" t="s">
        <v>37</v>
      </c>
      <c r="E1192" t="s">
        <v>46</v>
      </c>
      <c r="F1192">
        <v>130</v>
      </c>
      <c r="G1192" t="s">
        <v>30</v>
      </c>
      <c r="H1192" t="s">
        <v>121</v>
      </c>
      <c r="I1192" t="s">
        <v>122</v>
      </c>
      <c r="J1192">
        <v>300.64</v>
      </c>
      <c r="K1192">
        <v>-2</v>
      </c>
      <c r="L1192">
        <v>5</v>
      </c>
      <c r="N1192" t="s">
        <v>41</v>
      </c>
      <c r="O1192" t="s">
        <v>65</v>
      </c>
      <c r="P1192">
        <v>4</v>
      </c>
    </row>
    <row r="1193" spans="1:16" x14ac:dyDescent="0.25">
      <c r="A1193" t="s">
        <v>2960</v>
      </c>
      <c r="B1193" t="s">
        <v>1321</v>
      </c>
      <c r="C1193" t="s">
        <v>2961</v>
      </c>
      <c r="D1193" t="s">
        <v>37</v>
      </c>
      <c r="E1193" t="s">
        <v>20</v>
      </c>
      <c r="F1193">
        <v>55</v>
      </c>
      <c r="G1193" t="s">
        <v>21</v>
      </c>
      <c r="H1193" t="s">
        <v>87</v>
      </c>
      <c r="I1193" t="s">
        <v>49</v>
      </c>
      <c r="J1193">
        <v>322.10000000000002</v>
      </c>
      <c r="K1193">
        <v>-2</v>
      </c>
      <c r="L1193">
        <v>-10</v>
      </c>
      <c r="M1193" t="s">
        <v>24</v>
      </c>
      <c r="N1193" t="s">
        <v>25</v>
      </c>
      <c r="O1193" t="s">
        <v>82</v>
      </c>
      <c r="P1193">
        <v>3</v>
      </c>
    </row>
    <row r="1194" spans="1:16" x14ac:dyDescent="0.25">
      <c r="A1194" t="s">
        <v>2962</v>
      </c>
      <c r="B1194" t="s">
        <v>2963</v>
      </c>
      <c r="C1194" t="s">
        <v>2964</v>
      </c>
      <c r="D1194" t="s">
        <v>69</v>
      </c>
      <c r="E1194" t="s">
        <v>20</v>
      </c>
      <c r="F1194">
        <v>42</v>
      </c>
      <c r="G1194" t="s">
        <v>86</v>
      </c>
      <c r="H1194" t="s">
        <v>22</v>
      </c>
      <c r="I1194" t="s">
        <v>23</v>
      </c>
      <c r="J1194">
        <v>193.25</v>
      </c>
      <c r="K1194">
        <v>7</v>
      </c>
      <c r="L1194">
        <v>0</v>
      </c>
      <c r="M1194" t="s">
        <v>59</v>
      </c>
      <c r="N1194" t="s">
        <v>25</v>
      </c>
      <c r="O1194" t="s">
        <v>82</v>
      </c>
      <c r="P1194">
        <v>1</v>
      </c>
    </row>
    <row r="1195" spans="1:16" x14ac:dyDescent="0.25">
      <c r="A1195" t="s">
        <v>2965</v>
      </c>
      <c r="B1195" t="s">
        <v>674</v>
      </c>
      <c r="C1195" t="s">
        <v>2966</v>
      </c>
      <c r="E1195" t="s">
        <v>20</v>
      </c>
      <c r="F1195">
        <v>8</v>
      </c>
      <c r="G1195" t="s">
        <v>86</v>
      </c>
      <c r="H1195" t="s">
        <v>121</v>
      </c>
      <c r="I1195" t="s">
        <v>122</v>
      </c>
      <c r="J1195">
        <v>59.38</v>
      </c>
      <c r="K1195">
        <v>8</v>
      </c>
      <c r="L1195">
        <v>0</v>
      </c>
      <c r="M1195" t="s">
        <v>24</v>
      </c>
      <c r="N1195" t="s">
        <v>91</v>
      </c>
      <c r="O1195" t="s">
        <v>65</v>
      </c>
    </row>
    <row r="1196" spans="1:16" x14ac:dyDescent="0.25">
      <c r="A1196" t="s">
        <v>2967</v>
      </c>
      <c r="B1196" t="s">
        <v>1468</v>
      </c>
      <c r="C1196" t="s">
        <v>2968</v>
      </c>
      <c r="D1196" t="s">
        <v>69</v>
      </c>
      <c r="E1196" t="s">
        <v>20</v>
      </c>
      <c r="F1196">
        <v>8</v>
      </c>
      <c r="G1196" t="s">
        <v>30</v>
      </c>
      <c r="H1196" t="s">
        <v>39</v>
      </c>
      <c r="I1196" t="s">
        <v>40</v>
      </c>
      <c r="J1196">
        <v>481.58</v>
      </c>
      <c r="K1196">
        <v>-2</v>
      </c>
      <c r="L1196">
        <v>120</v>
      </c>
      <c r="M1196" t="s">
        <v>64</v>
      </c>
      <c r="N1196" t="s">
        <v>81</v>
      </c>
      <c r="O1196" t="s">
        <v>82</v>
      </c>
      <c r="P1196">
        <v>4</v>
      </c>
    </row>
    <row r="1197" spans="1:16" x14ac:dyDescent="0.25">
      <c r="A1197" t="s">
        <v>2969</v>
      </c>
      <c r="B1197" t="s">
        <v>2970</v>
      </c>
      <c r="C1197" t="s">
        <v>2971</v>
      </c>
      <c r="E1197" t="s">
        <v>46</v>
      </c>
      <c r="F1197">
        <v>35</v>
      </c>
      <c r="G1197" t="s">
        <v>30</v>
      </c>
      <c r="H1197" t="s">
        <v>87</v>
      </c>
      <c r="I1197" t="s">
        <v>49</v>
      </c>
      <c r="J1197">
        <v>442.53</v>
      </c>
      <c r="K1197">
        <v>-2</v>
      </c>
      <c r="L1197">
        <v>-10</v>
      </c>
      <c r="M1197" t="s">
        <v>64</v>
      </c>
      <c r="N1197" t="s">
        <v>91</v>
      </c>
      <c r="O1197" t="s">
        <v>65</v>
      </c>
      <c r="P1197">
        <v>5</v>
      </c>
    </row>
    <row r="1198" spans="1:16" x14ac:dyDescent="0.25">
      <c r="A1198" t="s">
        <v>2972</v>
      </c>
      <c r="B1198" t="s">
        <v>2104</v>
      </c>
      <c r="C1198" t="s">
        <v>2973</v>
      </c>
      <c r="E1198" t="s">
        <v>46</v>
      </c>
      <c r="F1198">
        <v>18</v>
      </c>
      <c r="G1198" t="s">
        <v>53</v>
      </c>
      <c r="H1198" t="s">
        <v>121</v>
      </c>
      <c r="I1198" t="s">
        <v>122</v>
      </c>
      <c r="J1198">
        <v>187.78</v>
      </c>
      <c r="K1198">
        <v>-2</v>
      </c>
      <c r="L1198">
        <v>0</v>
      </c>
      <c r="M1198" t="s">
        <v>77</v>
      </c>
      <c r="N1198" t="s">
        <v>25</v>
      </c>
      <c r="O1198" t="s">
        <v>65</v>
      </c>
      <c r="P1198">
        <v>3</v>
      </c>
    </row>
    <row r="1199" spans="1:16" x14ac:dyDescent="0.25">
      <c r="A1199" t="s">
        <v>2974</v>
      </c>
      <c r="B1199" t="s">
        <v>473</v>
      </c>
      <c r="C1199" t="s">
        <v>2975</v>
      </c>
      <c r="E1199" t="s">
        <v>46</v>
      </c>
      <c r="F1199">
        <v>8</v>
      </c>
      <c r="G1199" t="s">
        <v>70</v>
      </c>
      <c r="H1199" t="s">
        <v>48</v>
      </c>
      <c r="I1199" t="s">
        <v>49</v>
      </c>
      <c r="J1199">
        <v>225.18</v>
      </c>
      <c r="K1199">
        <v>9</v>
      </c>
      <c r="L1199">
        <v>5</v>
      </c>
      <c r="M1199" t="s">
        <v>24</v>
      </c>
      <c r="N1199" t="s">
        <v>41</v>
      </c>
      <c r="O1199" t="s">
        <v>82</v>
      </c>
    </row>
    <row r="1200" spans="1:16" x14ac:dyDescent="0.25">
      <c r="A1200" t="s">
        <v>2976</v>
      </c>
      <c r="B1200" t="s">
        <v>2977</v>
      </c>
      <c r="C1200" t="s">
        <v>2978</v>
      </c>
      <c r="D1200" t="s">
        <v>101</v>
      </c>
      <c r="E1200" t="s">
        <v>20</v>
      </c>
      <c r="F1200">
        <v>48</v>
      </c>
      <c r="G1200" t="s">
        <v>70</v>
      </c>
      <c r="H1200" t="s">
        <v>87</v>
      </c>
      <c r="I1200" t="s">
        <v>49</v>
      </c>
      <c r="J1200">
        <v>131.36000000000001</v>
      </c>
      <c r="K1200">
        <v>5</v>
      </c>
      <c r="L1200">
        <v>10</v>
      </c>
      <c r="M1200" t="s">
        <v>77</v>
      </c>
      <c r="N1200" t="s">
        <v>41</v>
      </c>
      <c r="O1200" t="s">
        <v>33</v>
      </c>
    </row>
    <row r="1201" spans="1:16" x14ac:dyDescent="0.25">
      <c r="A1201" t="s">
        <v>2979</v>
      </c>
      <c r="B1201" t="s">
        <v>1699</v>
      </c>
      <c r="C1201" t="s">
        <v>2980</v>
      </c>
      <c r="D1201" t="s">
        <v>37</v>
      </c>
      <c r="E1201" t="s">
        <v>46</v>
      </c>
      <c r="F1201">
        <v>130</v>
      </c>
      <c r="G1201" t="s">
        <v>21</v>
      </c>
      <c r="H1201" t="s">
        <v>87</v>
      </c>
      <c r="I1201" t="s">
        <v>49</v>
      </c>
      <c r="J1201">
        <v>405.22</v>
      </c>
      <c r="K1201">
        <v>9</v>
      </c>
      <c r="L1201">
        <v>5</v>
      </c>
      <c r="M1201" t="s">
        <v>59</v>
      </c>
      <c r="N1201" t="s">
        <v>81</v>
      </c>
      <c r="O1201" t="s">
        <v>82</v>
      </c>
      <c r="P1201">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D3E0A-2435-4E3B-BDB8-27E5A5A423A7}">
  <dimension ref="B3:C54"/>
  <sheetViews>
    <sheetView topLeftCell="A2" workbookViewId="0">
      <selection activeCell="C5" sqref="C5"/>
    </sheetView>
  </sheetViews>
  <sheetFormatPr defaultRowHeight="15" x14ac:dyDescent="0.25"/>
  <cols>
    <col min="2" max="2" width="13.140625" bestFit="1" customWidth="1"/>
    <col min="3" max="3" width="17.7109375" bestFit="1" customWidth="1"/>
  </cols>
  <sheetData>
    <row r="3" spans="2:3" x14ac:dyDescent="0.25">
      <c r="B3" s="4" t="s">
        <v>3002</v>
      </c>
      <c r="C3" t="s">
        <v>3006</v>
      </c>
    </row>
    <row r="4" spans="2:3" x14ac:dyDescent="0.25">
      <c r="B4" s="5" t="s">
        <v>39</v>
      </c>
      <c r="C4" s="6">
        <v>58846.282399999996</v>
      </c>
    </row>
    <row r="5" spans="2:3" x14ac:dyDescent="0.25">
      <c r="B5" s="5" t="s">
        <v>22</v>
      </c>
      <c r="C5" s="6">
        <v>40216.066000000021</v>
      </c>
    </row>
    <row r="6" spans="2:3" x14ac:dyDescent="0.25">
      <c r="B6" s="5" t="s">
        <v>3003</v>
      </c>
      <c r="C6" s="6">
        <v>99062.348400000032</v>
      </c>
    </row>
    <row r="12" spans="2:3" x14ac:dyDescent="0.25">
      <c r="B12" s="5"/>
      <c r="C12" s="6"/>
    </row>
    <row r="13" spans="2:3" x14ac:dyDescent="0.25">
      <c r="B13" s="5"/>
      <c r="C13" s="6"/>
    </row>
    <row r="15" spans="2:3" x14ac:dyDescent="0.25">
      <c r="B15" s="4" t="s">
        <v>3002</v>
      </c>
      <c r="C15" t="s">
        <v>3006</v>
      </c>
    </row>
    <row r="16" spans="2:3" x14ac:dyDescent="0.25">
      <c r="B16" s="5" t="s">
        <v>81</v>
      </c>
      <c r="C16" s="6">
        <v>232281.61559999999</v>
      </c>
    </row>
    <row r="17" spans="2:3" x14ac:dyDescent="0.25">
      <c r="B17" s="5" t="s">
        <v>91</v>
      </c>
      <c r="C17" s="6">
        <v>172623.48649999994</v>
      </c>
    </row>
    <row r="18" spans="2:3" x14ac:dyDescent="0.25">
      <c r="B18" s="5" t="s">
        <v>41</v>
      </c>
      <c r="C18" s="6">
        <v>171840.87650000004</v>
      </c>
    </row>
    <row r="19" spans="2:3" x14ac:dyDescent="0.25">
      <c r="B19" s="5" t="s">
        <v>25</v>
      </c>
      <c r="C19" s="6">
        <v>189322.93670000005</v>
      </c>
    </row>
    <row r="20" spans="2:3" x14ac:dyDescent="0.25">
      <c r="B20" s="5" t="s">
        <v>3005</v>
      </c>
      <c r="C20" s="6"/>
    </row>
    <row r="21" spans="2:3" x14ac:dyDescent="0.25">
      <c r="B21" s="5" t="s">
        <v>3003</v>
      </c>
      <c r="C21" s="6">
        <v>766068.91529999999</v>
      </c>
    </row>
    <row r="22" spans="2:3" x14ac:dyDescent="0.25">
      <c r="B22" s="5"/>
      <c r="C22" s="6"/>
    </row>
    <row r="23" spans="2:3" x14ac:dyDescent="0.25">
      <c r="B23" s="5"/>
      <c r="C23" s="6"/>
    </row>
    <row r="25" spans="2:3" x14ac:dyDescent="0.25">
      <c r="B25" s="4" t="s">
        <v>3002</v>
      </c>
      <c r="C25" t="s">
        <v>3006</v>
      </c>
    </row>
    <row r="26" spans="2:3" x14ac:dyDescent="0.25">
      <c r="B26" s="5" t="s">
        <v>82</v>
      </c>
      <c r="C26" s="6">
        <v>192925.66160000008</v>
      </c>
    </row>
    <row r="27" spans="2:3" x14ac:dyDescent="0.25">
      <c r="B27" s="5" t="s">
        <v>26</v>
      </c>
      <c r="C27" s="6">
        <v>209640.85669999989</v>
      </c>
    </row>
    <row r="28" spans="2:3" x14ac:dyDescent="0.25">
      <c r="B28" s="5" t="s">
        <v>65</v>
      </c>
      <c r="C28" s="6">
        <v>168416.75850000003</v>
      </c>
    </row>
    <row r="29" spans="2:3" x14ac:dyDescent="0.25">
      <c r="B29" s="5" t="s">
        <v>33</v>
      </c>
      <c r="C29" s="6">
        <v>195085.63850000009</v>
      </c>
    </row>
    <row r="30" spans="2:3" x14ac:dyDescent="0.25">
      <c r="B30" s="5" t="s">
        <v>3005</v>
      </c>
      <c r="C30" s="6"/>
    </row>
    <row r="31" spans="2:3" x14ac:dyDescent="0.25">
      <c r="B31" s="5" t="s">
        <v>3003</v>
      </c>
      <c r="C31" s="6">
        <v>766068.91530000011</v>
      </c>
    </row>
    <row r="32" spans="2:3" x14ac:dyDescent="0.25">
      <c r="B32" s="5"/>
      <c r="C32" s="6"/>
    </row>
    <row r="33" spans="2:3" x14ac:dyDescent="0.25">
      <c r="B33" s="5"/>
      <c r="C33" s="6"/>
    </row>
    <row r="34" spans="2:3" x14ac:dyDescent="0.25">
      <c r="B34" s="5"/>
      <c r="C34" s="6"/>
    </row>
    <row r="36" spans="2:3" x14ac:dyDescent="0.25">
      <c r="B36" s="4" t="s">
        <v>3002</v>
      </c>
      <c r="C36" t="s">
        <v>3006</v>
      </c>
    </row>
    <row r="37" spans="2:3" x14ac:dyDescent="0.25">
      <c r="B37" s="5" t="s">
        <v>70</v>
      </c>
      <c r="C37" s="6">
        <v>138012.52650000001</v>
      </c>
    </row>
    <row r="38" spans="2:3" x14ac:dyDescent="0.25">
      <c r="B38" s="5" t="s">
        <v>47</v>
      </c>
      <c r="C38" s="6">
        <v>107638.82400000002</v>
      </c>
    </row>
    <row r="39" spans="2:3" x14ac:dyDescent="0.25">
      <c r="B39" s="5" t="s">
        <v>86</v>
      </c>
      <c r="C39" s="6">
        <v>107389.4302</v>
      </c>
    </row>
    <row r="40" spans="2:3" x14ac:dyDescent="0.25">
      <c r="B40" s="5" t="s">
        <v>53</v>
      </c>
      <c r="C40" s="6">
        <v>308160.3985999999</v>
      </c>
    </row>
    <row r="41" spans="2:3" x14ac:dyDescent="0.25">
      <c r="B41" s="5" t="s">
        <v>3001</v>
      </c>
      <c r="C41" s="6">
        <v>104867.736</v>
      </c>
    </row>
    <row r="42" spans="2:3" x14ac:dyDescent="0.25">
      <c r="B42" s="5" t="s">
        <v>3005</v>
      </c>
      <c r="C42" s="6"/>
    </row>
    <row r="43" spans="2:3" x14ac:dyDescent="0.25">
      <c r="B43" s="5" t="s">
        <v>3003</v>
      </c>
      <c r="C43" s="6">
        <v>766068.91529999999</v>
      </c>
    </row>
    <row r="44" spans="2:3" x14ac:dyDescent="0.25">
      <c r="B44" s="5"/>
      <c r="C44" s="6"/>
    </row>
    <row r="45" spans="2:3" x14ac:dyDescent="0.25">
      <c r="B45" s="5"/>
      <c r="C45" s="6"/>
    </row>
    <row r="46" spans="2:3" x14ac:dyDescent="0.25">
      <c r="B46" s="5"/>
      <c r="C46" s="6"/>
    </row>
    <row r="48" spans="2:3" x14ac:dyDescent="0.25">
      <c r="B48" s="4" t="s">
        <v>3002</v>
      </c>
      <c r="C48" t="s">
        <v>3006</v>
      </c>
    </row>
    <row r="49" spans="2:3" x14ac:dyDescent="0.25">
      <c r="B49" s="5"/>
      <c r="C49" s="6">
        <v>165592.04600000012</v>
      </c>
    </row>
    <row r="50" spans="2:3" x14ac:dyDescent="0.25">
      <c r="B50" s="5" t="s">
        <v>77</v>
      </c>
      <c r="C50" s="6">
        <v>163846.5634000001</v>
      </c>
    </row>
    <row r="51" spans="2:3" x14ac:dyDescent="0.25">
      <c r="B51" s="5" t="s">
        <v>59</v>
      </c>
      <c r="C51" s="6">
        <v>139579.28749999998</v>
      </c>
    </row>
    <row r="52" spans="2:3" x14ac:dyDescent="0.25">
      <c r="B52" s="5" t="s">
        <v>3004</v>
      </c>
      <c r="C52" s="6">
        <v>142010.36949999997</v>
      </c>
    </row>
    <row r="53" spans="2:3" x14ac:dyDescent="0.25">
      <c r="B53" s="5" t="s">
        <v>64</v>
      </c>
      <c r="C53" s="6">
        <v>155040.6489</v>
      </c>
    </row>
    <row r="54" spans="2:3" x14ac:dyDescent="0.25">
      <c r="B54" s="5" t="s">
        <v>3003</v>
      </c>
      <c r="C54" s="6">
        <v>766068.91530000023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01"/>
  <sheetViews>
    <sheetView tabSelected="1" zoomScaleNormal="100" workbookViewId="0">
      <selection sqref="A1:XFD1048576"/>
    </sheetView>
  </sheetViews>
  <sheetFormatPr defaultRowHeight="15" x14ac:dyDescent="0.25"/>
  <cols>
    <col min="1" max="1" width="16.140625" customWidth="1"/>
    <col min="2" max="2" width="9.140625" style="1"/>
    <col min="3" max="3" width="14.5703125" customWidth="1"/>
    <col min="4" max="4" width="18" customWidth="1"/>
    <col min="5" max="5" width="9.85546875" customWidth="1"/>
    <col min="8" max="8" width="18.85546875" customWidth="1"/>
    <col min="9" max="9" width="16.28515625" customWidth="1"/>
    <col min="10" max="10" width="12.42578125" customWidth="1"/>
    <col min="11" max="11" width="10.85546875" customWidth="1"/>
    <col min="12" max="12" width="14.28515625" customWidth="1"/>
    <col min="13" max="13" width="19.140625" customWidth="1"/>
    <col min="14" max="14" width="13.85546875" customWidth="1"/>
    <col min="16" max="16" width="18.28515625" customWidth="1"/>
    <col min="18" max="18" width="18.28515625" customWidth="1"/>
    <col min="26" max="26" width="17.85546875" customWidth="1"/>
  </cols>
  <sheetData>
    <row r="1" spans="1:27" x14ac:dyDescent="0.25">
      <c r="A1" t="s">
        <v>0</v>
      </c>
      <c r="B1" s="1" t="s">
        <v>1</v>
      </c>
      <c r="C1" t="s">
        <v>2</v>
      </c>
      <c r="D1" t="s">
        <v>3</v>
      </c>
      <c r="E1" t="s">
        <v>2983</v>
      </c>
      <c r="F1" t="s">
        <v>4</v>
      </c>
      <c r="G1" t="s">
        <v>5</v>
      </c>
      <c r="H1" t="s">
        <v>2988</v>
      </c>
      <c r="I1" t="s">
        <v>6</v>
      </c>
      <c r="J1" t="s">
        <v>2982</v>
      </c>
      <c r="K1" t="s">
        <v>7</v>
      </c>
      <c r="L1" t="s">
        <v>2984</v>
      </c>
      <c r="M1" t="s">
        <v>8</v>
      </c>
      <c r="N1" t="s">
        <v>2985</v>
      </c>
      <c r="O1" t="s">
        <v>9</v>
      </c>
      <c r="P1" t="s">
        <v>10</v>
      </c>
      <c r="Q1" t="s">
        <v>2989</v>
      </c>
      <c r="R1" t="s">
        <v>11</v>
      </c>
      <c r="S1" t="s">
        <v>2990</v>
      </c>
      <c r="T1" t="s">
        <v>12</v>
      </c>
      <c r="U1" t="s">
        <v>2987</v>
      </c>
      <c r="V1" t="s">
        <v>13</v>
      </c>
      <c r="W1" t="s">
        <v>2986</v>
      </c>
      <c r="X1" t="s">
        <v>14</v>
      </c>
      <c r="Y1" t="s">
        <v>15</v>
      </c>
      <c r="Z1" t="s">
        <v>2981</v>
      </c>
      <c r="AA1" t="s">
        <v>2991</v>
      </c>
    </row>
    <row r="2" spans="1:27" x14ac:dyDescent="0.25">
      <c r="A2" t="s">
        <v>16</v>
      </c>
      <c r="B2" s="1" t="s">
        <v>17</v>
      </c>
      <c r="C2" t="s">
        <v>18</v>
      </c>
      <c r="D2" t="s">
        <v>19</v>
      </c>
      <c r="E2" t="str">
        <f>PROPER(TRIM(D2))</f>
        <v>Peter</v>
      </c>
      <c r="F2" t="s">
        <v>20</v>
      </c>
      <c r="G2">
        <v>130</v>
      </c>
      <c r="H2" t="str">
        <f>IF(AND(G2&gt;18, G2&lt;65), "Valid", "Invalid")</f>
        <v>Invalid</v>
      </c>
      <c r="I2" t="s">
        <v>21</v>
      </c>
      <c r="J2" t="str">
        <f>PROPER(TRIM(I2))</f>
        <v>Lagos</v>
      </c>
      <c r="K2" t="s">
        <v>22</v>
      </c>
      <c r="L2" t="str">
        <f>PROPER(TRIM(K2))</f>
        <v>Fashion</v>
      </c>
      <c r="M2" t="s">
        <v>23</v>
      </c>
      <c r="N2" t="str">
        <f>PROPER(TRIM(M2))</f>
        <v>Shirt</v>
      </c>
      <c r="O2">
        <v>237.91</v>
      </c>
      <c r="P2">
        <v>-2</v>
      </c>
      <c r="Q2">
        <f>IF(P2&lt;1, 1, P2)</f>
        <v>1</v>
      </c>
      <c r="R2">
        <v>-10</v>
      </c>
      <c r="S2" t="str">
        <f>IF(OR(R2&lt;0,R2&gt;100),"invalid","Valid")</f>
        <v>invalid</v>
      </c>
      <c r="T2" t="s">
        <v>24</v>
      </c>
      <c r="U2" t="str">
        <f>PROPER(TRIM(T2))</f>
        <v>Pos</v>
      </c>
      <c r="V2" t="s">
        <v>25</v>
      </c>
      <c r="W2" t="str">
        <f t="shared" ref="W2:W65" si="0">PROPER(TRIM(V2))</f>
        <v>Dan</v>
      </c>
      <c r="X2" t="s">
        <v>26</v>
      </c>
      <c r="Y2">
        <v>4</v>
      </c>
      <c r="Z2" t="str">
        <f>IF(D2="", "Missing", "ok")</f>
        <v>ok</v>
      </c>
      <c r="AA2">
        <f>(O2*Q2)*(1-R2/100)</f>
        <v>261.70100000000002</v>
      </c>
    </row>
    <row r="3" spans="1:27" x14ac:dyDescent="0.25">
      <c r="A3" t="s">
        <v>27</v>
      </c>
      <c r="B3" s="1" t="s">
        <v>28</v>
      </c>
      <c r="C3" t="s">
        <v>29</v>
      </c>
      <c r="D3" t="s">
        <v>19</v>
      </c>
      <c r="E3" t="str">
        <f>PROPER(TRIM(D3))</f>
        <v>Peter</v>
      </c>
      <c r="F3" t="s">
        <v>20</v>
      </c>
      <c r="G3">
        <v>22</v>
      </c>
      <c r="H3" t="str">
        <f>IF(AND(G3&gt;18, G3&lt;65), "Valid", "Invalid")</f>
        <v>Valid</v>
      </c>
      <c r="I3" t="s">
        <v>30</v>
      </c>
      <c r="J3" t="str">
        <f>PROPER(TRIM(I3))</f>
        <v>Lagos</v>
      </c>
      <c r="K3" t="s">
        <v>31</v>
      </c>
      <c r="L3" t="str">
        <f>PROPER(TRIM(K3))</f>
        <v>Sports</v>
      </c>
      <c r="M3" t="s">
        <v>32</v>
      </c>
      <c r="N3" t="str">
        <f>PROPER(TRIM(M3))</f>
        <v>Ball</v>
      </c>
      <c r="O3">
        <v>103.48</v>
      </c>
      <c r="P3">
        <v>-2</v>
      </c>
      <c r="Q3">
        <f>IF(P3&lt;1, 1, P3)</f>
        <v>1</v>
      </c>
      <c r="R3">
        <v>0</v>
      </c>
      <c r="S3" t="str">
        <f>IF(OR(R3&lt;0,R3&gt;100),"invalid","Valid")</f>
        <v>Valid</v>
      </c>
      <c r="U3" t="str">
        <f>PROPER(TRIM(T3))</f>
        <v/>
      </c>
      <c r="V3" t="s">
        <v>25</v>
      </c>
      <c r="W3" t="str">
        <f t="shared" si="0"/>
        <v>Dan</v>
      </c>
      <c r="X3" t="s">
        <v>33</v>
      </c>
      <c r="Y3">
        <v>4</v>
      </c>
      <c r="Z3" t="str">
        <f>IF(D3="", "Missing", "ok")</f>
        <v>ok</v>
      </c>
      <c r="AA3">
        <f t="shared" ref="AA3:AA66" si="1">(O3*Q3)*(1-R3/100)</f>
        <v>103.48</v>
      </c>
    </row>
    <row r="4" spans="1:27" x14ac:dyDescent="0.25">
      <c r="A4" t="s">
        <v>34</v>
      </c>
      <c r="B4" s="1" t="s">
        <v>35</v>
      </c>
      <c r="C4" t="s">
        <v>36</v>
      </c>
      <c r="D4" t="s">
        <v>37</v>
      </c>
      <c r="E4" t="str">
        <f>PROPER(TRIM(D4))</f>
        <v>Aisha</v>
      </c>
      <c r="F4" t="s">
        <v>20</v>
      </c>
      <c r="G4">
        <v>55</v>
      </c>
      <c r="H4" t="str">
        <f>IF(AND(G4&gt;18, G4&lt;65), "Valid", "Invalid")</f>
        <v>Valid</v>
      </c>
      <c r="I4" t="s">
        <v>38</v>
      </c>
      <c r="J4" t="str">
        <f>PROPER(TRIM(I4))</f>
        <v>Ph</v>
      </c>
      <c r="K4" t="s">
        <v>39</v>
      </c>
      <c r="L4" t="str">
        <f>PROPER(TRIM(K4))</f>
        <v>Electronics</v>
      </c>
      <c r="M4" t="s">
        <v>40</v>
      </c>
      <c r="N4" t="str">
        <f>PROPER(TRIM(M4))</f>
        <v>Phone</v>
      </c>
      <c r="O4">
        <v>436.14</v>
      </c>
      <c r="P4">
        <v>-2</v>
      </c>
      <c r="Q4">
        <f>IF(P4&lt;1, 1, P4)</f>
        <v>1</v>
      </c>
      <c r="R4">
        <v>10</v>
      </c>
      <c r="S4" t="str">
        <f>IF(OR(R4&lt;0,R4&gt;100),"invalid","Valid")</f>
        <v>Valid</v>
      </c>
      <c r="T4" t="s">
        <v>24</v>
      </c>
      <c r="U4" t="str">
        <f>PROPER(TRIM(T4))</f>
        <v>Pos</v>
      </c>
      <c r="V4" t="s">
        <v>41</v>
      </c>
      <c r="W4" t="str">
        <f t="shared" si="0"/>
        <v>Chi</v>
      </c>
      <c r="X4" t="s">
        <v>33</v>
      </c>
      <c r="Z4" t="str">
        <f>IF(D4="", "Missing", "ok")</f>
        <v>ok</v>
      </c>
      <c r="AA4">
        <f t="shared" si="1"/>
        <v>392.52600000000001</v>
      </c>
    </row>
    <row r="5" spans="1:27" x14ac:dyDescent="0.25">
      <c r="A5" t="s">
        <v>42</v>
      </c>
      <c r="B5" s="1" t="s">
        <v>43</v>
      </c>
      <c r="C5" t="s">
        <v>44</v>
      </c>
      <c r="D5" t="s">
        <v>45</v>
      </c>
      <c r="E5" t="str">
        <f>PROPER(TRIM(D5))</f>
        <v>James</v>
      </c>
      <c r="F5" t="s">
        <v>46</v>
      </c>
      <c r="G5">
        <v>130</v>
      </c>
      <c r="H5" t="str">
        <f>IF(AND(G5&gt;18, G5&lt;65), "Valid", "Invalid")</f>
        <v>Invalid</v>
      </c>
      <c r="I5" t="s">
        <v>47</v>
      </c>
      <c r="J5" t="str">
        <f>PROPER(TRIM(I5))</f>
        <v>Enugu</v>
      </c>
      <c r="K5" t="s">
        <v>48</v>
      </c>
      <c r="L5" t="str">
        <f>PROPER(TRIM(K5))</f>
        <v>Groceries</v>
      </c>
      <c r="M5" t="s">
        <v>49</v>
      </c>
      <c r="N5" t="str">
        <f>PROPER(TRIM(M5))</f>
        <v>Rice</v>
      </c>
      <c r="O5">
        <v>430.25</v>
      </c>
      <c r="P5">
        <v>-2</v>
      </c>
      <c r="Q5">
        <f>IF(P5&lt;1, 1, P5)</f>
        <v>1</v>
      </c>
      <c r="R5">
        <v>10</v>
      </c>
      <c r="S5" t="str">
        <f>IF(OR(R5&lt;0,R5&gt;100),"invalid","Valid")</f>
        <v>Valid</v>
      </c>
      <c r="U5" t="str">
        <f>PROPER(TRIM(T5))</f>
        <v/>
      </c>
      <c r="V5" t="s">
        <v>41</v>
      </c>
      <c r="W5" t="str">
        <f t="shared" si="0"/>
        <v>Chi</v>
      </c>
      <c r="X5" t="s">
        <v>33</v>
      </c>
      <c r="Y5">
        <v>2</v>
      </c>
      <c r="Z5" t="str">
        <f>IF(D5="", "Missing", "ok")</f>
        <v>ok</v>
      </c>
      <c r="AA5">
        <f t="shared" si="1"/>
        <v>387.22500000000002</v>
      </c>
    </row>
    <row r="6" spans="1:27" x14ac:dyDescent="0.25">
      <c r="A6" t="s">
        <v>50</v>
      </c>
      <c r="B6" s="1" t="s">
        <v>51</v>
      </c>
      <c r="C6" t="s">
        <v>52</v>
      </c>
      <c r="E6" t="str">
        <f>PROPER(TRIM(D6))</f>
        <v/>
      </c>
      <c r="F6" t="s">
        <v>46</v>
      </c>
      <c r="G6">
        <v>37</v>
      </c>
      <c r="H6" t="str">
        <f>IF(AND(G6&gt;18, G6&lt;65), "Valid", "Invalid")</f>
        <v>Valid</v>
      </c>
      <c r="I6" t="s">
        <v>53</v>
      </c>
      <c r="J6" t="str">
        <f>PROPER(TRIM(I6))</f>
        <v>Lagos</v>
      </c>
      <c r="K6" t="s">
        <v>54</v>
      </c>
      <c r="L6" t="str">
        <f>PROPER(TRIM(K6))</f>
        <v>Home</v>
      </c>
      <c r="M6" t="s">
        <v>55</v>
      </c>
      <c r="N6" t="str">
        <f>PROPER(TRIM(M6))</f>
        <v>Chair</v>
      </c>
      <c r="O6">
        <v>44.01</v>
      </c>
      <c r="P6">
        <v>-2</v>
      </c>
      <c r="Q6">
        <f>IF(P6&lt;1, 1, P6)</f>
        <v>1</v>
      </c>
      <c r="R6">
        <v>120</v>
      </c>
      <c r="S6" t="str">
        <f>IF(OR(R6&lt;0,R6&gt;100),"invalid","Valid")</f>
        <v>invalid</v>
      </c>
      <c r="T6" t="s">
        <v>24</v>
      </c>
      <c r="U6" t="str">
        <f>PROPER(TRIM(T6))</f>
        <v>Pos</v>
      </c>
      <c r="V6" t="s">
        <v>25</v>
      </c>
      <c r="W6" t="str">
        <f t="shared" si="0"/>
        <v>Dan</v>
      </c>
      <c r="X6" t="s">
        <v>33</v>
      </c>
      <c r="Y6">
        <v>4</v>
      </c>
      <c r="Z6" t="str">
        <f>IF(D6="", "Missing", "ok")</f>
        <v>Missing</v>
      </c>
      <c r="AA6">
        <f t="shared" si="1"/>
        <v>-8.8019999999999978</v>
      </c>
    </row>
    <row r="7" spans="1:27" x14ac:dyDescent="0.25">
      <c r="A7" t="s">
        <v>56</v>
      </c>
      <c r="B7" s="1" t="s">
        <v>57</v>
      </c>
      <c r="C7" t="s">
        <v>58</v>
      </c>
      <c r="D7" t="s">
        <v>37</v>
      </c>
      <c r="E7" t="str">
        <f>PROPER(TRIM(D7))</f>
        <v>Aisha</v>
      </c>
      <c r="F7" t="s">
        <v>46</v>
      </c>
      <c r="G7">
        <v>130</v>
      </c>
      <c r="H7" t="str">
        <f>IF(AND(G7&gt;18, G7&lt;65), "Valid", "Invalid")</f>
        <v>Invalid</v>
      </c>
      <c r="I7" t="s">
        <v>53</v>
      </c>
      <c r="J7" t="str">
        <f>PROPER(TRIM(I7))</f>
        <v>Lagos</v>
      </c>
      <c r="K7" t="s">
        <v>31</v>
      </c>
      <c r="L7" t="str">
        <f>PROPER(TRIM(K7))</f>
        <v>Sports</v>
      </c>
      <c r="M7" t="s">
        <v>32</v>
      </c>
      <c r="N7" t="str">
        <f>PROPER(TRIM(M7))</f>
        <v>Ball</v>
      </c>
      <c r="O7">
        <v>356.22</v>
      </c>
      <c r="P7">
        <v>-2</v>
      </c>
      <c r="Q7">
        <f>IF(P7&lt;1, 1, P7)</f>
        <v>1</v>
      </c>
      <c r="R7">
        <v>5</v>
      </c>
      <c r="S7" t="str">
        <f>IF(OR(R7&lt;0,R7&gt;100),"invalid","Valid")</f>
        <v>Valid</v>
      </c>
      <c r="T7" t="s">
        <v>59</v>
      </c>
      <c r="U7" t="str">
        <f>PROPER(TRIM(T7))</f>
        <v>Mobile Money</v>
      </c>
      <c r="V7" t="s">
        <v>41</v>
      </c>
      <c r="W7" t="str">
        <f t="shared" si="0"/>
        <v>Chi</v>
      </c>
      <c r="X7" t="s">
        <v>33</v>
      </c>
      <c r="Y7">
        <v>1</v>
      </c>
      <c r="Z7" t="str">
        <f>IF(D7="", "Missing", "ok")</f>
        <v>ok</v>
      </c>
      <c r="AA7">
        <f t="shared" si="1"/>
        <v>338.40899999999999</v>
      </c>
    </row>
    <row r="8" spans="1:27" x14ac:dyDescent="0.25">
      <c r="A8" t="s">
        <v>60</v>
      </c>
      <c r="B8" s="1" t="s">
        <v>61</v>
      </c>
      <c r="C8" t="s">
        <v>62</v>
      </c>
      <c r="D8" t="s">
        <v>63</v>
      </c>
      <c r="E8" t="str">
        <f>PROPER(TRIM(D8))</f>
        <v>John</v>
      </c>
      <c r="F8" t="s">
        <v>46</v>
      </c>
      <c r="G8">
        <v>8</v>
      </c>
      <c r="H8" t="str">
        <f>IF(AND(G8&gt;18, G8&lt;65), "Valid", "Invalid")</f>
        <v>Invalid</v>
      </c>
      <c r="I8" t="s">
        <v>47</v>
      </c>
      <c r="J8" t="str">
        <f>PROPER(TRIM(I8))</f>
        <v>Enugu</v>
      </c>
      <c r="K8" t="s">
        <v>39</v>
      </c>
      <c r="L8" t="str">
        <f>PROPER(TRIM(K8))</f>
        <v>Electronics</v>
      </c>
      <c r="M8" t="s">
        <v>40</v>
      </c>
      <c r="N8" t="str">
        <f>PROPER(TRIM(M8))</f>
        <v>Phone</v>
      </c>
      <c r="O8">
        <v>323.16000000000003</v>
      </c>
      <c r="P8">
        <v>4</v>
      </c>
      <c r="Q8">
        <f>IF(P8&lt;1, 1, P8)</f>
        <v>4</v>
      </c>
      <c r="R8">
        <v>120</v>
      </c>
      <c r="S8" t="str">
        <f>IF(OR(R8&lt;0,R8&gt;100),"invalid","Valid")</f>
        <v>invalid</v>
      </c>
      <c r="T8" t="s">
        <v>64</v>
      </c>
      <c r="U8" t="str">
        <f>PROPER(TRIM(T8))</f>
        <v>Transfer</v>
      </c>
      <c r="V8" t="s">
        <v>41</v>
      </c>
      <c r="W8" t="str">
        <f t="shared" si="0"/>
        <v>Chi</v>
      </c>
      <c r="X8" t="s">
        <v>65</v>
      </c>
      <c r="Z8" t="str">
        <f>IF(D8="", "Missing", "ok")</f>
        <v>ok</v>
      </c>
      <c r="AA8">
        <f t="shared" si="1"/>
        <v>-258.52799999999996</v>
      </c>
    </row>
    <row r="9" spans="1:27" x14ac:dyDescent="0.25">
      <c r="A9" t="s">
        <v>66</v>
      </c>
      <c r="B9" s="1" t="s">
        <v>67</v>
      </c>
      <c r="C9" t="s">
        <v>68</v>
      </c>
      <c r="D9" t="s">
        <v>69</v>
      </c>
      <c r="E9" t="str">
        <f>PROPER(TRIM(D9))</f>
        <v>Mary</v>
      </c>
      <c r="F9" t="s">
        <v>46</v>
      </c>
      <c r="G9">
        <v>30</v>
      </c>
      <c r="H9" t="str">
        <f>IF(AND(G9&gt;18, G9&lt;65), "Valid", "Invalid")</f>
        <v>Valid</v>
      </c>
      <c r="I9" t="s">
        <v>70</v>
      </c>
      <c r="J9" t="str">
        <f>PROPER(TRIM(I9))</f>
        <v>Abuja</v>
      </c>
      <c r="K9" t="s">
        <v>31</v>
      </c>
      <c r="L9" t="str">
        <f>PROPER(TRIM(K9))</f>
        <v>Sports</v>
      </c>
      <c r="M9" t="s">
        <v>32</v>
      </c>
      <c r="N9" t="str">
        <f>PROPER(TRIM(M9))</f>
        <v>Ball</v>
      </c>
      <c r="O9">
        <v>126.25</v>
      </c>
      <c r="P9">
        <v>7</v>
      </c>
      <c r="Q9">
        <f>IF(P9&lt;1, 1, P9)</f>
        <v>7</v>
      </c>
      <c r="R9">
        <v>0</v>
      </c>
      <c r="S9" t="str">
        <f>IF(OR(R9&lt;0,R9&gt;100),"invalid","Valid")</f>
        <v>Valid</v>
      </c>
      <c r="U9" t="str">
        <f>PROPER(TRIM(T9))</f>
        <v/>
      </c>
      <c r="V9" t="s">
        <v>25</v>
      </c>
      <c r="W9" t="str">
        <f t="shared" si="0"/>
        <v>Dan</v>
      </c>
      <c r="X9" t="s">
        <v>33</v>
      </c>
      <c r="Y9">
        <v>4</v>
      </c>
      <c r="Z9" t="str">
        <f>IF(D9="", "Missing", "ok")</f>
        <v>ok</v>
      </c>
      <c r="AA9">
        <f t="shared" si="1"/>
        <v>883.75</v>
      </c>
    </row>
    <row r="10" spans="1:27" x14ac:dyDescent="0.25">
      <c r="A10" t="s">
        <v>71</v>
      </c>
      <c r="B10" s="1" t="s">
        <v>72</v>
      </c>
      <c r="C10" t="s">
        <v>73</v>
      </c>
      <c r="D10" t="s">
        <v>37</v>
      </c>
      <c r="E10" t="str">
        <f>PROPER(TRIM(D10))</f>
        <v>Aisha</v>
      </c>
      <c r="F10" t="s">
        <v>20</v>
      </c>
      <c r="G10">
        <v>8</v>
      </c>
      <c r="H10" t="str">
        <f>IF(AND(G10&gt;18, G10&lt;65), "Valid", "Invalid")</f>
        <v>Invalid</v>
      </c>
      <c r="I10" t="s">
        <v>70</v>
      </c>
      <c r="J10" t="str">
        <f>PROPER(TRIM(I10))</f>
        <v>Abuja</v>
      </c>
      <c r="K10" t="s">
        <v>31</v>
      </c>
      <c r="L10" t="str">
        <f>PROPER(TRIM(K10))</f>
        <v>Sports</v>
      </c>
      <c r="M10" t="s">
        <v>32</v>
      </c>
      <c r="N10" t="str">
        <f>PROPER(TRIM(M10))</f>
        <v>Ball</v>
      </c>
      <c r="O10">
        <v>233.45</v>
      </c>
      <c r="P10">
        <v>8</v>
      </c>
      <c r="Q10">
        <f>IF(P10&lt;1, 1, P10)</f>
        <v>8</v>
      </c>
      <c r="R10">
        <v>10</v>
      </c>
      <c r="S10" t="str">
        <f>IF(OR(R10&lt;0,R10&gt;100),"invalid","Valid")</f>
        <v>Valid</v>
      </c>
      <c r="U10" t="str">
        <f>PROPER(TRIM(T10))</f>
        <v/>
      </c>
      <c r="V10" t="s">
        <v>41</v>
      </c>
      <c r="W10" t="str">
        <f t="shared" si="0"/>
        <v>Chi</v>
      </c>
      <c r="X10" t="s">
        <v>26</v>
      </c>
      <c r="Y10">
        <v>1</v>
      </c>
      <c r="Z10" t="str">
        <f>IF(D10="", "Missing", "ok")</f>
        <v>ok</v>
      </c>
      <c r="AA10">
        <f t="shared" si="1"/>
        <v>1680.84</v>
      </c>
    </row>
    <row r="11" spans="1:27" x14ac:dyDescent="0.25">
      <c r="A11" t="s">
        <v>74</v>
      </c>
      <c r="B11" s="1" t="s">
        <v>75</v>
      </c>
      <c r="C11" t="s">
        <v>76</v>
      </c>
      <c r="D11" t="s">
        <v>19</v>
      </c>
      <c r="E11" t="str">
        <f>PROPER(TRIM(D11))</f>
        <v>Peter</v>
      </c>
      <c r="F11" t="s">
        <v>46</v>
      </c>
      <c r="G11">
        <v>8</v>
      </c>
      <c r="H11" t="str">
        <f>IF(AND(G11&gt;18, G11&lt;65), "Valid", "Invalid")</f>
        <v>Invalid</v>
      </c>
      <c r="I11" t="s">
        <v>38</v>
      </c>
      <c r="J11" t="str">
        <f>PROPER(TRIM(I11))</f>
        <v>Ph</v>
      </c>
      <c r="K11" t="s">
        <v>39</v>
      </c>
      <c r="L11" t="str">
        <f>PROPER(TRIM(K11))</f>
        <v>Electronics</v>
      </c>
      <c r="M11" t="s">
        <v>40</v>
      </c>
      <c r="N11" t="str">
        <f>PROPER(TRIM(M11))</f>
        <v>Phone</v>
      </c>
      <c r="O11">
        <v>150.57</v>
      </c>
      <c r="P11">
        <v>-2</v>
      </c>
      <c r="Q11">
        <f>IF(P11&lt;1, 1, P11)</f>
        <v>1</v>
      </c>
      <c r="R11">
        <v>10</v>
      </c>
      <c r="S11" t="str">
        <f>IF(OR(R11&lt;0,R11&gt;100),"invalid","Valid")</f>
        <v>Valid</v>
      </c>
      <c r="T11" t="s">
        <v>77</v>
      </c>
      <c r="U11" t="str">
        <f>PROPER(TRIM(T11))</f>
        <v>Cash</v>
      </c>
      <c r="V11" t="s">
        <v>41</v>
      </c>
      <c r="W11" t="str">
        <f t="shared" si="0"/>
        <v>Chi</v>
      </c>
      <c r="X11" t="s">
        <v>33</v>
      </c>
      <c r="Y11">
        <v>4</v>
      </c>
      <c r="Z11" t="str">
        <f>IF(D11="", "Missing", "ok")</f>
        <v>ok</v>
      </c>
      <c r="AA11">
        <f t="shared" si="1"/>
        <v>135.51300000000001</v>
      </c>
    </row>
    <row r="12" spans="1:27" x14ac:dyDescent="0.25">
      <c r="A12" t="s">
        <v>78</v>
      </c>
      <c r="B12" s="1" t="s">
        <v>79</v>
      </c>
      <c r="C12" t="s">
        <v>80</v>
      </c>
      <c r="D12" t="s">
        <v>45</v>
      </c>
      <c r="E12" t="str">
        <f>PROPER(TRIM(D12))</f>
        <v>James</v>
      </c>
      <c r="F12" t="s">
        <v>46</v>
      </c>
      <c r="G12">
        <v>8</v>
      </c>
      <c r="H12" t="str">
        <f>IF(AND(G12&gt;18, G12&lt;65), "Valid", "Invalid")</f>
        <v>Invalid</v>
      </c>
      <c r="I12" t="s">
        <v>53</v>
      </c>
      <c r="J12" t="str">
        <f>PROPER(TRIM(I12))</f>
        <v>Lagos</v>
      </c>
      <c r="K12" t="s">
        <v>22</v>
      </c>
      <c r="L12" t="str">
        <f>PROPER(TRIM(K12))</f>
        <v>Fashion</v>
      </c>
      <c r="M12" t="s">
        <v>23</v>
      </c>
      <c r="N12" t="str">
        <f>PROPER(TRIM(M12))</f>
        <v>Shirt</v>
      </c>
      <c r="O12">
        <v>49.62</v>
      </c>
      <c r="P12">
        <v>7</v>
      </c>
      <c r="Q12">
        <f>IF(P12&lt;1, 1, P12)</f>
        <v>7</v>
      </c>
      <c r="R12">
        <v>120</v>
      </c>
      <c r="S12" t="str">
        <f>IF(OR(R12&lt;0,R12&gt;100),"invalid","Valid")</f>
        <v>invalid</v>
      </c>
      <c r="T12" t="s">
        <v>59</v>
      </c>
      <c r="U12" t="str">
        <f>PROPER(TRIM(T12))</f>
        <v>Mobile Money</v>
      </c>
      <c r="V12" t="s">
        <v>81</v>
      </c>
      <c r="W12" t="str">
        <f t="shared" si="0"/>
        <v>Ada</v>
      </c>
      <c r="X12" t="s">
        <v>82</v>
      </c>
      <c r="Y12">
        <v>4</v>
      </c>
      <c r="Z12" t="str">
        <f>IF(D12="", "Missing", "ok")</f>
        <v>ok</v>
      </c>
      <c r="AA12">
        <f t="shared" si="1"/>
        <v>-69.467999999999975</v>
      </c>
    </row>
    <row r="13" spans="1:27" x14ac:dyDescent="0.25">
      <c r="A13" t="s">
        <v>83</v>
      </c>
      <c r="B13" s="1" t="s">
        <v>84</v>
      </c>
      <c r="C13" t="s">
        <v>85</v>
      </c>
      <c r="D13" t="s">
        <v>19</v>
      </c>
      <c r="E13" t="str">
        <f>PROPER(TRIM(D13))</f>
        <v>Peter</v>
      </c>
      <c r="F13" t="s">
        <v>20</v>
      </c>
      <c r="G13">
        <v>130</v>
      </c>
      <c r="H13" t="str">
        <f>IF(AND(G13&gt;18, G13&lt;65), "Valid", "Invalid")</f>
        <v>Invalid</v>
      </c>
      <c r="I13" t="s">
        <v>86</v>
      </c>
      <c r="J13" t="str">
        <f>PROPER(TRIM(I13))</f>
        <v>Kano</v>
      </c>
      <c r="K13" t="s">
        <v>87</v>
      </c>
      <c r="L13" t="str">
        <f>PROPER(TRIM(K13))</f>
        <v>Groceris</v>
      </c>
      <c r="M13" t="s">
        <v>49</v>
      </c>
      <c r="N13" t="str">
        <f>PROPER(TRIM(M13))</f>
        <v>Rice</v>
      </c>
      <c r="O13">
        <v>409.19</v>
      </c>
      <c r="P13">
        <v>-2</v>
      </c>
      <c r="Q13">
        <f>IF(P13&lt;1, 1, P13)</f>
        <v>1</v>
      </c>
      <c r="R13">
        <v>120</v>
      </c>
      <c r="S13" t="str">
        <f>IF(OR(R13&lt;0,R13&gt;100),"invalid","Valid")</f>
        <v>invalid</v>
      </c>
      <c r="T13" t="s">
        <v>24</v>
      </c>
      <c r="U13" t="str">
        <f>PROPER(TRIM(T13))</f>
        <v>Pos</v>
      </c>
      <c r="V13" t="s">
        <v>81</v>
      </c>
      <c r="W13" t="str">
        <f t="shared" si="0"/>
        <v>Ada</v>
      </c>
      <c r="X13" t="s">
        <v>33</v>
      </c>
      <c r="Y13">
        <v>5</v>
      </c>
      <c r="Z13" t="str">
        <f>IF(D13="", "Missing", "ok")</f>
        <v>ok</v>
      </c>
      <c r="AA13">
        <f t="shared" si="1"/>
        <v>-81.83799999999998</v>
      </c>
    </row>
    <row r="14" spans="1:27" x14ac:dyDescent="0.25">
      <c r="A14" t="s">
        <v>88</v>
      </c>
      <c r="B14" s="1" t="s">
        <v>89</v>
      </c>
      <c r="C14" t="s">
        <v>90</v>
      </c>
      <c r="D14" t="s">
        <v>63</v>
      </c>
      <c r="E14" t="str">
        <f>PROPER(TRIM(D14))</f>
        <v>John</v>
      </c>
      <c r="F14" t="s">
        <v>20</v>
      </c>
      <c r="G14">
        <v>130</v>
      </c>
      <c r="H14" t="str">
        <f>IF(AND(G14&gt;18, G14&lt;65), "Valid", "Invalid")</f>
        <v>Invalid</v>
      </c>
      <c r="I14" t="s">
        <v>86</v>
      </c>
      <c r="J14" t="str">
        <f>PROPER(TRIM(I14))</f>
        <v>Kano</v>
      </c>
      <c r="K14" t="s">
        <v>54</v>
      </c>
      <c r="L14" t="str">
        <f>PROPER(TRIM(K14))</f>
        <v>Home</v>
      </c>
      <c r="M14" t="s">
        <v>55</v>
      </c>
      <c r="N14" t="str">
        <f>PROPER(TRIM(M14))</f>
        <v>Chair</v>
      </c>
      <c r="O14">
        <v>126.04</v>
      </c>
      <c r="P14">
        <v>-2</v>
      </c>
      <c r="Q14">
        <f>IF(P14&lt;1, 1, P14)</f>
        <v>1</v>
      </c>
      <c r="R14">
        <v>15</v>
      </c>
      <c r="S14" t="str">
        <f>IF(OR(R14&lt;0,R14&gt;100),"invalid","Valid")</f>
        <v>Valid</v>
      </c>
      <c r="T14" t="s">
        <v>64</v>
      </c>
      <c r="U14" t="str">
        <f>PROPER(TRIM(T14))</f>
        <v>Transfer</v>
      </c>
      <c r="V14" t="s">
        <v>91</v>
      </c>
      <c r="W14" t="str">
        <f t="shared" si="0"/>
        <v>Ben</v>
      </c>
      <c r="X14" t="s">
        <v>65</v>
      </c>
      <c r="Y14">
        <v>4</v>
      </c>
      <c r="Z14" t="str">
        <f>IF(D14="", "Missing", "ok")</f>
        <v>ok</v>
      </c>
      <c r="AA14">
        <f t="shared" si="1"/>
        <v>107.134</v>
      </c>
    </row>
    <row r="15" spans="1:27" x14ac:dyDescent="0.25">
      <c r="A15" t="s">
        <v>92</v>
      </c>
      <c r="B15" s="1" t="s">
        <v>93</v>
      </c>
      <c r="C15" t="s">
        <v>94</v>
      </c>
      <c r="D15" t="s">
        <v>37</v>
      </c>
      <c r="E15" t="str">
        <f>PROPER(TRIM(D15))</f>
        <v>Aisha</v>
      </c>
      <c r="F15" t="s">
        <v>46</v>
      </c>
      <c r="G15">
        <v>130</v>
      </c>
      <c r="H15" t="str">
        <f>IF(AND(G15&gt;18, G15&lt;65), "Valid", "Invalid")</f>
        <v>Invalid</v>
      </c>
      <c r="I15" t="s">
        <v>53</v>
      </c>
      <c r="J15" t="str">
        <f>PROPER(TRIM(I15))</f>
        <v>Lagos</v>
      </c>
      <c r="K15" t="s">
        <v>48</v>
      </c>
      <c r="L15" t="str">
        <f>PROPER(TRIM(K15))</f>
        <v>Groceries</v>
      </c>
      <c r="M15" t="s">
        <v>49</v>
      </c>
      <c r="N15" t="str">
        <f>PROPER(TRIM(M15))</f>
        <v>Rice</v>
      </c>
      <c r="O15">
        <v>477.09</v>
      </c>
      <c r="P15">
        <v>-2</v>
      </c>
      <c r="Q15">
        <f>IF(P15&lt;1, 1, P15)</f>
        <v>1</v>
      </c>
      <c r="R15">
        <v>0</v>
      </c>
      <c r="S15" t="str">
        <f>IF(OR(R15&lt;0,R15&gt;100),"invalid","Valid")</f>
        <v>Valid</v>
      </c>
      <c r="T15" t="s">
        <v>59</v>
      </c>
      <c r="U15" t="str">
        <f>PROPER(TRIM(T15))</f>
        <v>Mobile Money</v>
      </c>
      <c r="V15" t="s">
        <v>25</v>
      </c>
      <c r="W15" t="str">
        <f t="shared" si="0"/>
        <v>Dan</v>
      </c>
      <c r="X15" t="s">
        <v>82</v>
      </c>
      <c r="Y15">
        <v>4</v>
      </c>
      <c r="Z15" t="str">
        <f>IF(D15="", "Missing", "ok")</f>
        <v>ok</v>
      </c>
      <c r="AA15">
        <f t="shared" si="1"/>
        <v>477.09</v>
      </c>
    </row>
    <row r="16" spans="1:27" x14ac:dyDescent="0.25">
      <c r="A16" t="s">
        <v>95</v>
      </c>
      <c r="B16" s="1" t="s">
        <v>96</v>
      </c>
      <c r="C16" t="s">
        <v>97</v>
      </c>
      <c r="D16" t="s">
        <v>69</v>
      </c>
      <c r="E16" t="str">
        <f>PROPER(TRIM(D16))</f>
        <v>Mary</v>
      </c>
      <c r="F16" t="s">
        <v>20</v>
      </c>
      <c r="G16">
        <v>130</v>
      </c>
      <c r="H16" t="str">
        <f>IF(AND(G16&gt;18, G16&lt;65), "Valid", "Invalid")</f>
        <v>Invalid</v>
      </c>
      <c r="I16" t="s">
        <v>53</v>
      </c>
      <c r="J16" t="str">
        <f>PROPER(TRIM(I16))</f>
        <v>Lagos</v>
      </c>
      <c r="K16" t="s">
        <v>87</v>
      </c>
      <c r="L16" t="str">
        <f>PROPER(TRIM(K16))</f>
        <v>Groceris</v>
      </c>
      <c r="M16" t="s">
        <v>49</v>
      </c>
      <c r="N16" t="str">
        <f>PROPER(TRIM(M16))</f>
        <v>Rice</v>
      </c>
      <c r="O16">
        <v>332</v>
      </c>
      <c r="P16">
        <v>-2</v>
      </c>
      <c r="Q16">
        <f>IF(P16&lt;1, 1, P16)</f>
        <v>1</v>
      </c>
      <c r="R16">
        <v>5</v>
      </c>
      <c r="S16" t="str">
        <f>IF(OR(R16&lt;0,R16&gt;100),"invalid","Valid")</f>
        <v>Valid</v>
      </c>
      <c r="T16" t="s">
        <v>64</v>
      </c>
      <c r="U16" t="str">
        <f>PROPER(TRIM(T16))</f>
        <v>Transfer</v>
      </c>
      <c r="V16" t="s">
        <v>25</v>
      </c>
      <c r="W16" t="str">
        <f t="shared" si="0"/>
        <v>Dan</v>
      </c>
      <c r="X16" t="s">
        <v>82</v>
      </c>
      <c r="Y16">
        <v>4</v>
      </c>
      <c r="Z16" t="str">
        <f>IF(D16="", "Missing", "ok")</f>
        <v>ok</v>
      </c>
      <c r="AA16">
        <f t="shared" si="1"/>
        <v>315.39999999999998</v>
      </c>
    </row>
    <row r="17" spans="1:27" x14ac:dyDescent="0.25">
      <c r="A17" t="s">
        <v>98</v>
      </c>
      <c r="B17" s="1" t="s">
        <v>99</v>
      </c>
      <c r="C17" t="s">
        <v>100</v>
      </c>
      <c r="D17" t="s">
        <v>101</v>
      </c>
      <c r="E17" t="str">
        <f>PROPER(TRIM(D17))</f>
        <v>Grace</v>
      </c>
      <c r="F17" t="s">
        <v>20</v>
      </c>
      <c r="G17">
        <v>28</v>
      </c>
      <c r="H17" t="str">
        <f>IF(AND(G17&gt;18, G17&lt;65), "Valid", "Invalid")</f>
        <v>Valid</v>
      </c>
      <c r="I17" t="s">
        <v>53</v>
      </c>
      <c r="J17" t="str">
        <f>PROPER(TRIM(I17))</f>
        <v>Lagos</v>
      </c>
      <c r="K17" t="s">
        <v>87</v>
      </c>
      <c r="L17" t="str">
        <f>PROPER(TRIM(K17))</f>
        <v>Groceris</v>
      </c>
      <c r="M17" t="s">
        <v>49</v>
      </c>
      <c r="N17" t="str">
        <f>PROPER(TRIM(M17))</f>
        <v>Rice</v>
      </c>
      <c r="O17">
        <v>484.12</v>
      </c>
      <c r="P17">
        <v>1</v>
      </c>
      <c r="Q17">
        <f>IF(P17&lt;1, 1, P17)</f>
        <v>1</v>
      </c>
      <c r="R17">
        <v>-10</v>
      </c>
      <c r="S17" t="str">
        <f>IF(OR(R17&lt;0,R17&gt;100),"invalid","Valid")</f>
        <v>invalid</v>
      </c>
      <c r="T17" t="s">
        <v>24</v>
      </c>
      <c r="U17" t="str">
        <f>PROPER(TRIM(T17))</f>
        <v>Pos</v>
      </c>
      <c r="V17" t="s">
        <v>25</v>
      </c>
      <c r="W17" t="str">
        <f t="shared" si="0"/>
        <v>Dan</v>
      </c>
      <c r="X17" t="s">
        <v>26</v>
      </c>
      <c r="Y17">
        <v>2</v>
      </c>
      <c r="Z17" t="str">
        <f>IF(D17="", "Missing", "ok")</f>
        <v>ok</v>
      </c>
      <c r="AA17">
        <f t="shared" si="1"/>
        <v>532.53200000000004</v>
      </c>
    </row>
    <row r="18" spans="1:27" x14ac:dyDescent="0.25">
      <c r="A18" t="s">
        <v>102</v>
      </c>
      <c r="B18" s="1" t="s">
        <v>103</v>
      </c>
      <c r="C18" t="s">
        <v>104</v>
      </c>
      <c r="E18" t="str">
        <f>PROPER(TRIM(D18))</f>
        <v/>
      </c>
      <c r="F18" t="s">
        <v>46</v>
      </c>
      <c r="G18">
        <v>8</v>
      </c>
      <c r="H18" t="str">
        <f>IF(AND(G18&gt;18, G18&lt;65), "Valid", "Invalid")</f>
        <v>Invalid</v>
      </c>
      <c r="I18" t="s">
        <v>86</v>
      </c>
      <c r="J18" t="str">
        <f>PROPER(TRIM(I18))</f>
        <v>Kano</v>
      </c>
      <c r="K18" t="s">
        <v>87</v>
      </c>
      <c r="L18" t="str">
        <f>PROPER(TRIM(K18))</f>
        <v>Groceris</v>
      </c>
      <c r="M18" t="s">
        <v>49</v>
      </c>
      <c r="N18" t="str">
        <f>PROPER(TRIM(M18))</f>
        <v>Rice</v>
      </c>
      <c r="O18">
        <v>487.9</v>
      </c>
      <c r="P18">
        <v>6</v>
      </c>
      <c r="Q18">
        <f>IF(P18&lt;1, 1, P18)</f>
        <v>6</v>
      </c>
      <c r="R18">
        <v>-10</v>
      </c>
      <c r="S18" t="str">
        <f>IF(OR(R18&lt;0,R18&gt;100),"invalid","Valid")</f>
        <v>invalid</v>
      </c>
      <c r="T18" t="s">
        <v>64</v>
      </c>
      <c r="U18" t="str">
        <f>PROPER(TRIM(T18))</f>
        <v>Transfer</v>
      </c>
      <c r="V18" t="s">
        <v>81</v>
      </c>
      <c r="W18" t="str">
        <f t="shared" si="0"/>
        <v>Ada</v>
      </c>
      <c r="X18" t="s">
        <v>65</v>
      </c>
      <c r="Y18">
        <v>2</v>
      </c>
      <c r="Z18" t="str">
        <f>IF(D18="", "Missing", "ok")</f>
        <v>Missing</v>
      </c>
      <c r="AA18">
        <f t="shared" si="1"/>
        <v>3220.14</v>
      </c>
    </row>
    <row r="19" spans="1:27" x14ac:dyDescent="0.25">
      <c r="A19" t="s">
        <v>105</v>
      </c>
      <c r="B19" s="1" t="s">
        <v>106</v>
      </c>
      <c r="C19" t="s">
        <v>107</v>
      </c>
      <c r="D19" t="s">
        <v>19</v>
      </c>
      <c r="E19" t="str">
        <f>PROPER(TRIM(D19))</f>
        <v>Peter</v>
      </c>
      <c r="F19" t="s">
        <v>46</v>
      </c>
      <c r="G19">
        <v>43</v>
      </c>
      <c r="H19" t="str">
        <f>IF(AND(G19&gt;18, G19&lt;65), "Valid", "Invalid")</f>
        <v>Valid</v>
      </c>
      <c r="I19" t="s">
        <v>70</v>
      </c>
      <c r="J19" t="str">
        <f>PROPER(TRIM(I19))</f>
        <v>Abuja</v>
      </c>
      <c r="K19" t="s">
        <v>31</v>
      </c>
      <c r="L19" t="str">
        <f>PROPER(TRIM(K19))</f>
        <v>Sports</v>
      </c>
      <c r="M19" t="s">
        <v>32</v>
      </c>
      <c r="N19" t="str">
        <f>PROPER(TRIM(M19))</f>
        <v>Ball</v>
      </c>
      <c r="O19">
        <v>398.62</v>
      </c>
      <c r="P19">
        <v>-2</v>
      </c>
      <c r="Q19">
        <f>IF(P19&lt;1, 1, P19)</f>
        <v>1</v>
      </c>
      <c r="R19">
        <v>10</v>
      </c>
      <c r="S19" t="str">
        <f>IF(OR(R19&lt;0,R19&gt;100),"invalid","Valid")</f>
        <v>Valid</v>
      </c>
      <c r="U19" t="str">
        <f>PROPER(TRIM(T19))</f>
        <v/>
      </c>
      <c r="V19" t="s">
        <v>91</v>
      </c>
      <c r="W19" t="str">
        <f t="shared" si="0"/>
        <v>Ben</v>
      </c>
      <c r="X19" t="s">
        <v>33</v>
      </c>
      <c r="Y19">
        <v>1</v>
      </c>
      <c r="Z19" t="str">
        <f>IF(D19="", "Missing", "ok")</f>
        <v>ok</v>
      </c>
      <c r="AA19">
        <f t="shared" si="1"/>
        <v>358.75800000000004</v>
      </c>
    </row>
    <row r="20" spans="1:27" x14ac:dyDescent="0.25">
      <c r="A20" t="s">
        <v>108</v>
      </c>
      <c r="B20" s="1" t="s">
        <v>109</v>
      </c>
      <c r="C20" t="s">
        <v>110</v>
      </c>
      <c r="D20" t="s">
        <v>69</v>
      </c>
      <c r="E20" t="str">
        <f>PROPER(TRIM(D20))</f>
        <v>Mary</v>
      </c>
      <c r="F20" t="s">
        <v>20</v>
      </c>
      <c r="G20">
        <v>130</v>
      </c>
      <c r="H20" t="str">
        <f>IF(AND(G20&gt;18, G20&lt;65), "Valid", "Invalid")</f>
        <v>Invalid</v>
      </c>
      <c r="I20" t="s">
        <v>86</v>
      </c>
      <c r="J20" t="str">
        <f>PROPER(TRIM(I20))</f>
        <v>Kano</v>
      </c>
      <c r="K20" t="s">
        <v>87</v>
      </c>
      <c r="L20" t="str">
        <f>PROPER(TRIM(K20))</f>
        <v>Groceris</v>
      </c>
      <c r="M20" t="s">
        <v>49</v>
      </c>
      <c r="N20" t="str">
        <f>PROPER(TRIM(M20))</f>
        <v>Rice</v>
      </c>
      <c r="O20">
        <v>68.67</v>
      </c>
      <c r="P20">
        <v>4</v>
      </c>
      <c r="Q20">
        <f>IF(P20&lt;1, 1, P20)</f>
        <v>4</v>
      </c>
      <c r="R20">
        <v>10</v>
      </c>
      <c r="S20" t="str">
        <f>IF(OR(R20&lt;0,R20&gt;100),"invalid","Valid")</f>
        <v>Valid</v>
      </c>
      <c r="U20" t="str">
        <f>PROPER(TRIM(T20))</f>
        <v/>
      </c>
      <c r="V20" t="s">
        <v>91</v>
      </c>
      <c r="W20" t="str">
        <f t="shared" si="0"/>
        <v>Ben</v>
      </c>
      <c r="X20" t="s">
        <v>33</v>
      </c>
      <c r="Z20" t="str">
        <f>IF(D20="", "Missing", "ok")</f>
        <v>ok</v>
      </c>
      <c r="AA20">
        <f t="shared" si="1"/>
        <v>247.21200000000002</v>
      </c>
    </row>
    <row r="21" spans="1:27" x14ac:dyDescent="0.25">
      <c r="A21" t="s">
        <v>111</v>
      </c>
      <c r="B21" s="1" t="s">
        <v>112</v>
      </c>
      <c r="C21" t="s">
        <v>113</v>
      </c>
      <c r="D21" t="s">
        <v>63</v>
      </c>
      <c r="E21" t="str">
        <f>PROPER(TRIM(D21))</f>
        <v>John</v>
      </c>
      <c r="F21" t="s">
        <v>20</v>
      </c>
      <c r="G21">
        <v>8</v>
      </c>
      <c r="H21" t="str">
        <f>IF(AND(G21&gt;18, G21&lt;65), "Valid", "Invalid")</f>
        <v>Invalid</v>
      </c>
      <c r="I21" t="s">
        <v>70</v>
      </c>
      <c r="J21" t="str">
        <f>PROPER(TRIM(I21))</f>
        <v>Abuja</v>
      </c>
      <c r="K21" t="s">
        <v>22</v>
      </c>
      <c r="L21" t="str">
        <f>PROPER(TRIM(K21))</f>
        <v>Fashion</v>
      </c>
      <c r="M21" t="s">
        <v>23</v>
      </c>
      <c r="N21" t="str">
        <f>PROPER(TRIM(M21))</f>
        <v>Shirt</v>
      </c>
      <c r="O21">
        <v>477.46</v>
      </c>
      <c r="P21">
        <v>-2</v>
      </c>
      <c r="Q21">
        <f>IF(P21&lt;1, 1, P21)</f>
        <v>1</v>
      </c>
      <c r="R21">
        <v>-10</v>
      </c>
      <c r="S21" t="str">
        <f>IF(OR(R21&lt;0,R21&gt;100),"invalid","Valid")</f>
        <v>invalid</v>
      </c>
      <c r="T21" t="s">
        <v>77</v>
      </c>
      <c r="U21" t="str">
        <f>PROPER(TRIM(T21))</f>
        <v>Cash</v>
      </c>
      <c r="V21" t="s">
        <v>81</v>
      </c>
      <c r="W21" t="str">
        <f t="shared" si="0"/>
        <v>Ada</v>
      </c>
      <c r="X21" t="s">
        <v>33</v>
      </c>
      <c r="Y21">
        <v>2</v>
      </c>
      <c r="Z21" t="str">
        <f>IF(D21="", "Missing", "ok")</f>
        <v>ok</v>
      </c>
      <c r="AA21">
        <f t="shared" si="1"/>
        <v>525.20600000000002</v>
      </c>
    </row>
    <row r="22" spans="1:27" x14ac:dyDescent="0.25">
      <c r="A22" t="s">
        <v>114</v>
      </c>
      <c r="B22" s="1" t="s">
        <v>115</v>
      </c>
      <c r="C22" t="s">
        <v>116</v>
      </c>
      <c r="D22" t="s">
        <v>117</v>
      </c>
      <c r="E22" t="str">
        <f>PROPER(TRIM(D22))</f>
        <v>David</v>
      </c>
      <c r="F22" t="s">
        <v>20</v>
      </c>
      <c r="G22">
        <v>130</v>
      </c>
      <c r="H22" t="str">
        <f>IF(AND(G22&gt;18, G22&lt;65), "Valid", "Invalid")</f>
        <v>Invalid</v>
      </c>
      <c r="I22" t="s">
        <v>47</v>
      </c>
      <c r="J22" t="str">
        <f>PROPER(TRIM(I22))</f>
        <v>Enugu</v>
      </c>
      <c r="K22" t="s">
        <v>31</v>
      </c>
      <c r="L22" t="str">
        <f>PROPER(TRIM(K22))</f>
        <v>Sports</v>
      </c>
      <c r="M22" t="s">
        <v>32</v>
      </c>
      <c r="N22" t="str">
        <f>PROPER(TRIM(M22))</f>
        <v>Ball</v>
      </c>
      <c r="O22">
        <v>29.5</v>
      </c>
      <c r="P22">
        <v>-2</v>
      </c>
      <c r="Q22">
        <f>IF(P22&lt;1, 1, P22)</f>
        <v>1</v>
      </c>
      <c r="R22">
        <v>120</v>
      </c>
      <c r="S22" t="str">
        <f>IF(OR(R22&lt;0,R22&gt;100),"invalid","Valid")</f>
        <v>invalid</v>
      </c>
      <c r="T22" t="s">
        <v>77</v>
      </c>
      <c r="U22" t="str">
        <f>PROPER(TRIM(T22))</f>
        <v>Cash</v>
      </c>
      <c r="V22" t="s">
        <v>25</v>
      </c>
      <c r="W22" t="str">
        <f t="shared" si="0"/>
        <v>Dan</v>
      </c>
      <c r="X22" t="s">
        <v>65</v>
      </c>
      <c r="Y22">
        <v>3</v>
      </c>
      <c r="Z22" t="str">
        <f>IF(D22="", "Missing", "ok")</f>
        <v>ok</v>
      </c>
      <c r="AA22">
        <f t="shared" si="1"/>
        <v>-5.8999999999999986</v>
      </c>
    </row>
    <row r="23" spans="1:27" x14ac:dyDescent="0.25">
      <c r="A23" t="s">
        <v>118</v>
      </c>
      <c r="B23" s="1" t="s">
        <v>119</v>
      </c>
      <c r="C23" t="s">
        <v>120</v>
      </c>
      <c r="D23" t="s">
        <v>45</v>
      </c>
      <c r="E23" t="str">
        <f>PROPER(TRIM(D23))</f>
        <v>James</v>
      </c>
      <c r="F23" t="s">
        <v>20</v>
      </c>
      <c r="G23">
        <v>8</v>
      </c>
      <c r="H23" t="str">
        <f>IF(AND(G23&gt;18, G23&lt;65), "Valid", "Invalid")</f>
        <v>Invalid</v>
      </c>
      <c r="I23" t="s">
        <v>21</v>
      </c>
      <c r="J23" t="str">
        <f>PROPER(TRIM(I23))</f>
        <v>Lagos</v>
      </c>
      <c r="K23" t="s">
        <v>121</v>
      </c>
      <c r="L23" t="str">
        <f>PROPER(TRIM(K23))</f>
        <v>Beauty</v>
      </c>
      <c r="M23" t="s">
        <v>122</v>
      </c>
      <c r="N23" t="str">
        <f>PROPER(TRIM(M23))</f>
        <v>Cream</v>
      </c>
      <c r="O23">
        <v>134.08000000000001</v>
      </c>
      <c r="P23">
        <v>5</v>
      </c>
      <c r="Q23">
        <f>IF(P23&lt;1, 1, P23)</f>
        <v>5</v>
      </c>
      <c r="R23">
        <v>0</v>
      </c>
      <c r="S23" t="str">
        <f>IF(OR(R23&lt;0,R23&gt;100),"invalid","Valid")</f>
        <v>Valid</v>
      </c>
      <c r="U23" t="str">
        <f>PROPER(TRIM(T23))</f>
        <v/>
      </c>
      <c r="V23" t="s">
        <v>91</v>
      </c>
      <c r="W23" t="str">
        <f t="shared" si="0"/>
        <v>Ben</v>
      </c>
      <c r="X23" t="s">
        <v>65</v>
      </c>
      <c r="Y23">
        <v>2</v>
      </c>
      <c r="Z23" t="str">
        <f>IF(D23="", "Missing", "ok")</f>
        <v>ok</v>
      </c>
      <c r="AA23">
        <f t="shared" si="1"/>
        <v>670.40000000000009</v>
      </c>
    </row>
    <row r="24" spans="1:27" x14ac:dyDescent="0.25">
      <c r="A24" t="s">
        <v>123</v>
      </c>
      <c r="B24" s="1" t="s">
        <v>124</v>
      </c>
      <c r="C24" t="s">
        <v>125</v>
      </c>
      <c r="D24" t="s">
        <v>101</v>
      </c>
      <c r="E24" t="str">
        <f>PROPER(TRIM(D24))</f>
        <v>Grace</v>
      </c>
      <c r="F24" t="s">
        <v>46</v>
      </c>
      <c r="G24">
        <v>130</v>
      </c>
      <c r="H24" t="str">
        <f>IF(AND(G24&gt;18, G24&lt;65), "Valid", "Invalid")</f>
        <v>Invalid</v>
      </c>
      <c r="I24" t="s">
        <v>70</v>
      </c>
      <c r="J24" t="str">
        <f>PROPER(TRIM(I24))</f>
        <v>Abuja</v>
      </c>
      <c r="K24" t="s">
        <v>22</v>
      </c>
      <c r="L24" t="str">
        <f>PROPER(TRIM(K24))</f>
        <v>Fashion</v>
      </c>
      <c r="M24" t="s">
        <v>23</v>
      </c>
      <c r="N24" t="str">
        <f>PROPER(TRIM(M24))</f>
        <v>Shirt</v>
      </c>
      <c r="O24">
        <v>388.4</v>
      </c>
      <c r="P24">
        <v>-2</v>
      </c>
      <c r="Q24">
        <f>IF(P24&lt;1, 1, P24)</f>
        <v>1</v>
      </c>
      <c r="R24">
        <v>15</v>
      </c>
      <c r="S24" t="str">
        <f>IF(OR(R24&lt;0,R24&gt;100),"invalid","Valid")</f>
        <v>Valid</v>
      </c>
      <c r="T24" t="s">
        <v>59</v>
      </c>
      <c r="U24" t="str">
        <f>PROPER(TRIM(T24))</f>
        <v>Mobile Money</v>
      </c>
      <c r="V24" t="s">
        <v>81</v>
      </c>
      <c r="W24" t="str">
        <f t="shared" si="0"/>
        <v>Ada</v>
      </c>
      <c r="X24" t="s">
        <v>26</v>
      </c>
      <c r="Y24">
        <v>1</v>
      </c>
      <c r="Z24" t="str">
        <f>IF(D24="", "Missing", "ok")</f>
        <v>ok</v>
      </c>
      <c r="AA24">
        <f t="shared" si="1"/>
        <v>330.14</v>
      </c>
    </row>
    <row r="25" spans="1:27" x14ac:dyDescent="0.25">
      <c r="A25" t="s">
        <v>126</v>
      </c>
      <c r="B25" s="1" t="s">
        <v>127</v>
      </c>
      <c r="C25" t="s">
        <v>128</v>
      </c>
      <c r="D25" t="s">
        <v>45</v>
      </c>
      <c r="E25" t="str">
        <f>PROPER(TRIM(D25))</f>
        <v>James</v>
      </c>
      <c r="F25" t="s">
        <v>46</v>
      </c>
      <c r="G25">
        <v>130</v>
      </c>
      <c r="H25" t="str">
        <f>IF(AND(G25&gt;18, G25&lt;65), "Valid", "Invalid")</f>
        <v>Invalid</v>
      </c>
      <c r="I25" t="s">
        <v>86</v>
      </c>
      <c r="J25" t="str">
        <f>PROPER(TRIM(I25))</f>
        <v>Kano</v>
      </c>
      <c r="K25" t="s">
        <v>22</v>
      </c>
      <c r="L25" t="str">
        <f>PROPER(TRIM(K25))</f>
        <v>Fashion</v>
      </c>
      <c r="M25" t="s">
        <v>23</v>
      </c>
      <c r="N25" t="str">
        <f>PROPER(TRIM(M25))</f>
        <v>Shirt</v>
      </c>
      <c r="O25">
        <v>279.11</v>
      </c>
      <c r="P25">
        <v>-2</v>
      </c>
      <c r="Q25">
        <f>IF(P25&lt;1, 1, P25)</f>
        <v>1</v>
      </c>
      <c r="R25">
        <v>10</v>
      </c>
      <c r="S25" t="str">
        <f>IF(OR(R25&lt;0,R25&gt;100),"invalid","Valid")</f>
        <v>Valid</v>
      </c>
      <c r="T25" t="s">
        <v>64</v>
      </c>
      <c r="U25" t="str">
        <f>PROPER(TRIM(T25))</f>
        <v>Transfer</v>
      </c>
      <c r="V25" t="s">
        <v>91</v>
      </c>
      <c r="W25" t="str">
        <f t="shared" si="0"/>
        <v>Ben</v>
      </c>
      <c r="X25" t="s">
        <v>33</v>
      </c>
      <c r="Z25" t="str">
        <f>IF(D25="", "Missing", "ok")</f>
        <v>ok</v>
      </c>
      <c r="AA25">
        <f t="shared" si="1"/>
        <v>251.19900000000001</v>
      </c>
    </row>
    <row r="26" spans="1:27" x14ac:dyDescent="0.25">
      <c r="A26" t="s">
        <v>129</v>
      </c>
      <c r="B26" s="1" t="s">
        <v>130</v>
      </c>
      <c r="C26" t="s">
        <v>131</v>
      </c>
      <c r="D26" t="s">
        <v>117</v>
      </c>
      <c r="E26" t="str">
        <f>PROPER(TRIM(D26))</f>
        <v>David</v>
      </c>
      <c r="F26" t="s">
        <v>20</v>
      </c>
      <c r="G26">
        <v>130</v>
      </c>
      <c r="H26" t="str">
        <f>IF(AND(G26&gt;18, G26&lt;65), "Valid", "Invalid")</f>
        <v>Invalid</v>
      </c>
      <c r="I26" t="s">
        <v>70</v>
      </c>
      <c r="J26" t="str">
        <f>PROPER(TRIM(I26))</f>
        <v>Abuja</v>
      </c>
      <c r="K26" t="s">
        <v>121</v>
      </c>
      <c r="L26" t="str">
        <f>PROPER(TRIM(K26))</f>
        <v>Beauty</v>
      </c>
      <c r="M26" t="s">
        <v>122</v>
      </c>
      <c r="N26" t="str">
        <f>PROPER(TRIM(M26))</f>
        <v>Cream</v>
      </c>
      <c r="O26">
        <v>205.37</v>
      </c>
      <c r="P26">
        <v>-2</v>
      </c>
      <c r="Q26">
        <f>IF(P26&lt;1, 1, P26)</f>
        <v>1</v>
      </c>
      <c r="R26">
        <v>-10</v>
      </c>
      <c r="S26" t="str">
        <f>IF(OR(R26&lt;0,R26&gt;100),"invalid","Valid")</f>
        <v>invalid</v>
      </c>
      <c r="T26" t="s">
        <v>77</v>
      </c>
      <c r="U26" t="str">
        <f>PROPER(TRIM(T26))</f>
        <v>Cash</v>
      </c>
      <c r="V26" t="s">
        <v>81</v>
      </c>
      <c r="W26" t="str">
        <f t="shared" si="0"/>
        <v>Ada</v>
      </c>
      <c r="X26" t="s">
        <v>26</v>
      </c>
      <c r="Z26" t="str">
        <f>IF(D26="", "Missing", "ok")</f>
        <v>ok</v>
      </c>
      <c r="AA26">
        <f t="shared" si="1"/>
        <v>225.90700000000001</v>
      </c>
    </row>
    <row r="27" spans="1:27" x14ac:dyDescent="0.25">
      <c r="A27" t="s">
        <v>132</v>
      </c>
      <c r="B27" s="1" t="s">
        <v>133</v>
      </c>
      <c r="C27" t="s">
        <v>134</v>
      </c>
      <c r="D27" t="s">
        <v>37</v>
      </c>
      <c r="E27" t="str">
        <f>PROPER(TRIM(D27))</f>
        <v>Aisha</v>
      </c>
      <c r="F27" t="s">
        <v>46</v>
      </c>
      <c r="G27">
        <v>58</v>
      </c>
      <c r="H27" t="str">
        <f>IF(AND(G27&gt;18, G27&lt;65), "Valid", "Invalid")</f>
        <v>Valid</v>
      </c>
      <c r="I27" t="s">
        <v>38</v>
      </c>
      <c r="J27" t="str">
        <f>PROPER(TRIM(I27))</f>
        <v>Ph</v>
      </c>
      <c r="K27" t="s">
        <v>87</v>
      </c>
      <c r="L27" t="str">
        <f>PROPER(TRIM(K27))</f>
        <v>Groceris</v>
      </c>
      <c r="M27" t="s">
        <v>49</v>
      </c>
      <c r="N27" t="str">
        <f>PROPER(TRIM(M27))</f>
        <v>Rice</v>
      </c>
      <c r="O27">
        <v>72.55</v>
      </c>
      <c r="P27">
        <v>6</v>
      </c>
      <c r="Q27">
        <f>IF(P27&lt;1, 1, P27)</f>
        <v>6</v>
      </c>
      <c r="R27">
        <v>15</v>
      </c>
      <c r="S27" t="str">
        <f>IF(OR(R27&lt;0,R27&gt;100),"invalid","Valid")</f>
        <v>Valid</v>
      </c>
      <c r="T27" t="s">
        <v>59</v>
      </c>
      <c r="U27" t="str">
        <f>PROPER(TRIM(T27))</f>
        <v>Mobile Money</v>
      </c>
      <c r="V27" t="s">
        <v>91</v>
      </c>
      <c r="W27" t="str">
        <f t="shared" si="0"/>
        <v>Ben</v>
      </c>
      <c r="X27" t="s">
        <v>82</v>
      </c>
      <c r="Y27">
        <v>1</v>
      </c>
      <c r="Z27" t="str">
        <f>IF(D27="", "Missing", "ok")</f>
        <v>ok</v>
      </c>
      <c r="AA27">
        <f t="shared" si="1"/>
        <v>370.00499999999994</v>
      </c>
    </row>
    <row r="28" spans="1:27" x14ac:dyDescent="0.25">
      <c r="A28" t="s">
        <v>135</v>
      </c>
      <c r="B28" s="1" t="s">
        <v>136</v>
      </c>
      <c r="C28" t="s">
        <v>137</v>
      </c>
      <c r="D28" t="s">
        <v>69</v>
      </c>
      <c r="E28" t="str">
        <f>PROPER(TRIM(D28))</f>
        <v>Mary</v>
      </c>
      <c r="F28" t="s">
        <v>46</v>
      </c>
      <c r="G28">
        <v>130</v>
      </c>
      <c r="H28" t="str">
        <f>IF(AND(G28&gt;18, G28&lt;65), "Valid", "Invalid")</f>
        <v>Invalid</v>
      </c>
      <c r="I28" t="s">
        <v>21</v>
      </c>
      <c r="J28" t="str">
        <f>PROPER(TRIM(I28))</f>
        <v>Lagos</v>
      </c>
      <c r="K28" t="s">
        <v>87</v>
      </c>
      <c r="L28" t="str">
        <f>PROPER(TRIM(K28))</f>
        <v>Groceris</v>
      </c>
      <c r="M28" t="s">
        <v>49</v>
      </c>
      <c r="N28" t="str">
        <f>PROPER(TRIM(M28))</f>
        <v>Rice</v>
      </c>
      <c r="O28">
        <v>275.95</v>
      </c>
      <c r="P28">
        <v>-2</v>
      </c>
      <c r="Q28">
        <f>IF(P28&lt;1, 1, P28)</f>
        <v>1</v>
      </c>
      <c r="R28">
        <v>10</v>
      </c>
      <c r="S28" t="str">
        <f>IF(OR(R28&lt;0,R28&gt;100),"invalid","Valid")</f>
        <v>Valid</v>
      </c>
      <c r="U28" t="str">
        <f>PROPER(TRIM(T28))</f>
        <v/>
      </c>
      <c r="V28" t="s">
        <v>25</v>
      </c>
      <c r="W28" t="str">
        <f t="shared" si="0"/>
        <v>Dan</v>
      </c>
      <c r="X28" t="s">
        <v>33</v>
      </c>
      <c r="Y28">
        <v>3</v>
      </c>
      <c r="Z28" t="str">
        <f>IF(D28="", "Missing", "ok")</f>
        <v>ok</v>
      </c>
      <c r="AA28">
        <f t="shared" si="1"/>
        <v>248.35499999999999</v>
      </c>
    </row>
    <row r="29" spans="1:27" x14ac:dyDescent="0.25">
      <c r="A29" t="s">
        <v>138</v>
      </c>
      <c r="B29" s="1" t="s">
        <v>115</v>
      </c>
      <c r="C29" t="s">
        <v>139</v>
      </c>
      <c r="D29" t="s">
        <v>37</v>
      </c>
      <c r="E29" t="str">
        <f>PROPER(TRIM(D29))</f>
        <v>Aisha</v>
      </c>
      <c r="F29" t="s">
        <v>46</v>
      </c>
      <c r="G29">
        <v>8</v>
      </c>
      <c r="H29" t="str">
        <f>IF(AND(G29&gt;18, G29&lt;65), "Valid", "Invalid")</f>
        <v>Invalid</v>
      </c>
      <c r="I29" t="s">
        <v>47</v>
      </c>
      <c r="J29" t="str">
        <f>PROPER(TRIM(I29))</f>
        <v>Enugu</v>
      </c>
      <c r="K29" t="s">
        <v>121</v>
      </c>
      <c r="L29" t="str">
        <f>PROPER(TRIM(K29))</f>
        <v>Beauty</v>
      </c>
      <c r="M29" t="s">
        <v>122</v>
      </c>
      <c r="N29" t="str">
        <f>PROPER(TRIM(M29))</f>
        <v>Cream</v>
      </c>
      <c r="O29">
        <v>161.33000000000001</v>
      </c>
      <c r="P29">
        <v>4</v>
      </c>
      <c r="Q29">
        <f>IF(P29&lt;1, 1, P29)</f>
        <v>4</v>
      </c>
      <c r="R29">
        <v>10</v>
      </c>
      <c r="S29" t="str">
        <f>IF(OR(R29&lt;0,R29&gt;100),"invalid","Valid")</f>
        <v>Valid</v>
      </c>
      <c r="T29" t="s">
        <v>77</v>
      </c>
      <c r="U29" t="str">
        <f>PROPER(TRIM(T29))</f>
        <v>Cash</v>
      </c>
      <c r="V29" t="s">
        <v>91</v>
      </c>
      <c r="W29" t="str">
        <f t="shared" si="0"/>
        <v>Ben</v>
      </c>
      <c r="X29" t="s">
        <v>82</v>
      </c>
      <c r="Y29">
        <v>3</v>
      </c>
      <c r="Z29" t="str">
        <f>IF(D29="", "Missing", "ok")</f>
        <v>ok</v>
      </c>
      <c r="AA29">
        <f t="shared" si="1"/>
        <v>580.78800000000001</v>
      </c>
    </row>
    <row r="30" spans="1:27" x14ac:dyDescent="0.25">
      <c r="A30" t="s">
        <v>140</v>
      </c>
      <c r="B30" s="1" t="s">
        <v>141</v>
      </c>
      <c r="C30" t="s">
        <v>142</v>
      </c>
      <c r="E30" t="str">
        <f>PROPER(TRIM(D30))</f>
        <v/>
      </c>
      <c r="F30" t="s">
        <v>46</v>
      </c>
      <c r="G30">
        <v>58</v>
      </c>
      <c r="H30" t="str">
        <f>IF(AND(G30&gt;18, G30&lt;65), "Valid", "Invalid")</f>
        <v>Valid</v>
      </c>
      <c r="I30" t="s">
        <v>53</v>
      </c>
      <c r="J30" t="str">
        <f>PROPER(TRIM(I30))</f>
        <v>Lagos</v>
      </c>
      <c r="K30" t="s">
        <v>121</v>
      </c>
      <c r="L30" t="str">
        <f>PROPER(TRIM(K30))</f>
        <v>Beauty</v>
      </c>
      <c r="M30" t="s">
        <v>122</v>
      </c>
      <c r="N30" t="str">
        <f>PROPER(TRIM(M30))</f>
        <v>Cream</v>
      </c>
      <c r="O30">
        <v>416.14</v>
      </c>
      <c r="P30">
        <v>10</v>
      </c>
      <c r="Q30">
        <f>IF(P30&lt;1, 1, P30)</f>
        <v>10</v>
      </c>
      <c r="R30">
        <v>120</v>
      </c>
      <c r="S30" t="str">
        <f>IF(OR(R30&lt;0,R30&gt;100),"invalid","Valid")</f>
        <v>invalid</v>
      </c>
      <c r="T30" t="s">
        <v>59</v>
      </c>
      <c r="U30" t="str">
        <f>PROPER(TRIM(T30))</f>
        <v>Mobile Money</v>
      </c>
      <c r="V30" t="s">
        <v>81</v>
      </c>
      <c r="W30" t="str">
        <f t="shared" si="0"/>
        <v>Ada</v>
      </c>
      <c r="X30" t="s">
        <v>26</v>
      </c>
      <c r="Y30">
        <v>1</v>
      </c>
      <c r="Z30" t="str">
        <f>IF(D30="", "Missing", "ok")</f>
        <v>Missing</v>
      </c>
      <c r="AA30">
        <f t="shared" si="1"/>
        <v>-832.27999999999975</v>
      </c>
    </row>
    <row r="31" spans="1:27" x14ac:dyDescent="0.25">
      <c r="A31" t="s">
        <v>143</v>
      </c>
      <c r="B31" s="1" t="s">
        <v>144</v>
      </c>
      <c r="C31" t="s">
        <v>145</v>
      </c>
      <c r="D31" t="s">
        <v>63</v>
      </c>
      <c r="E31" t="str">
        <f>PROPER(TRIM(D31))</f>
        <v>John</v>
      </c>
      <c r="F31" t="s">
        <v>20</v>
      </c>
      <c r="G31">
        <v>8</v>
      </c>
      <c r="H31" t="str">
        <f>IF(AND(G31&gt;18, G31&lt;65), "Valid", "Invalid")</f>
        <v>Invalid</v>
      </c>
      <c r="I31" t="s">
        <v>38</v>
      </c>
      <c r="J31" t="str">
        <f>PROPER(TRIM(I31))</f>
        <v>Ph</v>
      </c>
      <c r="K31" t="s">
        <v>87</v>
      </c>
      <c r="L31" t="str">
        <f>PROPER(TRIM(K31))</f>
        <v>Groceris</v>
      </c>
      <c r="M31" t="s">
        <v>49</v>
      </c>
      <c r="N31" t="str">
        <f>PROPER(TRIM(M31))</f>
        <v>Rice</v>
      </c>
      <c r="O31">
        <v>258.57</v>
      </c>
      <c r="P31">
        <v>2</v>
      </c>
      <c r="Q31">
        <f>IF(P31&lt;1, 1, P31)</f>
        <v>2</v>
      </c>
      <c r="R31">
        <v>-10</v>
      </c>
      <c r="S31" t="str">
        <f>IF(OR(R31&lt;0,R31&gt;100),"invalid","Valid")</f>
        <v>invalid</v>
      </c>
      <c r="T31" t="s">
        <v>24</v>
      </c>
      <c r="U31" t="str">
        <f>PROPER(TRIM(T31))</f>
        <v>Pos</v>
      </c>
      <c r="V31" t="s">
        <v>91</v>
      </c>
      <c r="W31" t="str">
        <f t="shared" si="0"/>
        <v>Ben</v>
      </c>
      <c r="X31" t="s">
        <v>33</v>
      </c>
      <c r="Y31">
        <v>3</v>
      </c>
      <c r="Z31" t="str">
        <f>IF(D31="", "Missing", "ok")</f>
        <v>ok</v>
      </c>
      <c r="AA31">
        <f t="shared" si="1"/>
        <v>568.85400000000004</v>
      </c>
    </row>
    <row r="32" spans="1:27" x14ac:dyDescent="0.25">
      <c r="A32" t="s">
        <v>146</v>
      </c>
      <c r="B32" s="1" t="s">
        <v>147</v>
      </c>
      <c r="C32" t="s">
        <v>148</v>
      </c>
      <c r="D32" t="s">
        <v>63</v>
      </c>
      <c r="E32" t="str">
        <f>PROPER(TRIM(D32))</f>
        <v>John</v>
      </c>
      <c r="F32" t="s">
        <v>20</v>
      </c>
      <c r="G32">
        <v>130</v>
      </c>
      <c r="H32" t="str">
        <f>IF(AND(G32&gt;18, G32&lt;65), "Valid", "Invalid")</f>
        <v>Invalid</v>
      </c>
      <c r="I32" t="s">
        <v>30</v>
      </c>
      <c r="J32" t="str">
        <f>PROPER(TRIM(I32))</f>
        <v>Lagos</v>
      </c>
      <c r="K32" t="s">
        <v>31</v>
      </c>
      <c r="L32" t="str">
        <f>PROPER(TRIM(K32))</f>
        <v>Sports</v>
      </c>
      <c r="M32" t="s">
        <v>32</v>
      </c>
      <c r="N32" t="str">
        <f>PROPER(TRIM(M32))</f>
        <v>Ball</v>
      </c>
      <c r="O32">
        <v>395.37</v>
      </c>
      <c r="P32">
        <v>-2</v>
      </c>
      <c r="Q32">
        <f>IF(P32&lt;1, 1, P32)</f>
        <v>1</v>
      </c>
      <c r="R32">
        <v>5</v>
      </c>
      <c r="S32" t="str">
        <f>IF(OR(R32&lt;0,R32&gt;100),"invalid","Valid")</f>
        <v>Valid</v>
      </c>
      <c r="T32" t="s">
        <v>59</v>
      </c>
      <c r="U32" t="str">
        <f>PROPER(TRIM(T32))</f>
        <v>Mobile Money</v>
      </c>
      <c r="V32" t="s">
        <v>81</v>
      </c>
      <c r="W32" t="str">
        <f t="shared" si="0"/>
        <v>Ada</v>
      </c>
      <c r="X32" t="s">
        <v>65</v>
      </c>
      <c r="Y32">
        <v>4</v>
      </c>
      <c r="Z32" t="str">
        <f>IF(D32="", "Missing", "ok")</f>
        <v>ok</v>
      </c>
      <c r="AA32">
        <f t="shared" si="1"/>
        <v>375.60149999999999</v>
      </c>
    </row>
    <row r="33" spans="1:27" x14ac:dyDescent="0.25">
      <c r="A33" t="s">
        <v>149</v>
      </c>
      <c r="B33" s="1" t="s">
        <v>150</v>
      </c>
      <c r="C33" t="s">
        <v>151</v>
      </c>
      <c r="D33" t="s">
        <v>37</v>
      </c>
      <c r="E33" t="str">
        <f>PROPER(TRIM(D33))</f>
        <v>Aisha</v>
      </c>
      <c r="F33" t="s">
        <v>20</v>
      </c>
      <c r="G33">
        <v>37</v>
      </c>
      <c r="H33" t="str">
        <f>IF(AND(G33&gt;18, G33&lt;65), "Valid", "Invalid")</f>
        <v>Valid</v>
      </c>
      <c r="I33" t="s">
        <v>86</v>
      </c>
      <c r="J33" t="str">
        <f>PROPER(TRIM(I33))</f>
        <v>Kano</v>
      </c>
      <c r="K33" t="s">
        <v>31</v>
      </c>
      <c r="L33" t="str">
        <f>PROPER(TRIM(K33))</f>
        <v>Sports</v>
      </c>
      <c r="M33" t="s">
        <v>32</v>
      </c>
      <c r="N33" t="str">
        <f>PROPER(TRIM(M33))</f>
        <v>Ball</v>
      </c>
      <c r="O33">
        <v>429.08</v>
      </c>
      <c r="P33">
        <v>9</v>
      </c>
      <c r="Q33">
        <f>IF(P33&lt;1, 1, P33)</f>
        <v>9</v>
      </c>
      <c r="R33">
        <v>0</v>
      </c>
      <c r="S33" t="str">
        <f>IF(OR(R33&lt;0,R33&gt;100),"invalid","Valid")</f>
        <v>Valid</v>
      </c>
      <c r="T33" t="s">
        <v>59</v>
      </c>
      <c r="U33" t="str">
        <f>PROPER(TRIM(T33))</f>
        <v>Mobile Money</v>
      </c>
      <c r="V33" t="s">
        <v>41</v>
      </c>
      <c r="W33" t="str">
        <f t="shared" si="0"/>
        <v>Chi</v>
      </c>
      <c r="X33" t="s">
        <v>82</v>
      </c>
      <c r="Y33">
        <v>4</v>
      </c>
      <c r="Z33" t="str">
        <f>IF(D33="", "Missing", "ok")</f>
        <v>ok</v>
      </c>
      <c r="AA33">
        <f t="shared" si="1"/>
        <v>3861.72</v>
      </c>
    </row>
    <row r="34" spans="1:27" x14ac:dyDescent="0.25">
      <c r="A34" t="s">
        <v>152</v>
      </c>
      <c r="B34" s="1" t="s">
        <v>106</v>
      </c>
      <c r="C34" t="s">
        <v>153</v>
      </c>
      <c r="D34" t="s">
        <v>117</v>
      </c>
      <c r="E34" t="str">
        <f>PROPER(TRIM(D34))</f>
        <v>David</v>
      </c>
      <c r="F34" t="s">
        <v>46</v>
      </c>
      <c r="G34">
        <v>35</v>
      </c>
      <c r="H34" t="str">
        <f>IF(AND(G34&gt;18, G34&lt;65), "Valid", "Invalid")</f>
        <v>Valid</v>
      </c>
      <c r="I34" t="s">
        <v>47</v>
      </c>
      <c r="J34" t="str">
        <f>PROPER(TRIM(I34))</f>
        <v>Enugu</v>
      </c>
      <c r="K34" t="s">
        <v>87</v>
      </c>
      <c r="L34" t="str">
        <f>PROPER(TRIM(K34))</f>
        <v>Groceris</v>
      </c>
      <c r="M34" t="s">
        <v>49</v>
      </c>
      <c r="N34" t="str">
        <f>PROPER(TRIM(M34))</f>
        <v>Rice</v>
      </c>
      <c r="O34">
        <v>467.61</v>
      </c>
      <c r="P34">
        <v>-2</v>
      </c>
      <c r="Q34">
        <f>IF(P34&lt;1, 1, P34)</f>
        <v>1</v>
      </c>
      <c r="R34">
        <v>120</v>
      </c>
      <c r="S34" t="str">
        <f>IF(OR(R34&lt;0,R34&gt;100),"invalid","Valid")</f>
        <v>invalid</v>
      </c>
      <c r="T34" t="s">
        <v>64</v>
      </c>
      <c r="U34" t="str">
        <f>PROPER(TRIM(T34))</f>
        <v>Transfer</v>
      </c>
      <c r="V34" t="s">
        <v>41</v>
      </c>
      <c r="W34" t="str">
        <f t="shared" si="0"/>
        <v>Chi</v>
      </c>
      <c r="X34" t="s">
        <v>82</v>
      </c>
      <c r="Y34">
        <v>4</v>
      </c>
      <c r="Z34" t="str">
        <f>IF(D34="", "Missing", "ok")</f>
        <v>ok</v>
      </c>
      <c r="AA34">
        <f t="shared" si="1"/>
        <v>-93.521999999999977</v>
      </c>
    </row>
    <row r="35" spans="1:27" x14ac:dyDescent="0.25">
      <c r="A35" t="s">
        <v>154</v>
      </c>
      <c r="B35" s="1" t="s">
        <v>155</v>
      </c>
      <c r="C35" t="s">
        <v>156</v>
      </c>
      <c r="D35" t="s">
        <v>69</v>
      </c>
      <c r="E35" t="str">
        <f>PROPER(TRIM(D35))</f>
        <v>Mary</v>
      </c>
      <c r="F35" t="s">
        <v>46</v>
      </c>
      <c r="G35">
        <v>130</v>
      </c>
      <c r="H35" t="str">
        <f>IF(AND(G35&gt;18, G35&lt;65), "Valid", "Invalid")</f>
        <v>Invalid</v>
      </c>
      <c r="I35" t="s">
        <v>38</v>
      </c>
      <c r="J35" t="str">
        <f>PROPER(TRIM(I35))</f>
        <v>Ph</v>
      </c>
      <c r="K35" t="s">
        <v>121</v>
      </c>
      <c r="L35" t="str">
        <f>PROPER(TRIM(K35))</f>
        <v>Beauty</v>
      </c>
      <c r="M35" t="s">
        <v>122</v>
      </c>
      <c r="N35" t="str">
        <f>PROPER(TRIM(M35))</f>
        <v>Cream</v>
      </c>
      <c r="O35">
        <v>402.37</v>
      </c>
      <c r="P35">
        <v>10</v>
      </c>
      <c r="Q35">
        <f>IF(P35&lt;1, 1, P35)</f>
        <v>10</v>
      </c>
      <c r="R35">
        <v>0</v>
      </c>
      <c r="S35" t="str">
        <f>IF(OR(R35&lt;0,R35&gt;100),"invalid","Valid")</f>
        <v>Valid</v>
      </c>
      <c r="T35" t="s">
        <v>64</v>
      </c>
      <c r="U35" t="str">
        <f>PROPER(TRIM(T35))</f>
        <v>Transfer</v>
      </c>
      <c r="V35" t="s">
        <v>25</v>
      </c>
      <c r="W35" t="str">
        <f t="shared" si="0"/>
        <v>Dan</v>
      </c>
      <c r="X35" t="s">
        <v>65</v>
      </c>
      <c r="Y35">
        <v>4</v>
      </c>
      <c r="Z35" t="str">
        <f>IF(D35="", "Missing", "ok")</f>
        <v>ok</v>
      </c>
      <c r="AA35">
        <f t="shared" si="1"/>
        <v>4023.7</v>
      </c>
    </row>
    <row r="36" spans="1:27" x14ac:dyDescent="0.25">
      <c r="A36" t="s">
        <v>157</v>
      </c>
      <c r="B36" s="1" t="s">
        <v>158</v>
      </c>
      <c r="C36" t="s">
        <v>159</v>
      </c>
      <c r="D36" t="s">
        <v>101</v>
      </c>
      <c r="E36" t="str">
        <f>PROPER(TRIM(D36))</f>
        <v>Grace</v>
      </c>
      <c r="F36" t="s">
        <v>20</v>
      </c>
      <c r="G36">
        <v>19</v>
      </c>
      <c r="H36" t="str">
        <f>IF(AND(G36&gt;18, G36&lt;65), "Valid", "Invalid")</f>
        <v>Valid</v>
      </c>
      <c r="I36" t="s">
        <v>30</v>
      </c>
      <c r="J36" t="str">
        <f>PROPER(TRIM(I36))</f>
        <v>Lagos</v>
      </c>
      <c r="K36" t="s">
        <v>54</v>
      </c>
      <c r="L36" t="str">
        <f>PROPER(TRIM(K36))</f>
        <v>Home</v>
      </c>
      <c r="M36" t="s">
        <v>55</v>
      </c>
      <c r="N36" t="str">
        <f>PROPER(TRIM(M36))</f>
        <v>Chair</v>
      </c>
      <c r="O36">
        <v>489.41</v>
      </c>
      <c r="P36">
        <v>1</v>
      </c>
      <c r="Q36">
        <f>IF(P36&lt;1, 1, P36)</f>
        <v>1</v>
      </c>
      <c r="R36">
        <v>0</v>
      </c>
      <c r="S36" t="str">
        <f>IF(OR(R36&lt;0,R36&gt;100),"invalid","Valid")</f>
        <v>Valid</v>
      </c>
      <c r="T36" t="s">
        <v>64</v>
      </c>
      <c r="U36" t="str">
        <f>PROPER(TRIM(T36))</f>
        <v>Transfer</v>
      </c>
      <c r="V36" t="s">
        <v>41</v>
      </c>
      <c r="W36" t="str">
        <f t="shared" si="0"/>
        <v>Chi</v>
      </c>
      <c r="X36" t="s">
        <v>65</v>
      </c>
      <c r="Y36">
        <v>3</v>
      </c>
      <c r="Z36" t="str">
        <f>IF(D36="", "Missing", "ok")</f>
        <v>ok</v>
      </c>
      <c r="AA36">
        <f t="shared" si="1"/>
        <v>489.41</v>
      </c>
    </row>
    <row r="37" spans="1:27" x14ac:dyDescent="0.25">
      <c r="A37" t="s">
        <v>160</v>
      </c>
      <c r="B37" s="1" t="s">
        <v>161</v>
      </c>
      <c r="C37" t="s">
        <v>162</v>
      </c>
      <c r="D37" t="s">
        <v>63</v>
      </c>
      <c r="E37" t="str">
        <f>PROPER(TRIM(D37))</f>
        <v>John</v>
      </c>
      <c r="F37" t="s">
        <v>46</v>
      </c>
      <c r="G37">
        <v>64</v>
      </c>
      <c r="H37" t="str">
        <f>IF(AND(G37&gt;18, G37&lt;65), "Valid", "Invalid")</f>
        <v>Valid</v>
      </c>
      <c r="I37" t="s">
        <v>30</v>
      </c>
      <c r="J37" t="str">
        <f>PROPER(TRIM(I37))</f>
        <v>Lagos</v>
      </c>
      <c r="K37" t="s">
        <v>22</v>
      </c>
      <c r="L37" t="str">
        <f>PROPER(TRIM(K37))</f>
        <v>Fashion</v>
      </c>
      <c r="M37" t="s">
        <v>23</v>
      </c>
      <c r="N37" t="str">
        <f>PROPER(TRIM(M37))</f>
        <v>Shirt</v>
      </c>
      <c r="O37">
        <v>203.77</v>
      </c>
      <c r="P37">
        <v>9</v>
      </c>
      <c r="Q37">
        <f>IF(P37&lt;1, 1, P37)</f>
        <v>9</v>
      </c>
      <c r="R37">
        <v>120</v>
      </c>
      <c r="S37" t="str">
        <f>IF(OR(R37&lt;0,R37&gt;100),"invalid","Valid")</f>
        <v>invalid</v>
      </c>
      <c r="T37" t="s">
        <v>64</v>
      </c>
      <c r="U37" t="str">
        <f>PROPER(TRIM(T37))</f>
        <v>Transfer</v>
      </c>
      <c r="V37" t="s">
        <v>41</v>
      </c>
      <c r="W37" t="str">
        <f t="shared" si="0"/>
        <v>Chi</v>
      </c>
      <c r="X37" t="s">
        <v>65</v>
      </c>
      <c r="Y37">
        <v>3</v>
      </c>
      <c r="Z37" t="str">
        <f>IF(D37="", "Missing", "ok")</f>
        <v>ok</v>
      </c>
      <c r="AA37">
        <f t="shared" si="1"/>
        <v>-366.78599999999994</v>
      </c>
    </row>
    <row r="38" spans="1:27" x14ac:dyDescent="0.25">
      <c r="A38" t="s">
        <v>163</v>
      </c>
      <c r="B38" s="1" t="s">
        <v>164</v>
      </c>
      <c r="C38" t="s">
        <v>165</v>
      </c>
      <c r="D38" t="s">
        <v>45</v>
      </c>
      <c r="E38" t="str">
        <f>PROPER(TRIM(D38))</f>
        <v>James</v>
      </c>
      <c r="F38" t="s">
        <v>46</v>
      </c>
      <c r="G38">
        <v>8</v>
      </c>
      <c r="H38" t="str">
        <f>IF(AND(G38&gt;18, G38&lt;65), "Valid", "Invalid")</f>
        <v>Invalid</v>
      </c>
      <c r="I38" t="s">
        <v>38</v>
      </c>
      <c r="J38" t="str">
        <f>PROPER(TRIM(I38))</f>
        <v>Ph</v>
      </c>
      <c r="K38" t="s">
        <v>31</v>
      </c>
      <c r="L38" t="str">
        <f>PROPER(TRIM(K38))</f>
        <v>Sports</v>
      </c>
      <c r="M38" t="s">
        <v>32</v>
      </c>
      <c r="N38" t="str">
        <f>PROPER(TRIM(M38))</f>
        <v>Ball</v>
      </c>
      <c r="O38">
        <v>333.17</v>
      </c>
      <c r="P38">
        <v>8</v>
      </c>
      <c r="Q38">
        <f>IF(P38&lt;1, 1, P38)</f>
        <v>8</v>
      </c>
      <c r="R38">
        <v>-10</v>
      </c>
      <c r="S38" t="str">
        <f>IF(OR(R38&lt;0,R38&gt;100),"invalid","Valid")</f>
        <v>invalid</v>
      </c>
      <c r="T38" t="s">
        <v>77</v>
      </c>
      <c r="U38" t="str">
        <f>PROPER(TRIM(T38))</f>
        <v>Cash</v>
      </c>
      <c r="V38" t="s">
        <v>81</v>
      </c>
      <c r="W38" t="str">
        <f t="shared" si="0"/>
        <v>Ada</v>
      </c>
      <c r="X38" t="s">
        <v>65</v>
      </c>
      <c r="Y38">
        <v>4</v>
      </c>
      <c r="Z38" t="str">
        <f>IF(D38="", "Missing", "ok")</f>
        <v>ok</v>
      </c>
      <c r="AA38">
        <f t="shared" si="1"/>
        <v>2931.8960000000002</v>
      </c>
    </row>
    <row r="39" spans="1:27" x14ac:dyDescent="0.25">
      <c r="A39" t="s">
        <v>166</v>
      </c>
      <c r="B39" s="1" t="s">
        <v>167</v>
      </c>
      <c r="C39" t="s">
        <v>168</v>
      </c>
      <c r="D39" t="s">
        <v>63</v>
      </c>
      <c r="E39" t="str">
        <f>PROPER(TRIM(D39))</f>
        <v>John</v>
      </c>
      <c r="F39" t="s">
        <v>46</v>
      </c>
      <c r="G39">
        <v>130</v>
      </c>
      <c r="H39" t="str">
        <f>IF(AND(G39&gt;18, G39&lt;65), "Valid", "Invalid")</f>
        <v>Invalid</v>
      </c>
      <c r="I39" t="s">
        <v>86</v>
      </c>
      <c r="J39" t="str">
        <f>PROPER(TRIM(I39))</f>
        <v>Kano</v>
      </c>
      <c r="K39" t="s">
        <v>54</v>
      </c>
      <c r="L39" t="str">
        <f>PROPER(TRIM(K39))</f>
        <v>Home</v>
      </c>
      <c r="M39" t="s">
        <v>55</v>
      </c>
      <c r="N39" t="str">
        <f>PROPER(TRIM(M39))</f>
        <v>Chair</v>
      </c>
      <c r="O39">
        <v>166.86</v>
      </c>
      <c r="P39">
        <v>-2</v>
      </c>
      <c r="Q39">
        <f>IF(P39&lt;1, 1, P39)</f>
        <v>1</v>
      </c>
      <c r="R39">
        <v>5</v>
      </c>
      <c r="S39" t="str">
        <f>IF(OR(R39&lt;0,R39&gt;100),"invalid","Valid")</f>
        <v>Valid</v>
      </c>
      <c r="T39" t="s">
        <v>59</v>
      </c>
      <c r="U39" t="str">
        <f>PROPER(TRIM(T39))</f>
        <v>Mobile Money</v>
      </c>
      <c r="V39" t="s">
        <v>41</v>
      </c>
      <c r="W39" t="str">
        <f t="shared" si="0"/>
        <v>Chi</v>
      </c>
      <c r="X39" t="s">
        <v>65</v>
      </c>
      <c r="Y39">
        <v>3</v>
      </c>
      <c r="Z39" t="str">
        <f>IF(D39="", "Missing", "ok")</f>
        <v>ok</v>
      </c>
      <c r="AA39">
        <f t="shared" si="1"/>
        <v>158.517</v>
      </c>
    </row>
    <row r="40" spans="1:27" x14ac:dyDescent="0.25">
      <c r="A40" t="s">
        <v>169</v>
      </c>
      <c r="B40" s="1" t="s">
        <v>170</v>
      </c>
      <c r="C40" t="s">
        <v>171</v>
      </c>
      <c r="D40" t="s">
        <v>63</v>
      </c>
      <c r="E40" t="str">
        <f>PROPER(TRIM(D40))</f>
        <v>John</v>
      </c>
      <c r="F40" t="s">
        <v>46</v>
      </c>
      <c r="G40">
        <v>19</v>
      </c>
      <c r="H40" t="str">
        <f>IF(AND(G40&gt;18, G40&lt;65), "Valid", "Invalid")</f>
        <v>Valid</v>
      </c>
      <c r="I40" t="s">
        <v>86</v>
      </c>
      <c r="J40" t="str">
        <f>PROPER(TRIM(I40))</f>
        <v>Kano</v>
      </c>
      <c r="K40" t="s">
        <v>121</v>
      </c>
      <c r="L40" t="str">
        <f>PROPER(TRIM(K40))</f>
        <v>Beauty</v>
      </c>
      <c r="M40" t="s">
        <v>122</v>
      </c>
      <c r="N40" t="str">
        <f>PROPER(TRIM(M40))</f>
        <v>Cream</v>
      </c>
      <c r="O40">
        <v>442.23</v>
      </c>
      <c r="P40">
        <v>-2</v>
      </c>
      <c r="Q40">
        <f>IF(P40&lt;1, 1, P40)</f>
        <v>1</v>
      </c>
      <c r="R40">
        <v>120</v>
      </c>
      <c r="S40" t="str">
        <f>IF(OR(R40&lt;0,R40&gt;100),"invalid","Valid")</f>
        <v>invalid</v>
      </c>
      <c r="T40" t="s">
        <v>24</v>
      </c>
      <c r="U40" t="str">
        <f>PROPER(TRIM(T40))</f>
        <v>Pos</v>
      </c>
      <c r="V40" t="s">
        <v>41</v>
      </c>
      <c r="W40" t="str">
        <f t="shared" si="0"/>
        <v>Chi</v>
      </c>
      <c r="X40" t="s">
        <v>65</v>
      </c>
      <c r="Y40">
        <v>1</v>
      </c>
      <c r="Z40" t="str">
        <f>IF(D40="", "Missing", "ok")</f>
        <v>ok</v>
      </c>
      <c r="AA40">
        <f t="shared" si="1"/>
        <v>-88.445999999999984</v>
      </c>
    </row>
    <row r="41" spans="1:27" x14ac:dyDescent="0.25">
      <c r="A41" t="s">
        <v>172</v>
      </c>
      <c r="B41" s="1" t="s">
        <v>51</v>
      </c>
      <c r="C41" t="s">
        <v>173</v>
      </c>
      <c r="D41" t="s">
        <v>45</v>
      </c>
      <c r="E41" t="str">
        <f>PROPER(TRIM(D41))</f>
        <v>James</v>
      </c>
      <c r="F41" t="s">
        <v>20</v>
      </c>
      <c r="G41">
        <v>8</v>
      </c>
      <c r="H41" t="str">
        <f>IF(AND(G41&gt;18, G41&lt;65), "Valid", "Invalid")</f>
        <v>Invalid</v>
      </c>
      <c r="I41" t="s">
        <v>86</v>
      </c>
      <c r="J41" t="str">
        <f>PROPER(TRIM(I41))</f>
        <v>Kano</v>
      </c>
      <c r="K41" t="s">
        <v>87</v>
      </c>
      <c r="L41" t="str">
        <f>PROPER(TRIM(K41))</f>
        <v>Groceris</v>
      </c>
      <c r="M41" t="s">
        <v>49</v>
      </c>
      <c r="N41" t="str">
        <f>PROPER(TRIM(M41))</f>
        <v>Rice</v>
      </c>
      <c r="O41">
        <v>189.02</v>
      </c>
      <c r="P41">
        <v>7</v>
      </c>
      <c r="Q41">
        <f>IF(P41&lt;1, 1, P41)</f>
        <v>7</v>
      </c>
      <c r="R41">
        <v>5</v>
      </c>
      <c r="S41" t="str">
        <f>IF(OR(R41&lt;0,R41&gt;100),"invalid","Valid")</f>
        <v>Valid</v>
      </c>
      <c r="T41" t="s">
        <v>59</v>
      </c>
      <c r="U41" t="str">
        <f>PROPER(TRIM(T41))</f>
        <v>Mobile Money</v>
      </c>
      <c r="V41" t="s">
        <v>91</v>
      </c>
      <c r="W41" t="str">
        <f t="shared" si="0"/>
        <v>Ben</v>
      </c>
      <c r="X41" t="s">
        <v>33</v>
      </c>
      <c r="Y41">
        <v>2</v>
      </c>
      <c r="Z41" t="str">
        <f>IF(D41="", "Missing", "ok")</f>
        <v>ok</v>
      </c>
      <c r="AA41">
        <f t="shared" si="1"/>
        <v>1256.9829999999999</v>
      </c>
    </row>
    <row r="42" spans="1:27" x14ac:dyDescent="0.25">
      <c r="A42" t="s">
        <v>174</v>
      </c>
      <c r="B42" s="1" t="s">
        <v>175</v>
      </c>
      <c r="C42" t="s">
        <v>176</v>
      </c>
      <c r="D42" t="s">
        <v>117</v>
      </c>
      <c r="E42" t="str">
        <f>PROPER(TRIM(D42))</f>
        <v>David</v>
      </c>
      <c r="F42" t="s">
        <v>20</v>
      </c>
      <c r="G42">
        <v>55</v>
      </c>
      <c r="H42" t="str">
        <f>IF(AND(G42&gt;18, G42&lt;65), "Valid", "Invalid")</f>
        <v>Valid</v>
      </c>
      <c r="I42" t="s">
        <v>70</v>
      </c>
      <c r="J42" t="str">
        <f>PROPER(TRIM(I42))</f>
        <v>Abuja</v>
      </c>
      <c r="K42" t="s">
        <v>87</v>
      </c>
      <c r="L42" t="str">
        <f>PROPER(TRIM(K42))</f>
        <v>Groceris</v>
      </c>
      <c r="M42" t="s">
        <v>49</v>
      </c>
      <c r="N42" t="str">
        <f>PROPER(TRIM(M42))</f>
        <v>Rice</v>
      </c>
      <c r="O42">
        <v>393.19</v>
      </c>
      <c r="P42">
        <v>3</v>
      </c>
      <c r="Q42">
        <f>IF(P42&lt;1, 1, P42)</f>
        <v>3</v>
      </c>
      <c r="R42">
        <v>-10</v>
      </c>
      <c r="S42" t="str">
        <f>IF(OR(R42&lt;0,R42&gt;100),"invalid","Valid")</f>
        <v>invalid</v>
      </c>
      <c r="T42" t="s">
        <v>77</v>
      </c>
      <c r="U42" t="str">
        <f>PROPER(TRIM(T42))</f>
        <v>Cash</v>
      </c>
      <c r="V42" t="s">
        <v>91</v>
      </c>
      <c r="W42" t="str">
        <f t="shared" si="0"/>
        <v>Ben</v>
      </c>
      <c r="X42" t="s">
        <v>33</v>
      </c>
      <c r="Y42">
        <v>5</v>
      </c>
      <c r="Z42" t="str">
        <f>IF(D42="", "Missing", "ok")</f>
        <v>ok</v>
      </c>
      <c r="AA42">
        <f t="shared" si="1"/>
        <v>1297.527</v>
      </c>
    </row>
    <row r="43" spans="1:27" x14ac:dyDescent="0.25">
      <c r="A43" t="s">
        <v>177</v>
      </c>
      <c r="B43" s="1" t="s">
        <v>178</v>
      </c>
      <c r="C43" t="s">
        <v>179</v>
      </c>
      <c r="D43" t="s">
        <v>63</v>
      </c>
      <c r="E43" t="str">
        <f>PROPER(TRIM(D43))</f>
        <v>John</v>
      </c>
      <c r="F43" t="s">
        <v>20</v>
      </c>
      <c r="G43">
        <v>8</v>
      </c>
      <c r="H43" t="str">
        <f>IF(AND(G43&gt;18, G43&lt;65), "Valid", "Invalid")</f>
        <v>Invalid</v>
      </c>
      <c r="I43" t="s">
        <v>86</v>
      </c>
      <c r="J43" t="str">
        <f>PROPER(TRIM(I43))</f>
        <v>Kano</v>
      </c>
      <c r="K43" t="s">
        <v>22</v>
      </c>
      <c r="L43" t="str">
        <f>PROPER(TRIM(K43))</f>
        <v>Fashion</v>
      </c>
      <c r="M43" t="s">
        <v>23</v>
      </c>
      <c r="N43" t="str">
        <f>PROPER(TRIM(M43))</f>
        <v>Shirt</v>
      </c>
      <c r="O43">
        <v>191.36</v>
      </c>
      <c r="P43">
        <v>8</v>
      </c>
      <c r="Q43">
        <f>IF(P43&lt;1, 1, P43)</f>
        <v>8</v>
      </c>
      <c r="R43">
        <v>-10</v>
      </c>
      <c r="S43" t="str">
        <f>IF(OR(R43&lt;0,R43&gt;100),"invalid","Valid")</f>
        <v>invalid</v>
      </c>
      <c r="T43" t="s">
        <v>64</v>
      </c>
      <c r="U43" t="str">
        <f>PROPER(TRIM(T43))</f>
        <v>Transfer</v>
      </c>
      <c r="V43" t="s">
        <v>41</v>
      </c>
      <c r="W43" t="str">
        <f t="shared" si="0"/>
        <v>Chi</v>
      </c>
      <c r="X43" t="s">
        <v>65</v>
      </c>
      <c r="Y43">
        <v>4</v>
      </c>
      <c r="Z43" t="str">
        <f>IF(D43="", "Missing", "ok")</f>
        <v>ok</v>
      </c>
      <c r="AA43">
        <f t="shared" si="1"/>
        <v>1683.9680000000003</v>
      </c>
    </row>
    <row r="44" spans="1:27" x14ac:dyDescent="0.25">
      <c r="A44" t="s">
        <v>180</v>
      </c>
      <c r="B44" s="1" t="s">
        <v>181</v>
      </c>
      <c r="C44" t="s">
        <v>182</v>
      </c>
      <c r="D44" t="s">
        <v>45</v>
      </c>
      <c r="E44" t="str">
        <f>PROPER(TRIM(D44))</f>
        <v>James</v>
      </c>
      <c r="F44" t="s">
        <v>46</v>
      </c>
      <c r="G44">
        <v>51</v>
      </c>
      <c r="H44" t="str">
        <f>IF(AND(G44&gt;18, G44&lt;65), "Valid", "Invalid")</f>
        <v>Valid</v>
      </c>
      <c r="I44" t="s">
        <v>30</v>
      </c>
      <c r="J44" t="str">
        <f>PROPER(TRIM(I44))</f>
        <v>Lagos</v>
      </c>
      <c r="K44" t="s">
        <v>54</v>
      </c>
      <c r="L44" t="str">
        <f>PROPER(TRIM(K44))</f>
        <v>Home</v>
      </c>
      <c r="M44" t="s">
        <v>55</v>
      </c>
      <c r="N44" t="str">
        <f>PROPER(TRIM(M44))</f>
        <v>Chair</v>
      </c>
      <c r="O44">
        <v>14.38</v>
      </c>
      <c r="P44">
        <v>-2</v>
      </c>
      <c r="Q44">
        <f>IF(P44&lt;1, 1, P44)</f>
        <v>1</v>
      </c>
      <c r="R44">
        <v>0</v>
      </c>
      <c r="S44" t="str">
        <f>IF(OR(R44&lt;0,R44&gt;100),"invalid","Valid")</f>
        <v>Valid</v>
      </c>
      <c r="T44" t="s">
        <v>64</v>
      </c>
      <c r="U44" t="str">
        <f>PROPER(TRIM(T44))</f>
        <v>Transfer</v>
      </c>
      <c r="V44" t="s">
        <v>91</v>
      </c>
      <c r="W44" t="str">
        <f t="shared" si="0"/>
        <v>Ben</v>
      </c>
      <c r="X44" t="s">
        <v>65</v>
      </c>
      <c r="Y44">
        <v>1</v>
      </c>
      <c r="Z44" t="str">
        <f>IF(D44="", "Missing", "ok")</f>
        <v>ok</v>
      </c>
      <c r="AA44">
        <f t="shared" si="1"/>
        <v>14.38</v>
      </c>
    </row>
    <row r="45" spans="1:27" x14ac:dyDescent="0.25">
      <c r="A45" t="s">
        <v>183</v>
      </c>
      <c r="B45" s="1" t="s">
        <v>184</v>
      </c>
      <c r="C45" t="s">
        <v>185</v>
      </c>
      <c r="D45" t="s">
        <v>19</v>
      </c>
      <c r="E45" t="str">
        <f>PROPER(TRIM(D45))</f>
        <v>Peter</v>
      </c>
      <c r="F45" t="s">
        <v>46</v>
      </c>
      <c r="G45">
        <v>8</v>
      </c>
      <c r="H45" t="str">
        <f>IF(AND(G45&gt;18, G45&lt;65), "Valid", "Invalid")</f>
        <v>Invalid</v>
      </c>
      <c r="I45" t="s">
        <v>38</v>
      </c>
      <c r="J45" t="str">
        <f>PROPER(TRIM(I45))</f>
        <v>Ph</v>
      </c>
      <c r="K45" t="s">
        <v>54</v>
      </c>
      <c r="L45" t="str">
        <f>PROPER(TRIM(K45))</f>
        <v>Home</v>
      </c>
      <c r="M45" t="s">
        <v>55</v>
      </c>
      <c r="N45" t="str">
        <f>PROPER(TRIM(M45))</f>
        <v>Chair</v>
      </c>
      <c r="O45">
        <v>346.25</v>
      </c>
      <c r="P45">
        <v>4</v>
      </c>
      <c r="Q45">
        <f>IF(P45&lt;1, 1, P45)</f>
        <v>4</v>
      </c>
      <c r="R45">
        <v>120</v>
      </c>
      <c r="S45" t="str">
        <f>IF(OR(R45&lt;0,R45&gt;100),"invalid","Valid")</f>
        <v>invalid</v>
      </c>
      <c r="T45" t="s">
        <v>59</v>
      </c>
      <c r="U45" t="str">
        <f>PROPER(TRIM(T45))</f>
        <v>Mobile Money</v>
      </c>
      <c r="V45" t="s">
        <v>91</v>
      </c>
      <c r="W45" t="str">
        <f t="shared" si="0"/>
        <v>Ben</v>
      </c>
      <c r="X45" t="s">
        <v>33</v>
      </c>
      <c r="Y45">
        <v>4</v>
      </c>
      <c r="Z45" t="str">
        <f>IF(D45="", "Missing", "ok")</f>
        <v>ok</v>
      </c>
      <c r="AA45">
        <f t="shared" si="1"/>
        <v>-276.99999999999994</v>
      </c>
    </row>
    <row r="46" spans="1:27" x14ac:dyDescent="0.25">
      <c r="A46" t="s">
        <v>186</v>
      </c>
      <c r="B46" s="1" t="s">
        <v>187</v>
      </c>
      <c r="C46" t="s">
        <v>188</v>
      </c>
      <c r="D46" t="s">
        <v>45</v>
      </c>
      <c r="E46" t="str">
        <f>PROPER(TRIM(D46))</f>
        <v>James</v>
      </c>
      <c r="F46" t="s">
        <v>20</v>
      </c>
      <c r="G46">
        <v>8</v>
      </c>
      <c r="H46" t="str">
        <f>IF(AND(G46&gt;18, G46&lt;65), "Valid", "Invalid")</f>
        <v>Invalid</v>
      </c>
      <c r="I46" t="s">
        <v>86</v>
      </c>
      <c r="J46" t="str">
        <f>PROPER(TRIM(I46))</f>
        <v>Kano</v>
      </c>
      <c r="K46" t="s">
        <v>22</v>
      </c>
      <c r="L46" t="str">
        <f>PROPER(TRIM(K46))</f>
        <v>Fashion</v>
      </c>
      <c r="M46" t="s">
        <v>23</v>
      </c>
      <c r="N46" t="str">
        <f>PROPER(TRIM(M46))</f>
        <v>Shirt</v>
      </c>
      <c r="O46">
        <v>208.01</v>
      </c>
      <c r="P46">
        <v>-2</v>
      </c>
      <c r="Q46">
        <f>IF(P46&lt;1, 1, P46)</f>
        <v>1</v>
      </c>
      <c r="R46">
        <v>120</v>
      </c>
      <c r="S46" t="str">
        <f>IF(OR(R46&lt;0,R46&gt;100),"invalid","Valid")</f>
        <v>invalid</v>
      </c>
      <c r="T46" t="s">
        <v>59</v>
      </c>
      <c r="U46" t="str">
        <f>PROPER(TRIM(T46))</f>
        <v>Mobile Money</v>
      </c>
      <c r="V46" t="s">
        <v>41</v>
      </c>
      <c r="W46" t="str">
        <f t="shared" si="0"/>
        <v>Chi</v>
      </c>
      <c r="X46" t="s">
        <v>26</v>
      </c>
      <c r="Y46">
        <v>3</v>
      </c>
      <c r="Z46" t="str">
        <f>IF(D46="", "Missing", "ok")</f>
        <v>ok</v>
      </c>
      <c r="AA46">
        <f t="shared" si="1"/>
        <v>-41.60199999999999</v>
      </c>
    </row>
    <row r="47" spans="1:27" x14ac:dyDescent="0.25">
      <c r="A47" t="s">
        <v>189</v>
      </c>
      <c r="B47" s="1" t="s">
        <v>190</v>
      </c>
      <c r="C47" t="s">
        <v>191</v>
      </c>
      <c r="D47" t="s">
        <v>37</v>
      </c>
      <c r="E47" t="str">
        <f>PROPER(TRIM(D47))</f>
        <v>Aisha</v>
      </c>
      <c r="F47" t="s">
        <v>46</v>
      </c>
      <c r="G47">
        <v>35</v>
      </c>
      <c r="H47" t="str">
        <f>IF(AND(G47&gt;18, G47&lt;65), "Valid", "Invalid")</f>
        <v>Valid</v>
      </c>
      <c r="I47" t="s">
        <v>30</v>
      </c>
      <c r="J47" t="str">
        <f>PROPER(TRIM(I47))</f>
        <v>Lagos</v>
      </c>
      <c r="K47" t="s">
        <v>22</v>
      </c>
      <c r="L47" t="str">
        <f>PROPER(TRIM(K47))</f>
        <v>Fashion</v>
      </c>
      <c r="M47" t="s">
        <v>23</v>
      </c>
      <c r="N47" t="str">
        <f>PROPER(TRIM(M47))</f>
        <v>Shirt</v>
      </c>
      <c r="O47">
        <v>81.69</v>
      </c>
      <c r="P47">
        <v>5</v>
      </c>
      <c r="Q47">
        <f>IF(P47&lt;1, 1, P47)</f>
        <v>5</v>
      </c>
      <c r="R47">
        <v>10</v>
      </c>
      <c r="S47" t="str">
        <f>IF(OR(R47&lt;0,R47&gt;100),"invalid","Valid")</f>
        <v>Valid</v>
      </c>
      <c r="U47" t="str">
        <f>PROPER(TRIM(T47))</f>
        <v/>
      </c>
      <c r="V47" t="s">
        <v>41</v>
      </c>
      <c r="W47" t="str">
        <f t="shared" si="0"/>
        <v>Chi</v>
      </c>
      <c r="X47" t="s">
        <v>65</v>
      </c>
      <c r="Y47">
        <v>5</v>
      </c>
      <c r="Z47" t="str">
        <f>IF(D47="", "Missing", "ok")</f>
        <v>ok</v>
      </c>
      <c r="AA47">
        <f t="shared" si="1"/>
        <v>367.60500000000002</v>
      </c>
    </row>
    <row r="48" spans="1:27" x14ac:dyDescent="0.25">
      <c r="A48" t="s">
        <v>192</v>
      </c>
      <c r="B48" s="1" t="s">
        <v>193</v>
      </c>
      <c r="C48" t="s">
        <v>194</v>
      </c>
      <c r="D48" t="s">
        <v>19</v>
      </c>
      <c r="E48" t="str">
        <f>PROPER(TRIM(D48))</f>
        <v>Peter</v>
      </c>
      <c r="F48" t="s">
        <v>46</v>
      </c>
      <c r="G48">
        <v>31</v>
      </c>
      <c r="H48" t="str">
        <f>IF(AND(G48&gt;18, G48&lt;65), "Valid", "Invalid")</f>
        <v>Valid</v>
      </c>
      <c r="I48" t="s">
        <v>47</v>
      </c>
      <c r="J48" t="str">
        <f>PROPER(TRIM(I48))</f>
        <v>Enugu</v>
      </c>
      <c r="K48" t="s">
        <v>22</v>
      </c>
      <c r="L48" t="str">
        <f>PROPER(TRIM(K48))</f>
        <v>Fashion</v>
      </c>
      <c r="M48" t="s">
        <v>23</v>
      </c>
      <c r="N48" t="str">
        <f>PROPER(TRIM(M48))</f>
        <v>Shirt</v>
      </c>
      <c r="O48">
        <v>259.49</v>
      </c>
      <c r="P48">
        <v>10</v>
      </c>
      <c r="Q48">
        <f>IF(P48&lt;1, 1, P48)</f>
        <v>10</v>
      </c>
      <c r="R48">
        <v>5</v>
      </c>
      <c r="S48" t="str">
        <f>IF(OR(R48&lt;0,R48&gt;100),"invalid","Valid")</f>
        <v>Valid</v>
      </c>
      <c r="T48" t="s">
        <v>24</v>
      </c>
      <c r="U48" t="str">
        <f>PROPER(TRIM(T48))</f>
        <v>Pos</v>
      </c>
      <c r="V48" t="s">
        <v>25</v>
      </c>
      <c r="W48" t="str">
        <f t="shared" si="0"/>
        <v>Dan</v>
      </c>
      <c r="X48" t="s">
        <v>26</v>
      </c>
      <c r="Z48" t="str">
        <f>IF(D48="", "Missing", "ok")</f>
        <v>ok</v>
      </c>
      <c r="AA48">
        <f t="shared" si="1"/>
        <v>2465.1549999999997</v>
      </c>
    </row>
    <row r="49" spans="1:27" x14ac:dyDescent="0.25">
      <c r="A49" t="s">
        <v>195</v>
      </c>
      <c r="B49" s="1" t="s">
        <v>196</v>
      </c>
      <c r="C49" t="s">
        <v>197</v>
      </c>
      <c r="D49" t="s">
        <v>37</v>
      </c>
      <c r="E49" t="str">
        <f>PROPER(TRIM(D49))</f>
        <v>Aisha</v>
      </c>
      <c r="F49" t="s">
        <v>46</v>
      </c>
      <c r="G49">
        <v>130</v>
      </c>
      <c r="H49" t="str">
        <f>IF(AND(G49&gt;18, G49&lt;65), "Valid", "Invalid")</f>
        <v>Invalid</v>
      </c>
      <c r="I49" t="s">
        <v>53</v>
      </c>
      <c r="J49" t="str">
        <f>PROPER(TRIM(I49))</f>
        <v>Lagos</v>
      </c>
      <c r="K49" t="s">
        <v>22</v>
      </c>
      <c r="L49" t="str">
        <f>PROPER(TRIM(K49))</f>
        <v>Fashion</v>
      </c>
      <c r="M49" t="s">
        <v>23</v>
      </c>
      <c r="N49" t="str">
        <f>PROPER(TRIM(M49))</f>
        <v>Shirt</v>
      </c>
      <c r="O49">
        <v>314.5</v>
      </c>
      <c r="P49">
        <v>-2</v>
      </c>
      <c r="Q49">
        <f>IF(P49&lt;1, 1, P49)</f>
        <v>1</v>
      </c>
      <c r="R49">
        <v>0</v>
      </c>
      <c r="S49" t="str">
        <f>IF(OR(R49&lt;0,R49&gt;100),"invalid","Valid")</f>
        <v>Valid</v>
      </c>
      <c r="T49" t="s">
        <v>64</v>
      </c>
      <c r="U49" t="str">
        <f>PROPER(TRIM(T49))</f>
        <v>Transfer</v>
      </c>
      <c r="V49" t="s">
        <v>81</v>
      </c>
      <c r="W49" t="str">
        <f t="shared" si="0"/>
        <v>Ada</v>
      </c>
      <c r="X49" t="s">
        <v>33</v>
      </c>
      <c r="Y49">
        <v>1</v>
      </c>
      <c r="Z49" t="str">
        <f>IF(D49="", "Missing", "ok")</f>
        <v>ok</v>
      </c>
      <c r="AA49">
        <f t="shared" si="1"/>
        <v>314.5</v>
      </c>
    </row>
    <row r="50" spans="1:27" x14ac:dyDescent="0.25">
      <c r="A50" t="s">
        <v>198</v>
      </c>
      <c r="B50" s="1" t="s">
        <v>199</v>
      </c>
      <c r="C50" t="s">
        <v>200</v>
      </c>
      <c r="D50" t="s">
        <v>37</v>
      </c>
      <c r="E50" t="str">
        <f>PROPER(TRIM(D50))</f>
        <v>Aisha</v>
      </c>
      <c r="F50" t="s">
        <v>46</v>
      </c>
      <c r="G50">
        <v>43</v>
      </c>
      <c r="H50" t="str">
        <f>IF(AND(G50&gt;18, G50&lt;65), "Valid", "Invalid")</f>
        <v>Valid</v>
      </c>
      <c r="I50" t="s">
        <v>30</v>
      </c>
      <c r="J50" t="str">
        <f>PROPER(TRIM(I50))</f>
        <v>Lagos</v>
      </c>
      <c r="K50" t="s">
        <v>121</v>
      </c>
      <c r="L50" t="str">
        <f>PROPER(TRIM(K50))</f>
        <v>Beauty</v>
      </c>
      <c r="M50" t="s">
        <v>122</v>
      </c>
      <c r="N50" t="str">
        <f>PROPER(TRIM(M50))</f>
        <v>Cream</v>
      </c>
      <c r="O50">
        <v>55.24</v>
      </c>
      <c r="P50">
        <v>-2</v>
      </c>
      <c r="Q50">
        <f>IF(P50&lt;1, 1, P50)</f>
        <v>1</v>
      </c>
      <c r="R50">
        <v>10</v>
      </c>
      <c r="S50" t="str">
        <f>IF(OR(R50&lt;0,R50&gt;100),"invalid","Valid")</f>
        <v>Valid</v>
      </c>
      <c r="U50" t="str">
        <f>PROPER(TRIM(T50))</f>
        <v/>
      </c>
      <c r="V50" t="s">
        <v>25</v>
      </c>
      <c r="W50" t="str">
        <f t="shared" si="0"/>
        <v>Dan</v>
      </c>
      <c r="X50" t="s">
        <v>33</v>
      </c>
      <c r="Y50">
        <v>4</v>
      </c>
      <c r="Z50" t="str">
        <f>IF(D50="", "Missing", "ok")</f>
        <v>ok</v>
      </c>
      <c r="AA50">
        <f t="shared" si="1"/>
        <v>49.716000000000001</v>
      </c>
    </row>
    <row r="51" spans="1:27" x14ac:dyDescent="0.25">
      <c r="A51" t="s">
        <v>201</v>
      </c>
      <c r="B51" s="1" t="s">
        <v>202</v>
      </c>
      <c r="C51" t="s">
        <v>203</v>
      </c>
      <c r="D51" t="s">
        <v>69</v>
      </c>
      <c r="E51" t="str">
        <f>PROPER(TRIM(D51))</f>
        <v>Mary</v>
      </c>
      <c r="F51" t="s">
        <v>20</v>
      </c>
      <c r="G51">
        <v>8</v>
      </c>
      <c r="H51" t="str">
        <f>IF(AND(G51&gt;18, G51&lt;65), "Valid", "Invalid")</f>
        <v>Invalid</v>
      </c>
      <c r="I51" t="s">
        <v>53</v>
      </c>
      <c r="J51" t="str">
        <f>PROPER(TRIM(I51))</f>
        <v>Lagos</v>
      </c>
      <c r="K51" t="s">
        <v>31</v>
      </c>
      <c r="L51" t="str">
        <f>PROPER(TRIM(K51))</f>
        <v>Sports</v>
      </c>
      <c r="M51" t="s">
        <v>32</v>
      </c>
      <c r="N51" t="str">
        <f>PROPER(TRIM(M51))</f>
        <v>Ball</v>
      </c>
      <c r="O51">
        <v>69.56</v>
      </c>
      <c r="P51">
        <v>-2</v>
      </c>
      <c r="Q51">
        <f>IF(P51&lt;1, 1, P51)</f>
        <v>1</v>
      </c>
      <c r="R51">
        <v>0</v>
      </c>
      <c r="S51" t="str">
        <f>IF(OR(R51&lt;0,R51&gt;100),"invalid","Valid")</f>
        <v>Valid</v>
      </c>
      <c r="T51" t="s">
        <v>24</v>
      </c>
      <c r="U51" t="str">
        <f>PROPER(TRIM(T51))</f>
        <v>Pos</v>
      </c>
      <c r="V51" t="s">
        <v>91</v>
      </c>
      <c r="W51" t="str">
        <f t="shared" si="0"/>
        <v>Ben</v>
      </c>
      <c r="X51" t="s">
        <v>82</v>
      </c>
      <c r="Y51">
        <v>4</v>
      </c>
      <c r="Z51" t="str">
        <f>IF(D51="", "Missing", "ok")</f>
        <v>ok</v>
      </c>
      <c r="AA51">
        <f t="shared" si="1"/>
        <v>69.56</v>
      </c>
    </row>
    <row r="52" spans="1:27" x14ac:dyDescent="0.25">
      <c r="A52" t="s">
        <v>204</v>
      </c>
      <c r="B52" s="1" t="s">
        <v>205</v>
      </c>
      <c r="C52" t="s">
        <v>206</v>
      </c>
      <c r="D52" t="s">
        <v>117</v>
      </c>
      <c r="E52" t="str">
        <f>PROPER(TRIM(D52))</f>
        <v>David</v>
      </c>
      <c r="F52" t="s">
        <v>46</v>
      </c>
      <c r="G52">
        <v>38</v>
      </c>
      <c r="H52" t="str">
        <f>IF(AND(G52&gt;18, G52&lt;65), "Valid", "Invalid")</f>
        <v>Valid</v>
      </c>
      <c r="I52" t="s">
        <v>21</v>
      </c>
      <c r="J52" t="str">
        <f>PROPER(TRIM(I52))</f>
        <v>Lagos</v>
      </c>
      <c r="K52" t="s">
        <v>39</v>
      </c>
      <c r="L52" t="str">
        <f>PROPER(TRIM(K52))</f>
        <v>Electronics</v>
      </c>
      <c r="M52" t="s">
        <v>40</v>
      </c>
      <c r="N52" t="str">
        <f>PROPER(TRIM(M52))</f>
        <v>Phone</v>
      </c>
      <c r="O52">
        <v>251.91</v>
      </c>
      <c r="P52">
        <v>2</v>
      </c>
      <c r="Q52">
        <f>IF(P52&lt;1, 1, P52)</f>
        <v>2</v>
      </c>
      <c r="R52">
        <v>-10</v>
      </c>
      <c r="S52" t="str">
        <f>IF(OR(R52&lt;0,R52&gt;100),"invalid","Valid")</f>
        <v>invalid</v>
      </c>
      <c r="T52" t="s">
        <v>24</v>
      </c>
      <c r="U52" t="str">
        <f>PROPER(TRIM(T52))</f>
        <v>Pos</v>
      </c>
      <c r="V52" t="s">
        <v>25</v>
      </c>
      <c r="W52" t="str">
        <f t="shared" si="0"/>
        <v>Dan</v>
      </c>
      <c r="X52" t="s">
        <v>26</v>
      </c>
      <c r="Y52">
        <v>2</v>
      </c>
      <c r="Z52" t="str">
        <f>IF(D52="", "Missing", "ok")</f>
        <v>ok</v>
      </c>
      <c r="AA52">
        <f t="shared" si="1"/>
        <v>554.202</v>
      </c>
    </row>
    <row r="53" spans="1:27" x14ac:dyDescent="0.25">
      <c r="A53" t="s">
        <v>207</v>
      </c>
      <c r="B53" s="1" t="s">
        <v>208</v>
      </c>
      <c r="C53" t="s">
        <v>209</v>
      </c>
      <c r="D53" t="s">
        <v>45</v>
      </c>
      <c r="E53" t="str">
        <f>PROPER(TRIM(D53))</f>
        <v>James</v>
      </c>
      <c r="F53" t="s">
        <v>20</v>
      </c>
      <c r="G53">
        <v>130</v>
      </c>
      <c r="H53" t="str">
        <f>IF(AND(G53&gt;18, G53&lt;65), "Valid", "Invalid")</f>
        <v>Invalid</v>
      </c>
      <c r="I53" t="s">
        <v>53</v>
      </c>
      <c r="J53" t="str">
        <f>PROPER(TRIM(I53))</f>
        <v>Lagos</v>
      </c>
      <c r="K53" t="s">
        <v>87</v>
      </c>
      <c r="L53" t="str">
        <f>PROPER(TRIM(K53))</f>
        <v>Groceris</v>
      </c>
      <c r="M53" t="s">
        <v>49</v>
      </c>
      <c r="N53" t="str">
        <f>PROPER(TRIM(M53))</f>
        <v>Rice</v>
      </c>
      <c r="O53">
        <v>45.83</v>
      </c>
      <c r="P53">
        <v>10</v>
      </c>
      <c r="Q53">
        <f>IF(P53&lt;1, 1, P53)</f>
        <v>10</v>
      </c>
      <c r="R53">
        <v>5</v>
      </c>
      <c r="S53" t="str">
        <f>IF(OR(R53&lt;0,R53&gt;100),"invalid","Valid")</f>
        <v>Valid</v>
      </c>
      <c r="U53" t="str">
        <f>PROPER(TRIM(T53))</f>
        <v/>
      </c>
      <c r="V53" t="s">
        <v>41</v>
      </c>
      <c r="W53" t="str">
        <f t="shared" si="0"/>
        <v>Chi</v>
      </c>
      <c r="X53" t="s">
        <v>82</v>
      </c>
      <c r="Y53">
        <v>5</v>
      </c>
      <c r="Z53" t="str">
        <f>IF(D53="", "Missing", "ok")</f>
        <v>ok</v>
      </c>
      <c r="AA53">
        <f t="shared" si="1"/>
        <v>435.38499999999993</v>
      </c>
    </row>
    <row r="54" spans="1:27" x14ac:dyDescent="0.25">
      <c r="A54" t="s">
        <v>210</v>
      </c>
      <c r="B54" s="1" t="s">
        <v>211</v>
      </c>
      <c r="C54" t="s">
        <v>212</v>
      </c>
      <c r="E54" t="str">
        <f>PROPER(TRIM(D54))</f>
        <v/>
      </c>
      <c r="F54" t="s">
        <v>20</v>
      </c>
      <c r="G54">
        <v>130</v>
      </c>
      <c r="H54" t="str">
        <f>IF(AND(G54&gt;18, G54&lt;65), "Valid", "Invalid")</f>
        <v>Invalid</v>
      </c>
      <c r="I54" t="s">
        <v>21</v>
      </c>
      <c r="J54" t="str">
        <f>PROPER(TRIM(I54))</f>
        <v>Lagos</v>
      </c>
      <c r="K54" t="s">
        <v>31</v>
      </c>
      <c r="L54" t="str">
        <f>PROPER(TRIM(K54))</f>
        <v>Sports</v>
      </c>
      <c r="M54" t="s">
        <v>32</v>
      </c>
      <c r="N54" t="str">
        <f>PROPER(TRIM(M54))</f>
        <v>Ball</v>
      </c>
      <c r="O54">
        <v>296.27</v>
      </c>
      <c r="P54">
        <v>-2</v>
      </c>
      <c r="Q54">
        <f>IF(P54&lt;1, 1, P54)</f>
        <v>1</v>
      </c>
      <c r="R54">
        <v>10</v>
      </c>
      <c r="S54" t="str">
        <f>IF(OR(R54&lt;0,R54&gt;100),"invalid","Valid")</f>
        <v>Valid</v>
      </c>
      <c r="T54" t="s">
        <v>64</v>
      </c>
      <c r="U54" t="str">
        <f>PROPER(TRIM(T54))</f>
        <v>Transfer</v>
      </c>
      <c r="V54" t="s">
        <v>81</v>
      </c>
      <c r="W54" t="str">
        <f t="shared" si="0"/>
        <v>Ada</v>
      </c>
      <c r="X54" t="s">
        <v>33</v>
      </c>
      <c r="Y54">
        <v>3</v>
      </c>
      <c r="Z54" t="str">
        <f>IF(D54="", "Missing", "ok")</f>
        <v>Missing</v>
      </c>
      <c r="AA54">
        <f t="shared" si="1"/>
        <v>266.64299999999997</v>
      </c>
    </row>
    <row r="55" spans="1:27" x14ac:dyDescent="0.25">
      <c r="A55" t="s">
        <v>213</v>
      </c>
      <c r="B55" s="1" t="s">
        <v>214</v>
      </c>
      <c r="C55" t="s">
        <v>215</v>
      </c>
      <c r="D55" t="s">
        <v>19</v>
      </c>
      <c r="E55" t="str">
        <f>PROPER(TRIM(D55))</f>
        <v>Peter</v>
      </c>
      <c r="F55" t="s">
        <v>46</v>
      </c>
      <c r="G55">
        <v>8</v>
      </c>
      <c r="H55" t="str">
        <f>IF(AND(G55&gt;18, G55&lt;65), "Valid", "Invalid")</f>
        <v>Invalid</v>
      </c>
      <c r="I55" t="s">
        <v>86</v>
      </c>
      <c r="J55" t="str">
        <f>PROPER(TRIM(I55))</f>
        <v>Kano</v>
      </c>
      <c r="K55" t="s">
        <v>54</v>
      </c>
      <c r="L55" t="str">
        <f>PROPER(TRIM(K55))</f>
        <v>Home</v>
      </c>
      <c r="M55" t="s">
        <v>55</v>
      </c>
      <c r="N55" t="str">
        <f>PROPER(TRIM(M55))</f>
        <v>Chair</v>
      </c>
      <c r="O55">
        <v>5.33</v>
      </c>
      <c r="P55">
        <v>-2</v>
      </c>
      <c r="Q55">
        <f>IF(P55&lt;1, 1, P55)</f>
        <v>1</v>
      </c>
      <c r="R55">
        <v>-10</v>
      </c>
      <c r="S55" t="str">
        <f>IF(OR(R55&lt;0,R55&gt;100),"invalid","Valid")</f>
        <v>invalid</v>
      </c>
      <c r="T55" t="s">
        <v>77</v>
      </c>
      <c r="U55" t="str">
        <f>PROPER(TRIM(T55))</f>
        <v>Cash</v>
      </c>
      <c r="V55" t="s">
        <v>91</v>
      </c>
      <c r="W55" t="str">
        <f t="shared" si="0"/>
        <v>Ben</v>
      </c>
      <c r="X55" t="s">
        <v>65</v>
      </c>
      <c r="Y55">
        <v>4</v>
      </c>
      <c r="Z55" t="str">
        <f>IF(D55="", "Missing", "ok")</f>
        <v>ok</v>
      </c>
      <c r="AA55">
        <f t="shared" si="1"/>
        <v>5.8630000000000004</v>
      </c>
    </row>
    <row r="56" spans="1:27" x14ac:dyDescent="0.25">
      <c r="A56" t="s">
        <v>216</v>
      </c>
      <c r="B56" s="1" t="s">
        <v>217</v>
      </c>
      <c r="C56" t="s">
        <v>218</v>
      </c>
      <c r="E56" t="str">
        <f>PROPER(TRIM(D56))</f>
        <v/>
      </c>
      <c r="F56" t="s">
        <v>46</v>
      </c>
      <c r="G56">
        <v>8</v>
      </c>
      <c r="H56" t="str">
        <f>IF(AND(G56&gt;18, G56&lt;65), "Valid", "Invalid")</f>
        <v>Invalid</v>
      </c>
      <c r="I56" t="s">
        <v>30</v>
      </c>
      <c r="J56" t="str">
        <f>PROPER(TRIM(I56))</f>
        <v>Lagos</v>
      </c>
      <c r="K56" t="s">
        <v>87</v>
      </c>
      <c r="L56" t="str">
        <f>PROPER(TRIM(K56))</f>
        <v>Groceris</v>
      </c>
      <c r="M56" t="s">
        <v>49</v>
      </c>
      <c r="N56" t="str">
        <f>PROPER(TRIM(M56))</f>
        <v>Rice</v>
      </c>
      <c r="O56">
        <v>280.75</v>
      </c>
      <c r="P56">
        <v>-2</v>
      </c>
      <c r="Q56">
        <f>IF(P56&lt;1, 1, P56)</f>
        <v>1</v>
      </c>
      <c r="R56">
        <v>5</v>
      </c>
      <c r="S56" t="str">
        <f>IF(OR(R56&lt;0,R56&gt;100),"invalid","Valid")</f>
        <v>Valid</v>
      </c>
      <c r="T56" t="s">
        <v>64</v>
      </c>
      <c r="U56" t="str">
        <f>PROPER(TRIM(T56))</f>
        <v>Transfer</v>
      </c>
      <c r="V56" t="s">
        <v>91</v>
      </c>
      <c r="W56" t="str">
        <f t="shared" si="0"/>
        <v>Ben</v>
      </c>
      <c r="X56" t="s">
        <v>82</v>
      </c>
      <c r="Y56">
        <v>3</v>
      </c>
      <c r="Z56" t="str">
        <f>IF(D56="", "Missing", "ok")</f>
        <v>Missing</v>
      </c>
      <c r="AA56">
        <f t="shared" si="1"/>
        <v>266.71249999999998</v>
      </c>
    </row>
    <row r="57" spans="1:27" x14ac:dyDescent="0.25">
      <c r="A57" t="s">
        <v>219</v>
      </c>
      <c r="B57" s="1" t="s">
        <v>220</v>
      </c>
      <c r="C57" t="s">
        <v>221</v>
      </c>
      <c r="D57" t="s">
        <v>117</v>
      </c>
      <c r="E57" t="str">
        <f>PROPER(TRIM(D57))</f>
        <v>David</v>
      </c>
      <c r="F57" t="s">
        <v>20</v>
      </c>
      <c r="G57">
        <v>50</v>
      </c>
      <c r="H57" t="str">
        <f>IF(AND(G57&gt;18, G57&lt;65), "Valid", "Invalid")</f>
        <v>Valid</v>
      </c>
      <c r="I57" t="s">
        <v>21</v>
      </c>
      <c r="J57" t="str">
        <f>PROPER(TRIM(I57))</f>
        <v>Lagos</v>
      </c>
      <c r="K57" t="s">
        <v>31</v>
      </c>
      <c r="L57" t="str">
        <f>PROPER(TRIM(K57))</f>
        <v>Sports</v>
      </c>
      <c r="M57" t="s">
        <v>32</v>
      </c>
      <c r="N57" t="str">
        <f>PROPER(TRIM(M57))</f>
        <v>Ball</v>
      </c>
      <c r="O57">
        <v>14.25</v>
      </c>
      <c r="P57">
        <v>7</v>
      </c>
      <c r="Q57">
        <f>IF(P57&lt;1, 1, P57)</f>
        <v>7</v>
      </c>
      <c r="R57">
        <v>5</v>
      </c>
      <c r="S57" t="str">
        <f>IF(OR(R57&lt;0,R57&gt;100),"invalid","Valid")</f>
        <v>Valid</v>
      </c>
      <c r="T57" t="s">
        <v>59</v>
      </c>
      <c r="U57" t="str">
        <f>PROPER(TRIM(T57))</f>
        <v>Mobile Money</v>
      </c>
      <c r="V57" t="s">
        <v>25</v>
      </c>
      <c r="W57" t="str">
        <f t="shared" si="0"/>
        <v>Dan</v>
      </c>
      <c r="X57" t="s">
        <v>33</v>
      </c>
      <c r="Y57">
        <v>3</v>
      </c>
      <c r="Z57" t="str">
        <f>IF(D57="", "Missing", "ok")</f>
        <v>ok</v>
      </c>
      <c r="AA57">
        <f t="shared" si="1"/>
        <v>94.762499999999989</v>
      </c>
    </row>
    <row r="58" spans="1:27" x14ac:dyDescent="0.25">
      <c r="A58" t="s">
        <v>222</v>
      </c>
      <c r="B58" s="1" t="s">
        <v>223</v>
      </c>
      <c r="C58" t="s">
        <v>224</v>
      </c>
      <c r="D58" t="s">
        <v>63</v>
      </c>
      <c r="E58" t="str">
        <f>PROPER(TRIM(D58))</f>
        <v>John</v>
      </c>
      <c r="F58" t="s">
        <v>20</v>
      </c>
      <c r="G58">
        <v>43</v>
      </c>
      <c r="H58" t="str">
        <f>IF(AND(G58&gt;18, G58&lt;65), "Valid", "Invalid")</f>
        <v>Valid</v>
      </c>
      <c r="I58" t="s">
        <v>70</v>
      </c>
      <c r="J58" t="str">
        <f>PROPER(TRIM(I58))</f>
        <v>Abuja</v>
      </c>
      <c r="K58" t="s">
        <v>22</v>
      </c>
      <c r="L58" t="str">
        <f>PROPER(TRIM(K58))</f>
        <v>Fashion</v>
      </c>
      <c r="M58" t="s">
        <v>23</v>
      </c>
      <c r="N58" t="str">
        <f>PROPER(TRIM(M58))</f>
        <v>Shirt</v>
      </c>
      <c r="O58">
        <v>372.98</v>
      </c>
      <c r="P58">
        <v>-2</v>
      </c>
      <c r="Q58">
        <f>IF(P58&lt;1, 1, P58)</f>
        <v>1</v>
      </c>
      <c r="R58">
        <v>15</v>
      </c>
      <c r="S58" t="str">
        <f>IF(OR(R58&lt;0,R58&gt;100),"invalid","Valid")</f>
        <v>Valid</v>
      </c>
      <c r="T58" t="s">
        <v>24</v>
      </c>
      <c r="U58" t="str">
        <f>PROPER(TRIM(T58))</f>
        <v>Pos</v>
      </c>
      <c r="V58" t="s">
        <v>25</v>
      </c>
      <c r="W58" t="str">
        <f t="shared" si="0"/>
        <v>Dan</v>
      </c>
      <c r="X58" t="s">
        <v>65</v>
      </c>
      <c r="Z58" t="str">
        <f>IF(D58="", "Missing", "ok")</f>
        <v>ok</v>
      </c>
      <c r="AA58">
        <f t="shared" si="1"/>
        <v>317.03300000000002</v>
      </c>
    </row>
    <row r="59" spans="1:27" x14ac:dyDescent="0.25">
      <c r="A59" t="s">
        <v>225</v>
      </c>
      <c r="B59" s="1" t="s">
        <v>226</v>
      </c>
      <c r="C59" t="s">
        <v>227</v>
      </c>
      <c r="D59" t="s">
        <v>101</v>
      </c>
      <c r="E59" t="str">
        <f>PROPER(TRIM(D59))</f>
        <v>Grace</v>
      </c>
      <c r="F59" t="s">
        <v>20</v>
      </c>
      <c r="G59">
        <v>8</v>
      </c>
      <c r="H59" t="str">
        <f>IF(AND(G59&gt;18, G59&lt;65), "Valid", "Invalid")</f>
        <v>Invalid</v>
      </c>
      <c r="I59" t="s">
        <v>53</v>
      </c>
      <c r="J59" t="str">
        <f>PROPER(TRIM(I59))</f>
        <v>Lagos</v>
      </c>
      <c r="K59" t="s">
        <v>87</v>
      </c>
      <c r="L59" t="str">
        <f>PROPER(TRIM(K59))</f>
        <v>Groceris</v>
      </c>
      <c r="M59" t="s">
        <v>49</v>
      </c>
      <c r="N59" t="str">
        <f>PROPER(TRIM(M59))</f>
        <v>Rice</v>
      </c>
      <c r="O59">
        <v>98.86</v>
      </c>
      <c r="P59">
        <v>9</v>
      </c>
      <c r="Q59">
        <f>IF(P59&lt;1, 1, P59)</f>
        <v>9</v>
      </c>
      <c r="R59">
        <v>120</v>
      </c>
      <c r="S59" t="str">
        <f>IF(OR(R59&lt;0,R59&gt;100),"invalid","Valid")</f>
        <v>invalid</v>
      </c>
      <c r="T59" t="s">
        <v>24</v>
      </c>
      <c r="U59" t="str">
        <f>PROPER(TRIM(T59))</f>
        <v>Pos</v>
      </c>
      <c r="V59" t="s">
        <v>25</v>
      </c>
      <c r="W59" t="str">
        <f t="shared" si="0"/>
        <v>Dan</v>
      </c>
      <c r="X59" t="s">
        <v>26</v>
      </c>
      <c r="Y59">
        <v>5</v>
      </c>
      <c r="Z59" t="str">
        <f>IF(D59="", "Missing", "ok")</f>
        <v>ok</v>
      </c>
      <c r="AA59">
        <f t="shared" si="1"/>
        <v>-177.94799999999995</v>
      </c>
    </row>
    <row r="60" spans="1:27" x14ac:dyDescent="0.25">
      <c r="A60" t="s">
        <v>228</v>
      </c>
      <c r="B60" s="1" t="s">
        <v>229</v>
      </c>
      <c r="C60" t="s">
        <v>230</v>
      </c>
      <c r="D60" t="s">
        <v>45</v>
      </c>
      <c r="E60" t="str">
        <f>PROPER(TRIM(D60))</f>
        <v>James</v>
      </c>
      <c r="F60" t="s">
        <v>20</v>
      </c>
      <c r="G60">
        <v>8</v>
      </c>
      <c r="H60" t="str">
        <f>IF(AND(G60&gt;18, G60&lt;65), "Valid", "Invalid")</f>
        <v>Invalid</v>
      </c>
      <c r="I60" t="s">
        <v>53</v>
      </c>
      <c r="J60" t="str">
        <f>PROPER(TRIM(I60))</f>
        <v>Lagos</v>
      </c>
      <c r="K60" t="s">
        <v>48</v>
      </c>
      <c r="L60" t="str">
        <f>PROPER(TRIM(K60))</f>
        <v>Groceries</v>
      </c>
      <c r="M60" t="s">
        <v>49</v>
      </c>
      <c r="N60" t="str">
        <f>PROPER(TRIM(M60))</f>
        <v>Rice</v>
      </c>
      <c r="O60">
        <v>481.05</v>
      </c>
      <c r="P60">
        <v>2</v>
      </c>
      <c r="Q60">
        <f>IF(P60&lt;1, 1, P60)</f>
        <v>2</v>
      </c>
      <c r="R60">
        <v>0</v>
      </c>
      <c r="S60" t="str">
        <f>IF(OR(R60&lt;0,R60&gt;100),"invalid","Valid")</f>
        <v>Valid</v>
      </c>
      <c r="U60" t="str">
        <f>PROPER(TRIM(T60))</f>
        <v/>
      </c>
      <c r="V60" t="s">
        <v>41</v>
      </c>
      <c r="W60" t="str">
        <f t="shared" si="0"/>
        <v>Chi</v>
      </c>
      <c r="X60" t="s">
        <v>26</v>
      </c>
      <c r="Y60">
        <v>1</v>
      </c>
      <c r="Z60" t="str">
        <f>IF(D60="", "Missing", "ok")</f>
        <v>ok</v>
      </c>
      <c r="AA60">
        <f t="shared" si="1"/>
        <v>962.1</v>
      </c>
    </row>
    <row r="61" spans="1:27" x14ac:dyDescent="0.25">
      <c r="A61" t="s">
        <v>231</v>
      </c>
      <c r="B61" s="1" t="s">
        <v>232</v>
      </c>
      <c r="C61" t="s">
        <v>233</v>
      </c>
      <c r="E61" t="str">
        <f>PROPER(TRIM(D61))</f>
        <v/>
      </c>
      <c r="F61" t="s">
        <v>20</v>
      </c>
      <c r="G61">
        <v>41</v>
      </c>
      <c r="H61" t="str">
        <f>IF(AND(G61&gt;18, G61&lt;65), "Valid", "Invalid")</f>
        <v>Valid</v>
      </c>
      <c r="I61" t="s">
        <v>21</v>
      </c>
      <c r="J61" t="str">
        <f>PROPER(TRIM(I61))</f>
        <v>Lagos</v>
      </c>
      <c r="K61" t="s">
        <v>87</v>
      </c>
      <c r="L61" t="str">
        <f>PROPER(TRIM(K61))</f>
        <v>Groceris</v>
      </c>
      <c r="M61" t="s">
        <v>49</v>
      </c>
      <c r="N61" t="str">
        <f>PROPER(TRIM(M61))</f>
        <v>Rice</v>
      </c>
      <c r="O61">
        <v>172.45</v>
      </c>
      <c r="P61">
        <v>-2</v>
      </c>
      <c r="Q61">
        <f>IF(P61&lt;1, 1, P61)</f>
        <v>1</v>
      </c>
      <c r="R61">
        <v>10</v>
      </c>
      <c r="S61" t="str">
        <f>IF(OR(R61&lt;0,R61&gt;100),"invalid","Valid")</f>
        <v>Valid</v>
      </c>
      <c r="T61" t="s">
        <v>64</v>
      </c>
      <c r="U61" t="str">
        <f>PROPER(TRIM(T61))</f>
        <v>Transfer</v>
      </c>
      <c r="V61" t="s">
        <v>25</v>
      </c>
      <c r="W61" t="str">
        <f t="shared" si="0"/>
        <v>Dan</v>
      </c>
      <c r="X61" t="s">
        <v>82</v>
      </c>
      <c r="Y61">
        <v>1</v>
      </c>
      <c r="Z61" t="str">
        <f>IF(D61="", "Missing", "ok")</f>
        <v>Missing</v>
      </c>
      <c r="AA61">
        <f t="shared" si="1"/>
        <v>155.20499999999998</v>
      </c>
    </row>
    <row r="62" spans="1:27" x14ac:dyDescent="0.25">
      <c r="A62" t="s">
        <v>234</v>
      </c>
      <c r="B62" s="1" t="s">
        <v>235</v>
      </c>
      <c r="C62" t="s">
        <v>236</v>
      </c>
      <c r="E62" t="str">
        <f>PROPER(TRIM(D62))</f>
        <v/>
      </c>
      <c r="F62" t="s">
        <v>46</v>
      </c>
      <c r="G62">
        <v>52</v>
      </c>
      <c r="H62" t="str">
        <f>IF(AND(G62&gt;18, G62&lt;65), "Valid", "Invalid")</f>
        <v>Valid</v>
      </c>
      <c r="I62" t="s">
        <v>21</v>
      </c>
      <c r="J62" t="str">
        <f>PROPER(TRIM(I62))</f>
        <v>Lagos</v>
      </c>
      <c r="K62" t="s">
        <v>121</v>
      </c>
      <c r="L62" t="str">
        <f>PROPER(TRIM(K62))</f>
        <v>Beauty</v>
      </c>
      <c r="M62" t="s">
        <v>122</v>
      </c>
      <c r="N62" t="str">
        <f>PROPER(TRIM(M62))</f>
        <v>Cream</v>
      </c>
      <c r="O62">
        <v>308.43</v>
      </c>
      <c r="P62">
        <v>-2</v>
      </c>
      <c r="Q62">
        <f>IF(P62&lt;1, 1, P62)</f>
        <v>1</v>
      </c>
      <c r="R62">
        <v>5</v>
      </c>
      <c r="S62" t="str">
        <f>IF(OR(R62&lt;0,R62&gt;100),"invalid","Valid")</f>
        <v>Valid</v>
      </c>
      <c r="T62" t="s">
        <v>77</v>
      </c>
      <c r="U62" t="str">
        <f>PROPER(TRIM(T62))</f>
        <v>Cash</v>
      </c>
      <c r="V62" t="s">
        <v>91</v>
      </c>
      <c r="W62" t="str">
        <f t="shared" si="0"/>
        <v>Ben</v>
      </c>
      <c r="X62" t="s">
        <v>33</v>
      </c>
      <c r="Y62">
        <v>3</v>
      </c>
      <c r="Z62" t="str">
        <f>IF(D62="", "Missing", "ok")</f>
        <v>Missing</v>
      </c>
      <c r="AA62">
        <f t="shared" si="1"/>
        <v>293.00849999999997</v>
      </c>
    </row>
    <row r="63" spans="1:27" x14ac:dyDescent="0.25">
      <c r="A63" t="s">
        <v>237</v>
      </c>
      <c r="B63" s="1" t="s">
        <v>112</v>
      </c>
      <c r="C63" t="s">
        <v>238</v>
      </c>
      <c r="D63" t="s">
        <v>69</v>
      </c>
      <c r="E63" t="str">
        <f>PROPER(TRIM(D63))</f>
        <v>Mary</v>
      </c>
      <c r="F63" t="s">
        <v>20</v>
      </c>
      <c r="G63">
        <v>29</v>
      </c>
      <c r="H63" t="str">
        <f>IF(AND(G63&gt;18, G63&lt;65), "Valid", "Invalid")</f>
        <v>Valid</v>
      </c>
      <c r="I63" t="s">
        <v>47</v>
      </c>
      <c r="J63" t="str">
        <f>PROPER(TRIM(I63))</f>
        <v>Enugu</v>
      </c>
      <c r="K63" t="s">
        <v>39</v>
      </c>
      <c r="L63" t="str">
        <f>PROPER(TRIM(K63))</f>
        <v>Electronics</v>
      </c>
      <c r="M63" t="s">
        <v>40</v>
      </c>
      <c r="N63" t="str">
        <f>PROPER(TRIM(M63))</f>
        <v>Phone</v>
      </c>
      <c r="O63">
        <v>239.81</v>
      </c>
      <c r="P63">
        <v>10</v>
      </c>
      <c r="Q63">
        <f>IF(P63&lt;1, 1, P63)</f>
        <v>10</v>
      </c>
      <c r="R63">
        <v>15</v>
      </c>
      <c r="S63" t="str">
        <f>IF(OR(R63&lt;0,R63&gt;100),"invalid","Valid")</f>
        <v>Valid</v>
      </c>
      <c r="T63" t="s">
        <v>64</v>
      </c>
      <c r="U63" t="str">
        <f>PROPER(TRIM(T63))</f>
        <v>Transfer</v>
      </c>
      <c r="V63" t="s">
        <v>81</v>
      </c>
      <c r="W63" t="str">
        <f t="shared" si="0"/>
        <v>Ada</v>
      </c>
      <c r="X63" t="s">
        <v>82</v>
      </c>
      <c r="Y63">
        <v>4</v>
      </c>
      <c r="Z63" t="str">
        <f>IF(D63="", "Missing", "ok")</f>
        <v>ok</v>
      </c>
      <c r="AA63">
        <f t="shared" si="1"/>
        <v>2038.3849999999998</v>
      </c>
    </row>
    <row r="64" spans="1:27" x14ac:dyDescent="0.25">
      <c r="A64" t="s">
        <v>239</v>
      </c>
      <c r="B64" s="1" t="s">
        <v>240</v>
      </c>
      <c r="C64" t="s">
        <v>241</v>
      </c>
      <c r="D64" t="s">
        <v>45</v>
      </c>
      <c r="E64" t="str">
        <f>PROPER(TRIM(D64))</f>
        <v>James</v>
      </c>
      <c r="F64" t="s">
        <v>46</v>
      </c>
      <c r="G64">
        <v>43</v>
      </c>
      <c r="H64" t="str">
        <f>IF(AND(G64&gt;18, G64&lt;65), "Valid", "Invalid")</f>
        <v>Valid</v>
      </c>
      <c r="I64" t="s">
        <v>38</v>
      </c>
      <c r="J64" t="str">
        <f>PROPER(TRIM(I64))</f>
        <v>Ph</v>
      </c>
      <c r="K64" t="s">
        <v>54</v>
      </c>
      <c r="L64" t="str">
        <f>PROPER(TRIM(K64))</f>
        <v>Home</v>
      </c>
      <c r="M64" t="s">
        <v>55</v>
      </c>
      <c r="N64" t="str">
        <f>PROPER(TRIM(M64))</f>
        <v>Chair</v>
      </c>
      <c r="O64">
        <v>12.92</v>
      </c>
      <c r="P64">
        <v>10</v>
      </c>
      <c r="Q64">
        <f>IF(P64&lt;1, 1, P64)</f>
        <v>10</v>
      </c>
      <c r="R64">
        <v>10</v>
      </c>
      <c r="S64" t="str">
        <f>IF(OR(R64&lt;0,R64&gt;100),"invalid","Valid")</f>
        <v>Valid</v>
      </c>
      <c r="T64" t="s">
        <v>64</v>
      </c>
      <c r="U64" t="str">
        <f>PROPER(TRIM(T64))</f>
        <v>Transfer</v>
      </c>
      <c r="V64" t="s">
        <v>25</v>
      </c>
      <c r="W64" t="str">
        <f t="shared" si="0"/>
        <v>Dan</v>
      </c>
      <c r="X64" t="s">
        <v>33</v>
      </c>
      <c r="Y64">
        <v>4</v>
      </c>
      <c r="Z64" t="str">
        <f>IF(D64="", "Missing", "ok")</f>
        <v>ok</v>
      </c>
      <c r="AA64">
        <f t="shared" si="1"/>
        <v>116.27999999999999</v>
      </c>
    </row>
    <row r="65" spans="1:27" x14ac:dyDescent="0.25">
      <c r="A65" t="s">
        <v>242</v>
      </c>
      <c r="B65" s="1" t="s">
        <v>243</v>
      </c>
      <c r="C65" t="s">
        <v>244</v>
      </c>
      <c r="E65" t="str">
        <f>PROPER(TRIM(D65))</f>
        <v/>
      </c>
      <c r="F65" t="s">
        <v>20</v>
      </c>
      <c r="G65">
        <v>130</v>
      </c>
      <c r="H65" t="str">
        <f>IF(AND(G65&gt;18, G65&lt;65), "Valid", "Invalid")</f>
        <v>Invalid</v>
      </c>
      <c r="I65" t="s">
        <v>70</v>
      </c>
      <c r="J65" t="str">
        <f>PROPER(TRIM(I65))</f>
        <v>Abuja</v>
      </c>
      <c r="K65" t="s">
        <v>54</v>
      </c>
      <c r="L65" t="str">
        <f>PROPER(TRIM(K65))</f>
        <v>Home</v>
      </c>
      <c r="M65" t="s">
        <v>55</v>
      </c>
      <c r="N65" t="str">
        <f>PROPER(TRIM(M65))</f>
        <v>Chair</v>
      </c>
      <c r="O65">
        <v>381.75</v>
      </c>
      <c r="P65">
        <v>-2</v>
      </c>
      <c r="Q65">
        <f>IF(P65&lt;1, 1, P65)</f>
        <v>1</v>
      </c>
      <c r="R65">
        <v>5</v>
      </c>
      <c r="S65" t="str">
        <f>IF(OR(R65&lt;0,R65&gt;100),"invalid","Valid")</f>
        <v>Valid</v>
      </c>
      <c r="U65" t="str">
        <f>PROPER(TRIM(T65))</f>
        <v/>
      </c>
      <c r="V65" t="s">
        <v>91</v>
      </c>
      <c r="W65" t="str">
        <f t="shared" si="0"/>
        <v>Ben</v>
      </c>
      <c r="X65" t="s">
        <v>33</v>
      </c>
      <c r="Z65" t="str">
        <f>IF(D65="", "Missing", "ok")</f>
        <v>Missing</v>
      </c>
      <c r="AA65">
        <f t="shared" si="1"/>
        <v>362.66249999999997</v>
      </c>
    </row>
    <row r="66" spans="1:27" x14ac:dyDescent="0.25">
      <c r="A66" t="s">
        <v>245</v>
      </c>
      <c r="B66" s="1" t="s">
        <v>246</v>
      </c>
      <c r="C66" t="s">
        <v>247</v>
      </c>
      <c r="D66" t="s">
        <v>37</v>
      </c>
      <c r="E66" t="str">
        <f>PROPER(TRIM(D66))</f>
        <v>Aisha</v>
      </c>
      <c r="F66" t="s">
        <v>46</v>
      </c>
      <c r="G66">
        <v>54</v>
      </c>
      <c r="H66" t="str">
        <f>IF(AND(G66&gt;18, G66&lt;65), "Valid", "Invalid")</f>
        <v>Valid</v>
      </c>
      <c r="I66" t="s">
        <v>21</v>
      </c>
      <c r="J66" t="str">
        <f>PROPER(TRIM(I66))</f>
        <v>Lagos</v>
      </c>
      <c r="K66" t="s">
        <v>87</v>
      </c>
      <c r="L66" t="str">
        <f>PROPER(TRIM(K66))</f>
        <v>Groceris</v>
      </c>
      <c r="M66" t="s">
        <v>49</v>
      </c>
      <c r="N66" t="str">
        <f>PROPER(TRIM(M66))</f>
        <v>Rice</v>
      </c>
      <c r="O66">
        <v>481.13</v>
      </c>
      <c r="P66">
        <v>7</v>
      </c>
      <c r="Q66">
        <f>IF(P66&lt;1, 1, P66)</f>
        <v>7</v>
      </c>
      <c r="R66">
        <v>15</v>
      </c>
      <c r="S66" t="str">
        <f>IF(OR(R66&lt;0,R66&gt;100),"invalid","Valid")</f>
        <v>Valid</v>
      </c>
      <c r="T66" t="s">
        <v>77</v>
      </c>
      <c r="U66" t="str">
        <f>PROPER(TRIM(T66))</f>
        <v>Cash</v>
      </c>
      <c r="V66" t="s">
        <v>81</v>
      </c>
      <c r="W66" t="str">
        <f t="shared" ref="W66:W129" si="2">PROPER(TRIM(V66))</f>
        <v>Ada</v>
      </c>
      <c r="X66" t="s">
        <v>65</v>
      </c>
      <c r="Y66">
        <v>4</v>
      </c>
      <c r="Z66" t="str">
        <f>IF(D66="", "Missing", "ok")</f>
        <v>ok</v>
      </c>
      <c r="AA66">
        <f t="shared" si="1"/>
        <v>2862.7234999999996</v>
      </c>
    </row>
    <row r="67" spans="1:27" x14ac:dyDescent="0.25">
      <c r="A67" t="s">
        <v>248</v>
      </c>
      <c r="B67" s="1" t="s">
        <v>249</v>
      </c>
      <c r="C67" t="s">
        <v>250</v>
      </c>
      <c r="D67" t="s">
        <v>101</v>
      </c>
      <c r="E67" t="str">
        <f>PROPER(TRIM(D67))</f>
        <v>Grace</v>
      </c>
      <c r="F67" t="s">
        <v>46</v>
      </c>
      <c r="G67">
        <v>130</v>
      </c>
      <c r="H67" t="str">
        <f>IF(AND(G67&gt;18, G67&lt;65), "Valid", "Invalid")</f>
        <v>Invalid</v>
      </c>
      <c r="I67" t="s">
        <v>21</v>
      </c>
      <c r="J67" t="str">
        <f>PROPER(TRIM(I67))</f>
        <v>Lagos</v>
      </c>
      <c r="K67" t="s">
        <v>22</v>
      </c>
      <c r="L67" t="str">
        <f>PROPER(TRIM(K67))</f>
        <v>Fashion</v>
      </c>
      <c r="M67" t="s">
        <v>23</v>
      </c>
      <c r="N67" t="str">
        <f>PROPER(TRIM(M67))</f>
        <v>Shirt</v>
      </c>
      <c r="O67">
        <v>141.11000000000001</v>
      </c>
      <c r="P67">
        <v>-2</v>
      </c>
      <c r="Q67">
        <f>IF(P67&lt;1, 1, P67)</f>
        <v>1</v>
      </c>
      <c r="R67">
        <v>0</v>
      </c>
      <c r="S67" t="str">
        <f>IF(OR(R67&lt;0,R67&gt;100),"invalid","Valid")</f>
        <v>Valid</v>
      </c>
      <c r="T67" t="s">
        <v>77</v>
      </c>
      <c r="U67" t="str">
        <f>PROPER(TRIM(T67))</f>
        <v>Cash</v>
      </c>
      <c r="V67" t="s">
        <v>25</v>
      </c>
      <c r="W67" t="str">
        <f t="shared" si="2"/>
        <v>Dan</v>
      </c>
      <c r="X67" t="s">
        <v>65</v>
      </c>
      <c r="Z67" t="str">
        <f>IF(D67="", "Missing", "ok")</f>
        <v>ok</v>
      </c>
      <c r="AA67">
        <f t="shared" ref="AA67:AA130" si="3">(O67*Q67)*(1-R67/100)</f>
        <v>141.11000000000001</v>
      </c>
    </row>
    <row r="68" spans="1:27" x14ac:dyDescent="0.25">
      <c r="A68" t="s">
        <v>251</v>
      </c>
      <c r="B68" s="1" t="s">
        <v>252</v>
      </c>
      <c r="C68" t="s">
        <v>253</v>
      </c>
      <c r="D68" t="s">
        <v>63</v>
      </c>
      <c r="E68" t="str">
        <f>PROPER(TRIM(D68))</f>
        <v>John</v>
      </c>
      <c r="F68" t="s">
        <v>20</v>
      </c>
      <c r="G68">
        <v>29</v>
      </c>
      <c r="H68" t="str">
        <f>IF(AND(G68&gt;18, G68&lt;65), "Valid", "Invalid")</f>
        <v>Valid</v>
      </c>
      <c r="I68" t="s">
        <v>38</v>
      </c>
      <c r="J68" t="str">
        <f>PROPER(TRIM(I68))</f>
        <v>Ph</v>
      </c>
      <c r="K68" t="s">
        <v>87</v>
      </c>
      <c r="L68" t="str">
        <f>PROPER(TRIM(K68))</f>
        <v>Groceris</v>
      </c>
      <c r="M68" t="s">
        <v>49</v>
      </c>
      <c r="N68" t="str">
        <f>PROPER(TRIM(M68))</f>
        <v>Rice</v>
      </c>
      <c r="O68">
        <v>137.34</v>
      </c>
      <c r="P68">
        <v>10</v>
      </c>
      <c r="Q68">
        <f>IF(P68&lt;1, 1, P68)</f>
        <v>10</v>
      </c>
      <c r="R68">
        <v>5</v>
      </c>
      <c r="S68" t="str">
        <f>IF(OR(R68&lt;0,R68&gt;100),"invalid","Valid")</f>
        <v>Valid</v>
      </c>
      <c r="T68" t="s">
        <v>24</v>
      </c>
      <c r="U68" t="str">
        <f>PROPER(TRIM(T68))</f>
        <v>Pos</v>
      </c>
      <c r="V68" t="s">
        <v>81</v>
      </c>
      <c r="W68" t="str">
        <f t="shared" si="2"/>
        <v>Ada</v>
      </c>
      <c r="X68" t="s">
        <v>82</v>
      </c>
      <c r="Y68">
        <v>3</v>
      </c>
      <c r="Z68" t="str">
        <f>IF(D68="", "Missing", "ok")</f>
        <v>ok</v>
      </c>
      <c r="AA68">
        <f t="shared" si="3"/>
        <v>1304.73</v>
      </c>
    </row>
    <row r="69" spans="1:27" x14ac:dyDescent="0.25">
      <c r="A69" t="s">
        <v>254</v>
      </c>
      <c r="B69" s="1" t="s">
        <v>255</v>
      </c>
      <c r="C69" t="s">
        <v>256</v>
      </c>
      <c r="D69" t="s">
        <v>101</v>
      </c>
      <c r="E69" t="str">
        <f>PROPER(TRIM(D69))</f>
        <v>Grace</v>
      </c>
      <c r="F69" t="s">
        <v>46</v>
      </c>
      <c r="G69">
        <v>130</v>
      </c>
      <c r="H69" t="str">
        <f>IF(AND(G69&gt;18, G69&lt;65), "Valid", "Invalid")</f>
        <v>Invalid</v>
      </c>
      <c r="I69" t="s">
        <v>53</v>
      </c>
      <c r="J69" t="str">
        <f>PROPER(TRIM(I69))</f>
        <v>Lagos</v>
      </c>
      <c r="K69" t="s">
        <v>87</v>
      </c>
      <c r="L69" t="str">
        <f>PROPER(TRIM(K69))</f>
        <v>Groceris</v>
      </c>
      <c r="M69" t="s">
        <v>49</v>
      </c>
      <c r="N69" t="str">
        <f>PROPER(TRIM(M69))</f>
        <v>Rice</v>
      </c>
      <c r="O69">
        <v>223.18</v>
      </c>
      <c r="P69">
        <v>-2</v>
      </c>
      <c r="Q69">
        <f>IF(P69&lt;1, 1, P69)</f>
        <v>1</v>
      </c>
      <c r="R69">
        <v>-10</v>
      </c>
      <c r="S69" t="str">
        <f>IF(OR(R69&lt;0,R69&gt;100),"invalid","Valid")</f>
        <v>invalid</v>
      </c>
      <c r="T69" t="s">
        <v>64</v>
      </c>
      <c r="U69" t="str">
        <f>PROPER(TRIM(T69))</f>
        <v>Transfer</v>
      </c>
      <c r="V69" t="s">
        <v>41</v>
      </c>
      <c r="W69" t="str">
        <f t="shared" si="2"/>
        <v>Chi</v>
      </c>
      <c r="X69" t="s">
        <v>65</v>
      </c>
      <c r="Y69">
        <v>2</v>
      </c>
      <c r="Z69" t="str">
        <f>IF(D69="", "Missing", "ok")</f>
        <v>ok</v>
      </c>
      <c r="AA69">
        <f t="shared" si="3"/>
        <v>245.49800000000002</v>
      </c>
    </row>
    <row r="70" spans="1:27" x14ac:dyDescent="0.25">
      <c r="A70" t="s">
        <v>257</v>
      </c>
      <c r="B70" s="1" t="s">
        <v>258</v>
      </c>
      <c r="C70" t="s">
        <v>259</v>
      </c>
      <c r="E70" t="str">
        <f>PROPER(TRIM(D70))</f>
        <v/>
      </c>
      <c r="F70" t="s">
        <v>20</v>
      </c>
      <c r="G70">
        <v>130</v>
      </c>
      <c r="H70" t="str">
        <f>IF(AND(G70&gt;18, G70&lt;65), "Valid", "Invalid")</f>
        <v>Invalid</v>
      </c>
      <c r="I70" t="s">
        <v>47</v>
      </c>
      <c r="J70" t="str">
        <f>PROPER(TRIM(I70))</f>
        <v>Enugu</v>
      </c>
      <c r="K70" t="s">
        <v>48</v>
      </c>
      <c r="L70" t="str">
        <f>PROPER(TRIM(K70))</f>
        <v>Groceries</v>
      </c>
      <c r="M70" t="s">
        <v>49</v>
      </c>
      <c r="N70" t="str">
        <f>PROPER(TRIM(M70))</f>
        <v>Rice</v>
      </c>
      <c r="O70">
        <v>456.44</v>
      </c>
      <c r="P70">
        <v>3</v>
      </c>
      <c r="Q70">
        <f>IF(P70&lt;1, 1, P70)</f>
        <v>3</v>
      </c>
      <c r="R70">
        <v>0</v>
      </c>
      <c r="S70" t="str">
        <f>IF(OR(R70&lt;0,R70&gt;100),"invalid","Valid")</f>
        <v>Valid</v>
      </c>
      <c r="U70" t="str">
        <f>PROPER(TRIM(T70))</f>
        <v/>
      </c>
      <c r="V70" t="s">
        <v>81</v>
      </c>
      <c r="W70" t="str">
        <f t="shared" si="2"/>
        <v>Ada</v>
      </c>
      <c r="X70" t="s">
        <v>82</v>
      </c>
      <c r="Y70">
        <v>3</v>
      </c>
      <c r="Z70" t="str">
        <f>IF(D70="", "Missing", "ok")</f>
        <v>Missing</v>
      </c>
      <c r="AA70">
        <f t="shared" si="3"/>
        <v>1369.32</v>
      </c>
    </row>
    <row r="71" spans="1:27" x14ac:dyDescent="0.25">
      <c r="A71" t="s">
        <v>260</v>
      </c>
      <c r="B71" s="1" t="s">
        <v>261</v>
      </c>
      <c r="C71" t="s">
        <v>262</v>
      </c>
      <c r="D71" t="s">
        <v>45</v>
      </c>
      <c r="E71" t="str">
        <f>PROPER(TRIM(D71))</f>
        <v>James</v>
      </c>
      <c r="F71" t="s">
        <v>46</v>
      </c>
      <c r="G71">
        <v>42</v>
      </c>
      <c r="H71" t="str">
        <f>IF(AND(G71&gt;18, G71&lt;65), "Valid", "Invalid")</f>
        <v>Valid</v>
      </c>
      <c r="I71" t="s">
        <v>70</v>
      </c>
      <c r="J71" t="str">
        <f>PROPER(TRIM(I71))</f>
        <v>Abuja</v>
      </c>
      <c r="K71" t="s">
        <v>54</v>
      </c>
      <c r="L71" t="str">
        <f>PROPER(TRIM(K71))</f>
        <v>Home</v>
      </c>
      <c r="M71" t="s">
        <v>55</v>
      </c>
      <c r="N71" t="str">
        <f>PROPER(TRIM(M71))</f>
        <v>Chair</v>
      </c>
      <c r="O71">
        <v>159.08000000000001</v>
      </c>
      <c r="P71">
        <v>-2</v>
      </c>
      <c r="Q71">
        <f>IF(P71&lt;1, 1, P71)</f>
        <v>1</v>
      </c>
      <c r="R71">
        <v>120</v>
      </c>
      <c r="S71" t="str">
        <f>IF(OR(R71&lt;0,R71&gt;100),"invalid","Valid")</f>
        <v>invalid</v>
      </c>
      <c r="U71" t="str">
        <f>PROPER(TRIM(T71))</f>
        <v/>
      </c>
      <c r="V71" t="s">
        <v>91</v>
      </c>
      <c r="W71" t="str">
        <f t="shared" si="2"/>
        <v>Ben</v>
      </c>
      <c r="X71" t="s">
        <v>26</v>
      </c>
      <c r="Z71" t="str">
        <f>IF(D71="", "Missing", "ok")</f>
        <v>ok</v>
      </c>
      <c r="AA71">
        <f t="shared" si="3"/>
        <v>-31.815999999999995</v>
      </c>
    </row>
    <row r="72" spans="1:27" x14ac:dyDescent="0.25">
      <c r="A72" t="s">
        <v>263</v>
      </c>
      <c r="B72" s="1" t="s">
        <v>264</v>
      </c>
      <c r="C72" t="s">
        <v>265</v>
      </c>
      <c r="D72" t="s">
        <v>101</v>
      </c>
      <c r="E72" t="str">
        <f>PROPER(TRIM(D72))</f>
        <v>Grace</v>
      </c>
      <c r="F72" t="s">
        <v>20</v>
      </c>
      <c r="G72">
        <v>130</v>
      </c>
      <c r="H72" t="str">
        <f>IF(AND(G72&gt;18, G72&lt;65), "Valid", "Invalid")</f>
        <v>Invalid</v>
      </c>
      <c r="I72" t="s">
        <v>38</v>
      </c>
      <c r="J72" t="str">
        <f>PROPER(TRIM(I72))</f>
        <v>Ph</v>
      </c>
      <c r="K72" t="s">
        <v>121</v>
      </c>
      <c r="L72" t="str">
        <f>PROPER(TRIM(K72))</f>
        <v>Beauty</v>
      </c>
      <c r="M72" t="s">
        <v>122</v>
      </c>
      <c r="N72" t="str">
        <f>PROPER(TRIM(M72))</f>
        <v>Cream</v>
      </c>
      <c r="O72">
        <v>328.53</v>
      </c>
      <c r="P72">
        <v>-2</v>
      </c>
      <c r="Q72">
        <f>IF(P72&lt;1, 1, P72)</f>
        <v>1</v>
      </c>
      <c r="R72">
        <v>-10</v>
      </c>
      <c r="S72" t="str">
        <f>IF(OR(R72&lt;0,R72&gt;100),"invalid","Valid")</f>
        <v>invalid</v>
      </c>
      <c r="U72" t="str">
        <f>PROPER(TRIM(T72))</f>
        <v/>
      </c>
      <c r="V72" t="s">
        <v>81</v>
      </c>
      <c r="W72" t="str">
        <f t="shared" si="2"/>
        <v>Ada</v>
      </c>
      <c r="X72" t="s">
        <v>82</v>
      </c>
      <c r="Y72">
        <v>3</v>
      </c>
      <c r="Z72" t="str">
        <f>IF(D72="", "Missing", "ok")</f>
        <v>ok</v>
      </c>
      <c r="AA72">
        <f t="shared" si="3"/>
        <v>361.38299999999998</v>
      </c>
    </row>
    <row r="73" spans="1:27" x14ac:dyDescent="0.25">
      <c r="A73" t="s">
        <v>266</v>
      </c>
      <c r="B73" s="1" t="s">
        <v>267</v>
      </c>
      <c r="C73" t="s">
        <v>268</v>
      </c>
      <c r="D73" t="s">
        <v>63</v>
      </c>
      <c r="E73" t="str">
        <f>PROPER(TRIM(D73))</f>
        <v>John</v>
      </c>
      <c r="F73" t="s">
        <v>20</v>
      </c>
      <c r="G73">
        <v>130</v>
      </c>
      <c r="H73" t="str">
        <f>IF(AND(G73&gt;18, G73&lt;65), "Valid", "Invalid")</f>
        <v>Invalid</v>
      </c>
      <c r="I73" t="s">
        <v>38</v>
      </c>
      <c r="J73" t="str">
        <f>PROPER(TRIM(I73))</f>
        <v>Ph</v>
      </c>
      <c r="K73" t="s">
        <v>39</v>
      </c>
      <c r="L73" t="str">
        <f>PROPER(TRIM(K73))</f>
        <v>Electronics</v>
      </c>
      <c r="M73" t="s">
        <v>40</v>
      </c>
      <c r="N73" t="str">
        <f>PROPER(TRIM(M73))</f>
        <v>Phone</v>
      </c>
      <c r="O73">
        <v>223.95</v>
      </c>
      <c r="P73">
        <v>-2</v>
      </c>
      <c r="Q73">
        <f>IF(P73&lt;1, 1, P73)</f>
        <v>1</v>
      </c>
      <c r="R73">
        <v>0</v>
      </c>
      <c r="S73" t="str">
        <f>IF(OR(R73&lt;0,R73&gt;100),"invalid","Valid")</f>
        <v>Valid</v>
      </c>
      <c r="T73" t="s">
        <v>59</v>
      </c>
      <c r="U73" t="str">
        <f>PROPER(TRIM(T73))</f>
        <v>Mobile Money</v>
      </c>
      <c r="V73" t="s">
        <v>41</v>
      </c>
      <c r="W73" t="str">
        <f t="shared" si="2"/>
        <v>Chi</v>
      </c>
      <c r="X73" t="s">
        <v>65</v>
      </c>
      <c r="Y73">
        <v>3</v>
      </c>
      <c r="Z73" t="str">
        <f>IF(D73="", "Missing", "ok")</f>
        <v>ok</v>
      </c>
      <c r="AA73">
        <f t="shared" si="3"/>
        <v>223.95</v>
      </c>
    </row>
    <row r="74" spans="1:27" x14ac:dyDescent="0.25">
      <c r="A74" t="s">
        <v>269</v>
      </c>
      <c r="B74" s="1" t="s">
        <v>270</v>
      </c>
      <c r="C74" t="s">
        <v>271</v>
      </c>
      <c r="D74" t="s">
        <v>101</v>
      </c>
      <c r="E74" t="str">
        <f>PROPER(TRIM(D74))</f>
        <v>Grace</v>
      </c>
      <c r="F74" t="s">
        <v>46</v>
      </c>
      <c r="G74">
        <v>130</v>
      </c>
      <c r="H74" t="str">
        <f>IF(AND(G74&gt;18, G74&lt;65), "Valid", "Invalid")</f>
        <v>Invalid</v>
      </c>
      <c r="I74" t="s">
        <v>47</v>
      </c>
      <c r="J74" t="str">
        <f>PROPER(TRIM(I74))</f>
        <v>Enugu</v>
      </c>
      <c r="K74" t="s">
        <v>22</v>
      </c>
      <c r="L74" t="str">
        <f>PROPER(TRIM(K74))</f>
        <v>Fashion</v>
      </c>
      <c r="M74" t="s">
        <v>23</v>
      </c>
      <c r="N74" t="str">
        <f>PROPER(TRIM(M74))</f>
        <v>Shirt</v>
      </c>
      <c r="O74">
        <v>100.23</v>
      </c>
      <c r="P74">
        <v>-2</v>
      </c>
      <c r="Q74">
        <f>IF(P74&lt;1, 1, P74)</f>
        <v>1</v>
      </c>
      <c r="R74">
        <v>120</v>
      </c>
      <c r="S74" t="str">
        <f>IF(OR(R74&lt;0,R74&gt;100),"invalid","Valid")</f>
        <v>invalid</v>
      </c>
      <c r="T74" t="s">
        <v>64</v>
      </c>
      <c r="U74" t="str">
        <f>PROPER(TRIM(T74))</f>
        <v>Transfer</v>
      </c>
      <c r="V74" t="s">
        <v>81</v>
      </c>
      <c r="W74" t="str">
        <f t="shared" si="2"/>
        <v>Ada</v>
      </c>
      <c r="X74" t="s">
        <v>65</v>
      </c>
      <c r="Y74">
        <v>1</v>
      </c>
      <c r="Z74" t="str">
        <f>IF(D74="", "Missing", "ok")</f>
        <v>ok</v>
      </c>
      <c r="AA74">
        <f t="shared" si="3"/>
        <v>-20.045999999999996</v>
      </c>
    </row>
    <row r="75" spans="1:27" x14ac:dyDescent="0.25">
      <c r="A75" t="s">
        <v>272</v>
      </c>
      <c r="B75" s="1" t="s">
        <v>273</v>
      </c>
      <c r="C75" t="s">
        <v>274</v>
      </c>
      <c r="D75" t="s">
        <v>45</v>
      </c>
      <c r="E75" t="str">
        <f>PROPER(TRIM(D75))</f>
        <v>James</v>
      </c>
      <c r="F75" t="s">
        <v>46</v>
      </c>
      <c r="G75">
        <v>36</v>
      </c>
      <c r="H75" t="str">
        <f>IF(AND(G75&gt;18, G75&lt;65), "Valid", "Invalid")</f>
        <v>Valid</v>
      </c>
      <c r="I75" t="s">
        <v>47</v>
      </c>
      <c r="J75" t="str">
        <f>PROPER(TRIM(I75))</f>
        <v>Enugu</v>
      </c>
      <c r="K75" t="s">
        <v>54</v>
      </c>
      <c r="L75" t="str">
        <f>PROPER(TRIM(K75))</f>
        <v>Home</v>
      </c>
      <c r="M75" t="s">
        <v>55</v>
      </c>
      <c r="N75" t="str">
        <f>PROPER(TRIM(M75))</f>
        <v>Chair</v>
      </c>
      <c r="O75">
        <v>288.64</v>
      </c>
      <c r="P75">
        <v>1</v>
      </c>
      <c r="Q75">
        <f>IF(P75&lt;1, 1, P75)</f>
        <v>1</v>
      </c>
      <c r="R75">
        <v>120</v>
      </c>
      <c r="S75" t="str">
        <f>IF(OR(R75&lt;0,R75&gt;100),"invalid","Valid")</f>
        <v>invalid</v>
      </c>
      <c r="T75" t="s">
        <v>59</v>
      </c>
      <c r="U75" t="str">
        <f>PROPER(TRIM(T75))</f>
        <v>Mobile Money</v>
      </c>
      <c r="V75" t="s">
        <v>81</v>
      </c>
      <c r="W75" t="str">
        <f t="shared" si="2"/>
        <v>Ada</v>
      </c>
      <c r="X75" t="s">
        <v>82</v>
      </c>
      <c r="Y75">
        <v>5</v>
      </c>
      <c r="Z75" t="str">
        <f>IF(D75="", "Missing", "ok")</f>
        <v>ok</v>
      </c>
      <c r="AA75">
        <f t="shared" si="3"/>
        <v>-57.727999999999987</v>
      </c>
    </row>
    <row r="76" spans="1:27" x14ac:dyDescent="0.25">
      <c r="A76" t="s">
        <v>275</v>
      </c>
      <c r="B76" s="1" t="s">
        <v>276</v>
      </c>
      <c r="C76" t="s">
        <v>277</v>
      </c>
      <c r="D76" t="s">
        <v>117</v>
      </c>
      <c r="E76" t="str">
        <f>PROPER(TRIM(D76))</f>
        <v>David</v>
      </c>
      <c r="F76" t="s">
        <v>46</v>
      </c>
      <c r="G76">
        <v>130</v>
      </c>
      <c r="H76" t="str">
        <f>IF(AND(G76&gt;18, G76&lt;65), "Valid", "Invalid")</f>
        <v>Invalid</v>
      </c>
      <c r="I76" t="s">
        <v>70</v>
      </c>
      <c r="J76" t="str">
        <f>PROPER(TRIM(I76))</f>
        <v>Abuja</v>
      </c>
      <c r="K76" t="s">
        <v>39</v>
      </c>
      <c r="L76" t="str">
        <f>PROPER(TRIM(K76))</f>
        <v>Electronics</v>
      </c>
      <c r="M76" t="s">
        <v>40</v>
      </c>
      <c r="N76" t="str">
        <f>PROPER(TRIM(M76))</f>
        <v>Phone</v>
      </c>
      <c r="O76">
        <v>84.9</v>
      </c>
      <c r="P76">
        <v>-2</v>
      </c>
      <c r="Q76">
        <f>IF(P76&lt;1, 1, P76)</f>
        <v>1</v>
      </c>
      <c r="R76">
        <v>5</v>
      </c>
      <c r="S76" t="str">
        <f>IF(OR(R76&lt;0,R76&gt;100),"invalid","Valid")</f>
        <v>Valid</v>
      </c>
      <c r="T76" t="s">
        <v>59</v>
      </c>
      <c r="U76" t="str">
        <f>PROPER(TRIM(T76))</f>
        <v>Mobile Money</v>
      </c>
      <c r="V76" t="s">
        <v>41</v>
      </c>
      <c r="W76" t="str">
        <f t="shared" si="2"/>
        <v>Chi</v>
      </c>
      <c r="X76" t="s">
        <v>33</v>
      </c>
      <c r="Y76">
        <v>3</v>
      </c>
      <c r="Z76" t="str">
        <f>IF(D76="", "Missing", "ok")</f>
        <v>ok</v>
      </c>
      <c r="AA76">
        <f t="shared" si="3"/>
        <v>80.655000000000001</v>
      </c>
    </row>
    <row r="77" spans="1:27" x14ac:dyDescent="0.25">
      <c r="A77" t="s">
        <v>278</v>
      </c>
      <c r="B77" s="1" t="s">
        <v>279</v>
      </c>
      <c r="C77" t="s">
        <v>280</v>
      </c>
      <c r="D77" t="s">
        <v>19</v>
      </c>
      <c r="E77" t="str">
        <f>PROPER(TRIM(D77))</f>
        <v>Peter</v>
      </c>
      <c r="F77" t="s">
        <v>20</v>
      </c>
      <c r="G77">
        <v>21</v>
      </c>
      <c r="H77" t="str">
        <f>IF(AND(G77&gt;18, G77&lt;65), "Valid", "Invalid")</f>
        <v>Valid</v>
      </c>
      <c r="I77" t="s">
        <v>30</v>
      </c>
      <c r="J77" t="str">
        <f>PROPER(TRIM(I77))</f>
        <v>Lagos</v>
      </c>
      <c r="K77" t="s">
        <v>121</v>
      </c>
      <c r="L77" t="str">
        <f>PROPER(TRIM(K77))</f>
        <v>Beauty</v>
      </c>
      <c r="M77" t="s">
        <v>122</v>
      </c>
      <c r="N77" t="str">
        <f>PROPER(TRIM(M77))</f>
        <v>Cream</v>
      </c>
      <c r="O77">
        <v>105.76</v>
      </c>
      <c r="P77">
        <v>6</v>
      </c>
      <c r="Q77">
        <f>IF(P77&lt;1, 1, P77)</f>
        <v>6</v>
      </c>
      <c r="R77">
        <v>5</v>
      </c>
      <c r="S77" t="str">
        <f>IF(OR(R77&lt;0,R77&gt;100),"invalid","Valid")</f>
        <v>Valid</v>
      </c>
      <c r="U77" t="str">
        <f>PROPER(TRIM(T77))</f>
        <v/>
      </c>
      <c r="V77" t="s">
        <v>41</v>
      </c>
      <c r="W77" t="str">
        <f t="shared" si="2"/>
        <v>Chi</v>
      </c>
      <c r="X77" t="s">
        <v>33</v>
      </c>
      <c r="Y77">
        <v>3</v>
      </c>
      <c r="Z77" t="str">
        <f>IF(D77="", "Missing", "ok")</f>
        <v>ok</v>
      </c>
      <c r="AA77">
        <f t="shared" si="3"/>
        <v>602.83199999999999</v>
      </c>
    </row>
    <row r="78" spans="1:27" x14ac:dyDescent="0.25">
      <c r="A78" t="s">
        <v>281</v>
      </c>
      <c r="B78" s="1" t="s">
        <v>282</v>
      </c>
      <c r="C78" t="s">
        <v>283</v>
      </c>
      <c r="D78" t="s">
        <v>117</v>
      </c>
      <c r="E78" t="str">
        <f>PROPER(TRIM(D78))</f>
        <v>David</v>
      </c>
      <c r="F78" t="s">
        <v>46</v>
      </c>
      <c r="G78">
        <v>44</v>
      </c>
      <c r="H78" t="str">
        <f>IF(AND(G78&gt;18, G78&lt;65), "Valid", "Invalid")</f>
        <v>Valid</v>
      </c>
      <c r="I78" t="s">
        <v>30</v>
      </c>
      <c r="J78" t="str">
        <f>PROPER(TRIM(I78))</f>
        <v>Lagos</v>
      </c>
      <c r="K78" t="s">
        <v>121</v>
      </c>
      <c r="L78" t="str">
        <f>PROPER(TRIM(K78))</f>
        <v>Beauty</v>
      </c>
      <c r="M78" t="s">
        <v>122</v>
      </c>
      <c r="N78" t="str">
        <f>PROPER(TRIM(M78))</f>
        <v>Cream</v>
      </c>
      <c r="O78">
        <v>229.49</v>
      </c>
      <c r="P78">
        <v>-2</v>
      </c>
      <c r="Q78">
        <f>IF(P78&lt;1, 1, P78)</f>
        <v>1</v>
      </c>
      <c r="R78">
        <v>-10</v>
      </c>
      <c r="S78" t="str">
        <f>IF(OR(R78&lt;0,R78&gt;100),"invalid","Valid")</f>
        <v>invalid</v>
      </c>
      <c r="T78" t="s">
        <v>24</v>
      </c>
      <c r="U78" t="str">
        <f>PROPER(TRIM(T78))</f>
        <v>Pos</v>
      </c>
      <c r="V78" t="s">
        <v>91</v>
      </c>
      <c r="W78" t="str">
        <f t="shared" si="2"/>
        <v>Ben</v>
      </c>
      <c r="X78" t="s">
        <v>65</v>
      </c>
      <c r="Y78">
        <v>3</v>
      </c>
      <c r="Z78" t="str">
        <f>IF(D78="", "Missing", "ok")</f>
        <v>ok</v>
      </c>
      <c r="AA78">
        <f t="shared" si="3"/>
        <v>252.43900000000002</v>
      </c>
    </row>
    <row r="79" spans="1:27" x14ac:dyDescent="0.25">
      <c r="A79" t="s">
        <v>284</v>
      </c>
      <c r="B79" s="1" t="s">
        <v>285</v>
      </c>
      <c r="C79" t="s">
        <v>286</v>
      </c>
      <c r="D79" t="s">
        <v>19</v>
      </c>
      <c r="E79" t="str">
        <f>PROPER(TRIM(D79))</f>
        <v>Peter</v>
      </c>
      <c r="F79" t="s">
        <v>46</v>
      </c>
      <c r="G79">
        <v>8</v>
      </c>
      <c r="H79" t="str">
        <f>IF(AND(G79&gt;18, G79&lt;65), "Valid", "Invalid")</f>
        <v>Invalid</v>
      </c>
      <c r="I79" t="s">
        <v>30</v>
      </c>
      <c r="J79" t="str">
        <f>PROPER(TRIM(I79))</f>
        <v>Lagos</v>
      </c>
      <c r="K79" t="s">
        <v>39</v>
      </c>
      <c r="L79" t="str">
        <f>PROPER(TRIM(K79))</f>
        <v>Electronics</v>
      </c>
      <c r="M79" t="s">
        <v>40</v>
      </c>
      <c r="N79" t="str">
        <f>PROPER(TRIM(M79))</f>
        <v>Phone</v>
      </c>
      <c r="O79">
        <v>297.94</v>
      </c>
      <c r="P79">
        <v>-2</v>
      </c>
      <c r="Q79">
        <f>IF(P79&lt;1, 1, P79)</f>
        <v>1</v>
      </c>
      <c r="R79">
        <v>-10</v>
      </c>
      <c r="S79" t="str">
        <f>IF(OR(R79&lt;0,R79&gt;100),"invalid","Valid")</f>
        <v>invalid</v>
      </c>
      <c r="T79" t="s">
        <v>64</v>
      </c>
      <c r="U79" t="str">
        <f>PROPER(TRIM(T79))</f>
        <v>Transfer</v>
      </c>
      <c r="V79" t="s">
        <v>41</v>
      </c>
      <c r="W79" t="str">
        <f t="shared" si="2"/>
        <v>Chi</v>
      </c>
      <c r="X79" t="s">
        <v>82</v>
      </c>
      <c r="Z79" t="str">
        <f>IF(D79="", "Missing", "ok")</f>
        <v>ok</v>
      </c>
      <c r="AA79">
        <f t="shared" si="3"/>
        <v>327.73400000000004</v>
      </c>
    </row>
    <row r="80" spans="1:27" x14ac:dyDescent="0.25">
      <c r="A80" t="s">
        <v>287</v>
      </c>
      <c r="B80" s="1" t="s">
        <v>288</v>
      </c>
      <c r="C80" t="s">
        <v>289</v>
      </c>
      <c r="E80" t="str">
        <f>PROPER(TRIM(D80))</f>
        <v/>
      </c>
      <c r="F80" t="s">
        <v>46</v>
      </c>
      <c r="G80">
        <v>33</v>
      </c>
      <c r="H80" t="str">
        <f>IF(AND(G80&gt;18, G80&lt;65), "Valid", "Invalid")</f>
        <v>Valid</v>
      </c>
      <c r="I80" t="s">
        <v>86</v>
      </c>
      <c r="J80" t="str">
        <f>PROPER(TRIM(I80))</f>
        <v>Kano</v>
      </c>
      <c r="K80" t="s">
        <v>39</v>
      </c>
      <c r="L80" t="str">
        <f>PROPER(TRIM(K80))</f>
        <v>Electronics</v>
      </c>
      <c r="M80" t="s">
        <v>40</v>
      </c>
      <c r="N80" t="str">
        <f>PROPER(TRIM(M80))</f>
        <v>Phone</v>
      </c>
      <c r="O80">
        <v>256.49</v>
      </c>
      <c r="P80">
        <v>10</v>
      </c>
      <c r="Q80">
        <f>IF(P80&lt;1, 1, P80)</f>
        <v>10</v>
      </c>
      <c r="R80">
        <v>-10</v>
      </c>
      <c r="S80" t="str">
        <f>IF(OR(R80&lt;0,R80&gt;100),"invalid","Valid")</f>
        <v>invalid</v>
      </c>
      <c r="T80" t="s">
        <v>59</v>
      </c>
      <c r="U80" t="str">
        <f>PROPER(TRIM(T80))</f>
        <v>Mobile Money</v>
      </c>
      <c r="V80" t="s">
        <v>25</v>
      </c>
      <c r="W80" t="str">
        <f t="shared" si="2"/>
        <v>Dan</v>
      </c>
      <c r="X80" t="s">
        <v>65</v>
      </c>
      <c r="Y80">
        <v>4</v>
      </c>
      <c r="Z80" t="str">
        <f>IF(D80="", "Missing", "ok")</f>
        <v>Missing</v>
      </c>
      <c r="AA80">
        <f t="shared" si="3"/>
        <v>2821.3900000000003</v>
      </c>
    </row>
    <row r="81" spans="1:27" x14ac:dyDescent="0.25">
      <c r="A81" t="s">
        <v>290</v>
      </c>
      <c r="B81" s="1" t="s">
        <v>291</v>
      </c>
      <c r="C81" t="s">
        <v>292</v>
      </c>
      <c r="D81" t="s">
        <v>69</v>
      </c>
      <c r="E81" t="str">
        <f>PROPER(TRIM(D81))</f>
        <v>Mary</v>
      </c>
      <c r="F81" t="s">
        <v>46</v>
      </c>
      <c r="G81">
        <v>130</v>
      </c>
      <c r="H81" t="str">
        <f>IF(AND(G81&gt;18, G81&lt;65), "Valid", "Invalid")</f>
        <v>Invalid</v>
      </c>
      <c r="I81" t="s">
        <v>86</v>
      </c>
      <c r="J81" t="str">
        <f>PROPER(TRIM(I81))</f>
        <v>Kano</v>
      </c>
      <c r="K81" t="s">
        <v>121</v>
      </c>
      <c r="L81" t="str">
        <f>PROPER(TRIM(K81))</f>
        <v>Beauty</v>
      </c>
      <c r="M81" t="s">
        <v>122</v>
      </c>
      <c r="N81" t="str">
        <f>PROPER(TRIM(M81))</f>
        <v>Cream</v>
      </c>
      <c r="O81">
        <v>202.13</v>
      </c>
      <c r="P81">
        <v>2</v>
      </c>
      <c r="Q81">
        <f>IF(P81&lt;1, 1, P81)</f>
        <v>2</v>
      </c>
      <c r="R81">
        <v>-10</v>
      </c>
      <c r="S81" t="str">
        <f>IF(OR(R81&lt;0,R81&gt;100),"invalid","Valid")</f>
        <v>invalid</v>
      </c>
      <c r="T81" t="s">
        <v>24</v>
      </c>
      <c r="U81" t="str">
        <f>PROPER(TRIM(T81))</f>
        <v>Pos</v>
      </c>
      <c r="V81" t="s">
        <v>25</v>
      </c>
      <c r="W81" t="str">
        <f t="shared" si="2"/>
        <v>Dan</v>
      </c>
      <c r="X81" t="s">
        <v>65</v>
      </c>
      <c r="Z81" t="str">
        <f>IF(D81="", "Missing", "ok")</f>
        <v>ok</v>
      </c>
      <c r="AA81">
        <f t="shared" si="3"/>
        <v>444.68600000000004</v>
      </c>
    </row>
    <row r="82" spans="1:27" x14ac:dyDescent="0.25">
      <c r="A82" t="s">
        <v>293</v>
      </c>
      <c r="B82" s="1" t="s">
        <v>294</v>
      </c>
      <c r="C82" t="s">
        <v>295</v>
      </c>
      <c r="D82" t="s">
        <v>101</v>
      </c>
      <c r="E82" t="str">
        <f>PROPER(TRIM(D82))</f>
        <v>Grace</v>
      </c>
      <c r="F82" t="s">
        <v>46</v>
      </c>
      <c r="G82">
        <v>130</v>
      </c>
      <c r="H82" t="str">
        <f>IF(AND(G82&gt;18, G82&lt;65), "Valid", "Invalid")</f>
        <v>Invalid</v>
      </c>
      <c r="I82" t="s">
        <v>70</v>
      </c>
      <c r="J82" t="str">
        <f>PROPER(TRIM(I82))</f>
        <v>Abuja</v>
      </c>
      <c r="K82" t="s">
        <v>87</v>
      </c>
      <c r="L82" t="str">
        <f>PROPER(TRIM(K82))</f>
        <v>Groceris</v>
      </c>
      <c r="M82" t="s">
        <v>49</v>
      </c>
      <c r="N82" t="str">
        <f>PROPER(TRIM(M82))</f>
        <v>Rice</v>
      </c>
      <c r="O82">
        <v>376.61</v>
      </c>
      <c r="P82">
        <v>2</v>
      </c>
      <c r="Q82">
        <f>IF(P82&lt;1, 1, P82)</f>
        <v>2</v>
      </c>
      <c r="R82">
        <v>15</v>
      </c>
      <c r="S82" t="str">
        <f>IF(OR(R82&lt;0,R82&gt;100),"invalid","Valid")</f>
        <v>Valid</v>
      </c>
      <c r="T82" t="s">
        <v>59</v>
      </c>
      <c r="U82" t="str">
        <f>PROPER(TRIM(T82))</f>
        <v>Mobile Money</v>
      </c>
      <c r="V82" t="s">
        <v>91</v>
      </c>
      <c r="W82" t="str">
        <f t="shared" si="2"/>
        <v>Ben</v>
      </c>
      <c r="X82" t="s">
        <v>65</v>
      </c>
      <c r="Y82">
        <v>2</v>
      </c>
      <c r="Z82" t="str">
        <f>IF(D82="", "Missing", "ok")</f>
        <v>ok</v>
      </c>
      <c r="AA82">
        <f t="shared" si="3"/>
        <v>640.23699999999997</v>
      </c>
    </row>
    <row r="83" spans="1:27" x14ac:dyDescent="0.25">
      <c r="A83" t="s">
        <v>296</v>
      </c>
      <c r="B83" s="1" t="s">
        <v>297</v>
      </c>
      <c r="C83" t="s">
        <v>298</v>
      </c>
      <c r="D83" t="s">
        <v>101</v>
      </c>
      <c r="E83" t="str">
        <f>PROPER(TRIM(D83))</f>
        <v>Grace</v>
      </c>
      <c r="F83" t="s">
        <v>20</v>
      </c>
      <c r="G83">
        <v>36</v>
      </c>
      <c r="H83" t="str">
        <f>IF(AND(G83&gt;18, G83&lt;65), "Valid", "Invalid")</f>
        <v>Valid</v>
      </c>
      <c r="I83" t="s">
        <v>30</v>
      </c>
      <c r="J83" t="str">
        <f>PROPER(TRIM(I83))</f>
        <v>Lagos</v>
      </c>
      <c r="K83" t="s">
        <v>31</v>
      </c>
      <c r="L83" t="str">
        <f>PROPER(TRIM(K83))</f>
        <v>Sports</v>
      </c>
      <c r="M83" t="s">
        <v>32</v>
      </c>
      <c r="N83" t="str">
        <f>PROPER(TRIM(M83))</f>
        <v>Ball</v>
      </c>
      <c r="O83">
        <v>50.76</v>
      </c>
      <c r="P83">
        <v>-2</v>
      </c>
      <c r="Q83">
        <f>IF(P83&lt;1, 1, P83)</f>
        <v>1</v>
      </c>
      <c r="R83">
        <v>120</v>
      </c>
      <c r="S83" t="str">
        <f>IF(OR(R83&lt;0,R83&gt;100),"invalid","Valid")</f>
        <v>invalid</v>
      </c>
      <c r="T83" t="s">
        <v>59</v>
      </c>
      <c r="U83" t="str">
        <f>PROPER(TRIM(T83))</f>
        <v>Mobile Money</v>
      </c>
      <c r="V83" t="s">
        <v>91</v>
      </c>
      <c r="W83" t="str">
        <f t="shared" si="2"/>
        <v>Ben</v>
      </c>
      <c r="X83" t="s">
        <v>65</v>
      </c>
      <c r="Y83">
        <v>2</v>
      </c>
      <c r="Z83" t="str">
        <f>IF(D83="", "Missing", "ok")</f>
        <v>ok</v>
      </c>
      <c r="AA83">
        <f t="shared" si="3"/>
        <v>-10.151999999999997</v>
      </c>
    </row>
    <row r="84" spans="1:27" x14ac:dyDescent="0.25">
      <c r="A84" t="s">
        <v>299</v>
      </c>
      <c r="B84" s="1" t="s">
        <v>300</v>
      </c>
      <c r="C84" t="s">
        <v>301</v>
      </c>
      <c r="D84" t="s">
        <v>117</v>
      </c>
      <c r="E84" t="str">
        <f>PROPER(TRIM(D84))</f>
        <v>David</v>
      </c>
      <c r="F84" t="s">
        <v>46</v>
      </c>
      <c r="G84">
        <v>23</v>
      </c>
      <c r="H84" t="str">
        <f>IF(AND(G84&gt;18, G84&lt;65), "Valid", "Invalid")</f>
        <v>Valid</v>
      </c>
      <c r="I84" t="s">
        <v>47</v>
      </c>
      <c r="J84" t="str">
        <f>PROPER(TRIM(I84))</f>
        <v>Enugu</v>
      </c>
      <c r="K84" t="s">
        <v>54</v>
      </c>
      <c r="L84" t="str">
        <f>PROPER(TRIM(K84))</f>
        <v>Home</v>
      </c>
      <c r="M84" t="s">
        <v>55</v>
      </c>
      <c r="N84" t="str">
        <f>PROPER(TRIM(M84))</f>
        <v>Chair</v>
      </c>
      <c r="O84">
        <v>164.1</v>
      </c>
      <c r="P84">
        <v>3</v>
      </c>
      <c r="Q84">
        <f>IF(P84&lt;1, 1, P84)</f>
        <v>3</v>
      </c>
      <c r="R84">
        <v>10</v>
      </c>
      <c r="S84" t="str">
        <f>IF(OR(R84&lt;0,R84&gt;100),"invalid","Valid")</f>
        <v>Valid</v>
      </c>
      <c r="T84" t="s">
        <v>24</v>
      </c>
      <c r="U84" t="str">
        <f>PROPER(TRIM(T84))</f>
        <v>Pos</v>
      </c>
      <c r="V84" t="s">
        <v>25</v>
      </c>
      <c r="W84" t="str">
        <f t="shared" si="2"/>
        <v>Dan</v>
      </c>
      <c r="X84" t="s">
        <v>65</v>
      </c>
      <c r="Y84">
        <v>3</v>
      </c>
      <c r="Z84" t="str">
        <f>IF(D84="", "Missing", "ok")</f>
        <v>ok</v>
      </c>
      <c r="AA84">
        <f t="shared" si="3"/>
        <v>443.07</v>
      </c>
    </row>
    <row r="85" spans="1:27" x14ac:dyDescent="0.25">
      <c r="A85" t="s">
        <v>302</v>
      </c>
      <c r="B85" s="1" t="s">
        <v>303</v>
      </c>
      <c r="C85" t="s">
        <v>304</v>
      </c>
      <c r="D85" t="s">
        <v>63</v>
      </c>
      <c r="E85" t="str">
        <f>PROPER(TRIM(D85))</f>
        <v>John</v>
      </c>
      <c r="F85" t="s">
        <v>46</v>
      </c>
      <c r="G85">
        <v>8</v>
      </c>
      <c r="H85" t="str">
        <f>IF(AND(G85&gt;18, G85&lt;65), "Valid", "Invalid")</f>
        <v>Invalid</v>
      </c>
      <c r="I85" t="s">
        <v>53</v>
      </c>
      <c r="J85" t="str">
        <f>PROPER(TRIM(I85))</f>
        <v>Lagos</v>
      </c>
      <c r="K85" t="s">
        <v>54</v>
      </c>
      <c r="L85" t="str">
        <f>PROPER(TRIM(K85))</f>
        <v>Home</v>
      </c>
      <c r="M85" t="s">
        <v>55</v>
      </c>
      <c r="N85" t="str">
        <f>PROPER(TRIM(M85))</f>
        <v>Chair</v>
      </c>
      <c r="O85">
        <v>15.36</v>
      </c>
      <c r="P85">
        <v>4</v>
      </c>
      <c r="Q85">
        <f>IF(P85&lt;1, 1, P85)</f>
        <v>4</v>
      </c>
      <c r="R85">
        <v>-10</v>
      </c>
      <c r="S85" t="str">
        <f>IF(OR(R85&lt;0,R85&gt;100),"invalid","Valid")</f>
        <v>invalid</v>
      </c>
      <c r="T85" t="s">
        <v>24</v>
      </c>
      <c r="U85" t="str">
        <f>PROPER(TRIM(T85))</f>
        <v>Pos</v>
      </c>
      <c r="V85" t="s">
        <v>91</v>
      </c>
      <c r="W85" t="str">
        <f t="shared" si="2"/>
        <v>Ben</v>
      </c>
      <c r="X85" t="s">
        <v>26</v>
      </c>
      <c r="Y85">
        <v>2</v>
      </c>
      <c r="Z85" t="str">
        <f>IF(D85="", "Missing", "ok")</f>
        <v>ok</v>
      </c>
      <c r="AA85">
        <f t="shared" si="3"/>
        <v>67.584000000000003</v>
      </c>
    </row>
    <row r="86" spans="1:27" x14ac:dyDescent="0.25">
      <c r="A86" t="s">
        <v>305</v>
      </c>
      <c r="B86" s="1" t="s">
        <v>306</v>
      </c>
      <c r="C86" t="s">
        <v>307</v>
      </c>
      <c r="D86" t="s">
        <v>117</v>
      </c>
      <c r="E86" t="str">
        <f>PROPER(TRIM(D86))</f>
        <v>David</v>
      </c>
      <c r="F86" t="s">
        <v>20</v>
      </c>
      <c r="G86">
        <v>63</v>
      </c>
      <c r="H86" t="str">
        <f>IF(AND(G86&gt;18, G86&lt;65), "Valid", "Invalid")</f>
        <v>Valid</v>
      </c>
      <c r="I86" t="s">
        <v>86</v>
      </c>
      <c r="J86" t="str">
        <f>PROPER(TRIM(I86))</f>
        <v>Kano</v>
      </c>
      <c r="K86" t="s">
        <v>31</v>
      </c>
      <c r="L86" t="str">
        <f>PROPER(TRIM(K86))</f>
        <v>Sports</v>
      </c>
      <c r="M86" t="s">
        <v>32</v>
      </c>
      <c r="N86" t="str">
        <f>PROPER(TRIM(M86))</f>
        <v>Ball</v>
      </c>
      <c r="O86">
        <v>418.34</v>
      </c>
      <c r="P86">
        <v>5</v>
      </c>
      <c r="Q86">
        <f>IF(P86&lt;1, 1, P86)</f>
        <v>5</v>
      </c>
      <c r="R86">
        <v>5</v>
      </c>
      <c r="S86" t="str">
        <f>IF(OR(R86&lt;0,R86&gt;100),"invalid","Valid")</f>
        <v>Valid</v>
      </c>
      <c r="T86" t="s">
        <v>77</v>
      </c>
      <c r="U86" t="str">
        <f>PROPER(TRIM(T86))</f>
        <v>Cash</v>
      </c>
      <c r="V86" t="s">
        <v>81</v>
      </c>
      <c r="W86" t="str">
        <f t="shared" si="2"/>
        <v>Ada</v>
      </c>
      <c r="X86" t="s">
        <v>65</v>
      </c>
      <c r="Y86">
        <v>1</v>
      </c>
      <c r="Z86" t="str">
        <f>IF(D86="", "Missing", "ok")</f>
        <v>ok</v>
      </c>
      <c r="AA86">
        <f t="shared" si="3"/>
        <v>1987.1149999999998</v>
      </c>
    </row>
    <row r="87" spans="1:27" x14ac:dyDescent="0.25">
      <c r="A87" t="s">
        <v>308</v>
      </c>
      <c r="B87" s="1" t="s">
        <v>309</v>
      </c>
      <c r="C87" t="s">
        <v>310</v>
      </c>
      <c r="D87" t="s">
        <v>63</v>
      </c>
      <c r="E87" t="str">
        <f>PROPER(TRIM(D87))</f>
        <v>John</v>
      </c>
      <c r="F87" t="s">
        <v>46</v>
      </c>
      <c r="G87">
        <v>46</v>
      </c>
      <c r="H87" t="str">
        <f>IF(AND(G87&gt;18, G87&lt;65), "Valid", "Invalid")</f>
        <v>Valid</v>
      </c>
      <c r="I87" t="s">
        <v>30</v>
      </c>
      <c r="J87" t="str">
        <f>PROPER(TRIM(I87))</f>
        <v>Lagos</v>
      </c>
      <c r="K87" t="s">
        <v>121</v>
      </c>
      <c r="L87" t="str">
        <f>PROPER(TRIM(K87))</f>
        <v>Beauty</v>
      </c>
      <c r="M87" t="s">
        <v>122</v>
      </c>
      <c r="N87" t="str">
        <f>PROPER(TRIM(M87))</f>
        <v>Cream</v>
      </c>
      <c r="O87">
        <v>214.36</v>
      </c>
      <c r="P87">
        <v>-2</v>
      </c>
      <c r="Q87">
        <f>IF(P87&lt;1, 1, P87)</f>
        <v>1</v>
      </c>
      <c r="R87">
        <v>15</v>
      </c>
      <c r="S87" t="str">
        <f>IF(OR(R87&lt;0,R87&gt;100),"invalid","Valid")</f>
        <v>Valid</v>
      </c>
      <c r="T87" t="s">
        <v>24</v>
      </c>
      <c r="U87" t="str">
        <f>PROPER(TRIM(T87))</f>
        <v>Pos</v>
      </c>
      <c r="V87" t="s">
        <v>25</v>
      </c>
      <c r="W87" t="str">
        <f t="shared" si="2"/>
        <v>Dan</v>
      </c>
      <c r="X87" t="s">
        <v>65</v>
      </c>
      <c r="Z87" t="str">
        <f>IF(D87="", "Missing", "ok")</f>
        <v>ok</v>
      </c>
      <c r="AA87">
        <f t="shared" si="3"/>
        <v>182.20600000000002</v>
      </c>
    </row>
    <row r="88" spans="1:27" x14ac:dyDescent="0.25">
      <c r="A88" t="s">
        <v>311</v>
      </c>
      <c r="B88" s="1" t="s">
        <v>312</v>
      </c>
      <c r="C88" t="s">
        <v>313</v>
      </c>
      <c r="D88" t="s">
        <v>101</v>
      </c>
      <c r="E88" t="str">
        <f>PROPER(TRIM(D88))</f>
        <v>Grace</v>
      </c>
      <c r="F88" t="s">
        <v>20</v>
      </c>
      <c r="G88">
        <v>8</v>
      </c>
      <c r="H88" t="str">
        <f>IF(AND(G88&gt;18, G88&lt;65), "Valid", "Invalid")</f>
        <v>Invalid</v>
      </c>
      <c r="I88" t="s">
        <v>30</v>
      </c>
      <c r="J88" t="str">
        <f>PROPER(TRIM(I88))</f>
        <v>Lagos</v>
      </c>
      <c r="K88" t="s">
        <v>121</v>
      </c>
      <c r="L88" t="str">
        <f>PROPER(TRIM(K88))</f>
        <v>Beauty</v>
      </c>
      <c r="M88" t="s">
        <v>122</v>
      </c>
      <c r="N88" t="str">
        <f>PROPER(TRIM(M88))</f>
        <v>Cream</v>
      </c>
      <c r="O88">
        <v>57.71</v>
      </c>
      <c r="P88">
        <v>-2</v>
      </c>
      <c r="Q88">
        <f>IF(P88&lt;1, 1, P88)</f>
        <v>1</v>
      </c>
      <c r="R88">
        <v>-10</v>
      </c>
      <c r="S88" t="str">
        <f>IF(OR(R88&lt;0,R88&gt;100),"invalid","Valid")</f>
        <v>invalid</v>
      </c>
      <c r="T88" t="s">
        <v>77</v>
      </c>
      <c r="U88" t="str">
        <f>PROPER(TRIM(T88))</f>
        <v>Cash</v>
      </c>
      <c r="V88" t="s">
        <v>91</v>
      </c>
      <c r="W88" t="str">
        <f t="shared" si="2"/>
        <v>Ben</v>
      </c>
      <c r="X88" t="s">
        <v>33</v>
      </c>
      <c r="Y88">
        <v>3</v>
      </c>
      <c r="Z88" t="str">
        <f>IF(D88="", "Missing", "ok")</f>
        <v>ok</v>
      </c>
      <c r="AA88">
        <f t="shared" si="3"/>
        <v>63.481000000000009</v>
      </c>
    </row>
    <row r="89" spans="1:27" x14ac:dyDescent="0.25">
      <c r="A89" t="s">
        <v>314</v>
      </c>
      <c r="B89" s="1" t="s">
        <v>315</v>
      </c>
      <c r="C89" t="s">
        <v>316</v>
      </c>
      <c r="D89" t="s">
        <v>69</v>
      </c>
      <c r="E89" t="str">
        <f>PROPER(TRIM(D89))</f>
        <v>Mary</v>
      </c>
      <c r="F89" t="s">
        <v>20</v>
      </c>
      <c r="G89">
        <v>8</v>
      </c>
      <c r="H89" t="str">
        <f>IF(AND(G89&gt;18, G89&lt;65), "Valid", "Invalid")</f>
        <v>Invalid</v>
      </c>
      <c r="I89" t="s">
        <v>53</v>
      </c>
      <c r="J89" t="str">
        <f>PROPER(TRIM(I89))</f>
        <v>Lagos</v>
      </c>
      <c r="K89" t="s">
        <v>31</v>
      </c>
      <c r="L89" t="str">
        <f>PROPER(TRIM(K89))</f>
        <v>Sports</v>
      </c>
      <c r="M89" t="s">
        <v>32</v>
      </c>
      <c r="N89" t="str">
        <f>PROPER(TRIM(M89))</f>
        <v>Ball</v>
      </c>
      <c r="O89">
        <v>370.55</v>
      </c>
      <c r="P89">
        <v>-2</v>
      </c>
      <c r="Q89">
        <f>IF(P89&lt;1, 1, P89)</f>
        <v>1</v>
      </c>
      <c r="R89">
        <v>120</v>
      </c>
      <c r="S89" t="str">
        <f>IF(OR(R89&lt;0,R89&gt;100),"invalid","Valid")</f>
        <v>invalid</v>
      </c>
      <c r="T89" t="s">
        <v>64</v>
      </c>
      <c r="U89" t="str">
        <f>PROPER(TRIM(T89))</f>
        <v>Transfer</v>
      </c>
      <c r="V89" t="s">
        <v>91</v>
      </c>
      <c r="W89" t="str">
        <f t="shared" si="2"/>
        <v>Ben</v>
      </c>
      <c r="X89" t="s">
        <v>33</v>
      </c>
      <c r="Y89">
        <v>4</v>
      </c>
      <c r="Z89" t="str">
        <f>IF(D89="", "Missing", "ok")</f>
        <v>ok</v>
      </c>
      <c r="AA89">
        <f t="shared" si="3"/>
        <v>-74.109999999999985</v>
      </c>
    </row>
    <row r="90" spans="1:27" x14ac:dyDescent="0.25">
      <c r="A90" t="s">
        <v>317</v>
      </c>
      <c r="B90" s="1" t="s">
        <v>106</v>
      </c>
      <c r="C90" t="s">
        <v>318</v>
      </c>
      <c r="D90" t="s">
        <v>19</v>
      </c>
      <c r="E90" t="str">
        <f>PROPER(TRIM(D90))</f>
        <v>Peter</v>
      </c>
      <c r="F90" t="s">
        <v>20</v>
      </c>
      <c r="G90">
        <v>8</v>
      </c>
      <c r="H90" t="str">
        <f>IF(AND(G90&gt;18, G90&lt;65), "Valid", "Invalid")</f>
        <v>Invalid</v>
      </c>
      <c r="I90" t="s">
        <v>86</v>
      </c>
      <c r="J90" t="str">
        <f>PROPER(TRIM(I90))</f>
        <v>Kano</v>
      </c>
      <c r="K90" t="s">
        <v>31</v>
      </c>
      <c r="L90" t="str">
        <f>PROPER(TRIM(K90))</f>
        <v>Sports</v>
      </c>
      <c r="M90" t="s">
        <v>32</v>
      </c>
      <c r="N90" t="str">
        <f>PROPER(TRIM(M90))</f>
        <v>Ball</v>
      </c>
      <c r="O90">
        <v>331.75</v>
      </c>
      <c r="P90">
        <v>-2</v>
      </c>
      <c r="Q90">
        <f>IF(P90&lt;1, 1, P90)</f>
        <v>1</v>
      </c>
      <c r="R90">
        <v>120</v>
      </c>
      <c r="S90" t="str">
        <f>IF(OR(R90&lt;0,R90&gt;100),"invalid","Valid")</f>
        <v>invalid</v>
      </c>
      <c r="U90" t="str">
        <f>PROPER(TRIM(T90))</f>
        <v/>
      </c>
      <c r="V90" t="s">
        <v>91</v>
      </c>
      <c r="W90" t="str">
        <f t="shared" si="2"/>
        <v>Ben</v>
      </c>
      <c r="X90" t="s">
        <v>82</v>
      </c>
      <c r="Y90">
        <v>2</v>
      </c>
      <c r="Z90" t="str">
        <f>IF(D90="", "Missing", "ok")</f>
        <v>ok</v>
      </c>
      <c r="AA90">
        <f t="shared" si="3"/>
        <v>-66.34999999999998</v>
      </c>
    </row>
    <row r="91" spans="1:27" x14ac:dyDescent="0.25">
      <c r="A91" t="s">
        <v>319</v>
      </c>
      <c r="B91" s="1" t="s">
        <v>320</v>
      </c>
      <c r="C91" t="s">
        <v>321</v>
      </c>
      <c r="D91" t="s">
        <v>19</v>
      </c>
      <c r="E91" t="str">
        <f>PROPER(TRIM(D91))</f>
        <v>Peter</v>
      </c>
      <c r="F91" t="s">
        <v>20</v>
      </c>
      <c r="G91">
        <v>130</v>
      </c>
      <c r="H91" t="str">
        <f>IF(AND(G91&gt;18, G91&lt;65), "Valid", "Invalid")</f>
        <v>Invalid</v>
      </c>
      <c r="I91" t="s">
        <v>70</v>
      </c>
      <c r="J91" t="str">
        <f>PROPER(TRIM(I91))</f>
        <v>Abuja</v>
      </c>
      <c r="K91" t="s">
        <v>22</v>
      </c>
      <c r="L91" t="str">
        <f>PROPER(TRIM(K91))</f>
        <v>Fashion</v>
      </c>
      <c r="M91" t="s">
        <v>23</v>
      </c>
      <c r="N91" t="str">
        <f>PROPER(TRIM(M91))</f>
        <v>Shirt</v>
      </c>
      <c r="O91">
        <v>265.26</v>
      </c>
      <c r="P91">
        <v>-2</v>
      </c>
      <c r="Q91">
        <f>IF(P91&lt;1, 1, P91)</f>
        <v>1</v>
      </c>
      <c r="R91">
        <v>0</v>
      </c>
      <c r="S91" t="str">
        <f>IF(OR(R91&lt;0,R91&gt;100),"invalid","Valid")</f>
        <v>Valid</v>
      </c>
      <c r="T91" t="s">
        <v>24</v>
      </c>
      <c r="U91" t="str">
        <f>PROPER(TRIM(T91))</f>
        <v>Pos</v>
      </c>
      <c r="V91" t="s">
        <v>25</v>
      </c>
      <c r="W91" t="str">
        <f t="shared" si="2"/>
        <v>Dan</v>
      </c>
      <c r="X91" t="s">
        <v>82</v>
      </c>
      <c r="Y91">
        <v>5</v>
      </c>
      <c r="Z91" t="str">
        <f>IF(D91="", "Missing", "ok")</f>
        <v>ok</v>
      </c>
      <c r="AA91">
        <f t="shared" si="3"/>
        <v>265.26</v>
      </c>
    </row>
    <row r="92" spans="1:27" x14ac:dyDescent="0.25">
      <c r="A92" t="s">
        <v>322</v>
      </c>
      <c r="B92" s="1" t="s">
        <v>323</v>
      </c>
      <c r="C92" t="s">
        <v>324</v>
      </c>
      <c r="D92" t="s">
        <v>69</v>
      </c>
      <c r="E92" t="str">
        <f>PROPER(TRIM(D92))</f>
        <v>Mary</v>
      </c>
      <c r="F92" t="s">
        <v>20</v>
      </c>
      <c r="G92">
        <v>59</v>
      </c>
      <c r="H92" t="str">
        <f>IF(AND(G92&gt;18, G92&lt;65), "Valid", "Invalid")</f>
        <v>Valid</v>
      </c>
      <c r="I92" t="s">
        <v>21</v>
      </c>
      <c r="J92" t="str">
        <f>PROPER(TRIM(I92))</f>
        <v>Lagos</v>
      </c>
      <c r="K92" t="s">
        <v>39</v>
      </c>
      <c r="L92" t="str">
        <f>PROPER(TRIM(K92))</f>
        <v>Electronics</v>
      </c>
      <c r="M92" t="s">
        <v>40</v>
      </c>
      <c r="N92" t="str">
        <f>PROPER(TRIM(M92))</f>
        <v>Phone</v>
      </c>
      <c r="O92">
        <v>285.7</v>
      </c>
      <c r="P92">
        <v>4</v>
      </c>
      <c r="Q92">
        <f>IF(P92&lt;1, 1, P92)</f>
        <v>4</v>
      </c>
      <c r="R92">
        <v>0</v>
      </c>
      <c r="S92" t="str">
        <f>IF(OR(R92&lt;0,R92&gt;100),"invalid","Valid")</f>
        <v>Valid</v>
      </c>
      <c r="U92" t="str">
        <f>PROPER(TRIM(T92))</f>
        <v/>
      </c>
      <c r="V92" t="s">
        <v>91</v>
      </c>
      <c r="W92" t="str">
        <f t="shared" si="2"/>
        <v>Ben</v>
      </c>
      <c r="X92" t="s">
        <v>33</v>
      </c>
      <c r="Y92">
        <v>5</v>
      </c>
      <c r="Z92" t="str">
        <f>IF(D92="", "Missing", "ok")</f>
        <v>ok</v>
      </c>
      <c r="AA92">
        <f t="shared" si="3"/>
        <v>1142.8</v>
      </c>
    </row>
    <row r="93" spans="1:27" x14ac:dyDescent="0.25">
      <c r="A93" t="s">
        <v>325</v>
      </c>
      <c r="B93" s="1" t="s">
        <v>326</v>
      </c>
      <c r="C93" t="s">
        <v>327</v>
      </c>
      <c r="D93" t="s">
        <v>101</v>
      </c>
      <c r="E93" t="str">
        <f>PROPER(TRIM(D93))</f>
        <v>Grace</v>
      </c>
      <c r="F93" t="s">
        <v>46</v>
      </c>
      <c r="G93">
        <v>130</v>
      </c>
      <c r="H93" t="str">
        <f>IF(AND(G93&gt;18, G93&lt;65), "Valid", "Invalid")</f>
        <v>Invalid</v>
      </c>
      <c r="I93" t="s">
        <v>53</v>
      </c>
      <c r="J93" t="str">
        <f>PROPER(TRIM(I93))</f>
        <v>Lagos</v>
      </c>
      <c r="K93" t="s">
        <v>48</v>
      </c>
      <c r="L93" t="str">
        <f>PROPER(TRIM(K93))</f>
        <v>Groceries</v>
      </c>
      <c r="M93" t="s">
        <v>49</v>
      </c>
      <c r="N93" t="str">
        <f>PROPER(TRIM(M93))</f>
        <v>Rice</v>
      </c>
      <c r="O93">
        <v>109.04</v>
      </c>
      <c r="P93">
        <v>3</v>
      </c>
      <c r="Q93">
        <f>IF(P93&lt;1, 1, P93)</f>
        <v>3</v>
      </c>
      <c r="R93">
        <v>10</v>
      </c>
      <c r="S93" t="str">
        <f>IF(OR(R93&lt;0,R93&gt;100),"invalid","Valid")</f>
        <v>Valid</v>
      </c>
      <c r="T93" t="s">
        <v>59</v>
      </c>
      <c r="U93" t="str">
        <f>PROPER(TRIM(T93))</f>
        <v>Mobile Money</v>
      </c>
      <c r="V93" t="s">
        <v>91</v>
      </c>
      <c r="W93" t="str">
        <f t="shared" si="2"/>
        <v>Ben</v>
      </c>
      <c r="X93" t="s">
        <v>26</v>
      </c>
      <c r="Y93">
        <v>3</v>
      </c>
      <c r="Z93" t="str">
        <f>IF(D93="", "Missing", "ok")</f>
        <v>ok</v>
      </c>
      <c r="AA93">
        <f t="shared" si="3"/>
        <v>294.40800000000002</v>
      </c>
    </row>
    <row r="94" spans="1:27" x14ac:dyDescent="0.25">
      <c r="A94" t="s">
        <v>328</v>
      </c>
      <c r="B94" s="1" t="s">
        <v>329</v>
      </c>
      <c r="C94" t="s">
        <v>330</v>
      </c>
      <c r="D94" t="s">
        <v>19</v>
      </c>
      <c r="E94" t="str">
        <f>PROPER(TRIM(D94))</f>
        <v>Peter</v>
      </c>
      <c r="F94" t="s">
        <v>20</v>
      </c>
      <c r="G94">
        <v>130</v>
      </c>
      <c r="H94" t="str">
        <f>IF(AND(G94&gt;18, G94&lt;65), "Valid", "Invalid")</f>
        <v>Invalid</v>
      </c>
      <c r="I94" t="s">
        <v>30</v>
      </c>
      <c r="J94" t="str">
        <f>PROPER(TRIM(I94))</f>
        <v>Lagos</v>
      </c>
      <c r="K94" t="s">
        <v>121</v>
      </c>
      <c r="L94" t="str">
        <f>PROPER(TRIM(K94))</f>
        <v>Beauty</v>
      </c>
      <c r="M94" t="s">
        <v>122</v>
      </c>
      <c r="N94" t="str">
        <f>PROPER(TRIM(M94))</f>
        <v>Cream</v>
      </c>
      <c r="O94">
        <v>322.57</v>
      </c>
      <c r="P94">
        <v>8</v>
      </c>
      <c r="Q94">
        <f>IF(P94&lt;1, 1, P94)</f>
        <v>8</v>
      </c>
      <c r="R94">
        <v>10</v>
      </c>
      <c r="S94" t="str">
        <f>IF(OR(R94&lt;0,R94&gt;100),"invalid","Valid")</f>
        <v>Valid</v>
      </c>
      <c r="T94" t="s">
        <v>77</v>
      </c>
      <c r="U94" t="str">
        <f>PROPER(TRIM(T94))</f>
        <v>Cash</v>
      </c>
      <c r="V94" t="s">
        <v>25</v>
      </c>
      <c r="W94" t="str">
        <f t="shared" si="2"/>
        <v>Dan</v>
      </c>
      <c r="X94" t="s">
        <v>33</v>
      </c>
      <c r="Y94">
        <v>5</v>
      </c>
      <c r="Z94" t="str">
        <f>IF(D94="", "Missing", "ok")</f>
        <v>ok</v>
      </c>
      <c r="AA94">
        <f t="shared" si="3"/>
        <v>2322.5039999999999</v>
      </c>
    </row>
    <row r="95" spans="1:27" x14ac:dyDescent="0.25">
      <c r="A95" t="s">
        <v>331</v>
      </c>
      <c r="B95" s="1" t="s">
        <v>323</v>
      </c>
      <c r="C95" t="s">
        <v>332</v>
      </c>
      <c r="D95" t="s">
        <v>117</v>
      </c>
      <c r="E95" t="str">
        <f>PROPER(TRIM(D95))</f>
        <v>David</v>
      </c>
      <c r="F95" t="s">
        <v>20</v>
      </c>
      <c r="G95">
        <v>130</v>
      </c>
      <c r="H95" t="str">
        <f>IF(AND(G95&gt;18, G95&lt;65), "Valid", "Invalid")</f>
        <v>Invalid</v>
      </c>
      <c r="I95" t="s">
        <v>70</v>
      </c>
      <c r="J95" t="str">
        <f>PROPER(TRIM(I95))</f>
        <v>Abuja</v>
      </c>
      <c r="K95" t="s">
        <v>31</v>
      </c>
      <c r="L95" t="str">
        <f>PROPER(TRIM(K95))</f>
        <v>Sports</v>
      </c>
      <c r="M95" t="s">
        <v>32</v>
      </c>
      <c r="N95" t="str">
        <f>PROPER(TRIM(M95))</f>
        <v>Ball</v>
      </c>
      <c r="O95">
        <v>350.62</v>
      </c>
      <c r="P95">
        <v>-2</v>
      </c>
      <c r="Q95">
        <f>IF(P95&lt;1, 1, P95)</f>
        <v>1</v>
      </c>
      <c r="R95">
        <v>15</v>
      </c>
      <c r="S95" t="str">
        <f>IF(OR(R95&lt;0,R95&gt;100),"invalid","Valid")</f>
        <v>Valid</v>
      </c>
      <c r="U95" t="str">
        <f>PROPER(TRIM(T95))</f>
        <v/>
      </c>
      <c r="V95" t="s">
        <v>91</v>
      </c>
      <c r="W95" t="str">
        <f t="shared" si="2"/>
        <v>Ben</v>
      </c>
      <c r="X95" t="s">
        <v>82</v>
      </c>
      <c r="Y95">
        <v>2</v>
      </c>
      <c r="Z95" t="str">
        <f>IF(D95="", "Missing", "ok")</f>
        <v>ok</v>
      </c>
      <c r="AA95">
        <f t="shared" si="3"/>
        <v>298.02699999999999</v>
      </c>
    </row>
    <row r="96" spans="1:27" x14ac:dyDescent="0.25">
      <c r="A96" t="s">
        <v>333</v>
      </c>
      <c r="B96" s="1" t="s">
        <v>285</v>
      </c>
      <c r="C96" t="s">
        <v>334</v>
      </c>
      <c r="D96" t="s">
        <v>63</v>
      </c>
      <c r="E96" t="str">
        <f>PROPER(TRIM(D96))</f>
        <v>John</v>
      </c>
      <c r="F96" t="s">
        <v>20</v>
      </c>
      <c r="G96">
        <v>43</v>
      </c>
      <c r="H96" t="str">
        <f>IF(AND(G96&gt;18, G96&lt;65), "Valid", "Invalid")</f>
        <v>Valid</v>
      </c>
      <c r="I96" t="s">
        <v>86</v>
      </c>
      <c r="J96" t="str">
        <f>PROPER(TRIM(I96))</f>
        <v>Kano</v>
      </c>
      <c r="K96" t="s">
        <v>48</v>
      </c>
      <c r="L96" t="str">
        <f>PROPER(TRIM(K96))</f>
        <v>Groceries</v>
      </c>
      <c r="M96" t="s">
        <v>49</v>
      </c>
      <c r="N96" t="str">
        <f>PROPER(TRIM(M96))</f>
        <v>Rice</v>
      </c>
      <c r="O96">
        <v>499.74</v>
      </c>
      <c r="P96">
        <v>1</v>
      </c>
      <c r="Q96">
        <f>IF(P96&lt;1, 1, P96)</f>
        <v>1</v>
      </c>
      <c r="R96">
        <v>10</v>
      </c>
      <c r="S96" t="str">
        <f>IF(OR(R96&lt;0,R96&gt;100),"invalid","Valid")</f>
        <v>Valid</v>
      </c>
      <c r="U96" t="str">
        <f>PROPER(TRIM(T96))</f>
        <v/>
      </c>
      <c r="V96" t="s">
        <v>25</v>
      </c>
      <c r="W96" t="str">
        <f t="shared" si="2"/>
        <v>Dan</v>
      </c>
      <c r="X96" t="s">
        <v>82</v>
      </c>
      <c r="Y96">
        <v>1</v>
      </c>
      <c r="Z96" t="str">
        <f>IF(D96="", "Missing", "ok")</f>
        <v>ok</v>
      </c>
      <c r="AA96">
        <f t="shared" si="3"/>
        <v>449.76600000000002</v>
      </c>
    </row>
    <row r="97" spans="1:27" x14ac:dyDescent="0.25">
      <c r="A97" t="s">
        <v>335</v>
      </c>
      <c r="B97" s="1" t="s">
        <v>181</v>
      </c>
      <c r="C97" t="s">
        <v>336</v>
      </c>
      <c r="D97" t="s">
        <v>117</v>
      </c>
      <c r="E97" t="str">
        <f>PROPER(TRIM(D97))</f>
        <v>David</v>
      </c>
      <c r="F97" t="s">
        <v>46</v>
      </c>
      <c r="G97">
        <v>29</v>
      </c>
      <c r="H97" t="str">
        <f>IF(AND(G97&gt;18, G97&lt;65), "Valid", "Invalid")</f>
        <v>Valid</v>
      </c>
      <c r="I97" t="s">
        <v>21</v>
      </c>
      <c r="J97" t="str">
        <f>PROPER(TRIM(I97))</f>
        <v>Lagos</v>
      </c>
      <c r="K97" t="s">
        <v>54</v>
      </c>
      <c r="L97" t="str">
        <f>PROPER(TRIM(K97))</f>
        <v>Home</v>
      </c>
      <c r="M97" t="s">
        <v>55</v>
      </c>
      <c r="N97" t="str">
        <f>PROPER(TRIM(M97))</f>
        <v>Chair</v>
      </c>
      <c r="O97">
        <v>304.02</v>
      </c>
      <c r="P97">
        <v>6</v>
      </c>
      <c r="Q97">
        <f>IF(P97&lt;1, 1, P97)</f>
        <v>6</v>
      </c>
      <c r="R97">
        <v>120</v>
      </c>
      <c r="S97" t="str">
        <f>IF(OR(R97&lt;0,R97&gt;100),"invalid","Valid")</f>
        <v>invalid</v>
      </c>
      <c r="T97" t="s">
        <v>59</v>
      </c>
      <c r="U97" t="str">
        <f>PROPER(TRIM(T97))</f>
        <v>Mobile Money</v>
      </c>
      <c r="V97" t="s">
        <v>25</v>
      </c>
      <c r="W97" t="str">
        <f t="shared" si="2"/>
        <v>Dan</v>
      </c>
      <c r="X97" t="s">
        <v>65</v>
      </c>
      <c r="Y97">
        <v>2</v>
      </c>
      <c r="Z97" t="str">
        <f>IF(D97="", "Missing", "ok")</f>
        <v>ok</v>
      </c>
      <c r="AA97">
        <f t="shared" si="3"/>
        <v>-364.8239999999999</v>
      </c>
    </row>
    <row r="98" spans="1:27" x14ac:dyDescent="0.25">
      <c r="A98" t="s">
        <v>337</v>
      </c>
      <c r="B98" s="1" t="s">
        <v>338</v>
      </c>
      <c r="C98" t="s">
        <v>339</v>
      </c>
      <c r="D98" t="s">
        <v>117</v>
      </c>
      <c r="E98" t="str">
        <f>PROPER(TRIM(D98))</f>
        <v>David</v>
      </c>
      <c r="F98" t="s">
        <v>46</v>
      </c>
      <c r="G98">
        <v>25</v>
      </c>
      <c r="H98" t="str">
        <f>IF(AND(G98&gt;18, G98&lt;65), "Valid", "Invalid")</f>
        <v>Valid</v>
      </c>
      <c r="I98" t="s">
        <v>38</v>
      </c>
      <c r="J98" t="str">
        <f>PROPER(TRIM(I98))</f>
        <v>Ph</v>
      </c>
      <c r="K98" t="s">
        <v>54</v>
      </c>
      <c r="L98" t="str">
        <f>PROPER(TRIM(K98))</f>
        <v>Home</v>
      </c>
      <c r="M98" t="s">
        <v>55</v>
      </c>
      <c r="N98" t="str">
        <f>PROPER(TRIM(M98))</f>
        <v>Chair</v>
      </c>
      <c r="O98">
        <v>137.31</v>
      </c>
      <c r="P98">
        <v>3</v>
      </c>
      <c r="Q98">
        <f>IF(P98&lt;1, 1, P98)</f>
        <v>3</v>
      </c>
      <c r="R98">
        <v>10</v>
      </c>
      <c r="S98" t="str">
        <f>IF(OR(R98&lt;0,R98&gt;100),"invalid","Valid")</f>
        <v>Valid</v>
      </c>
      <c r="T98" t="s">
        <v>77</v>
      </c>
      <c r="U98" t="str">
        <f>PROPER(TRIM(T98))</f>
        <v>Cash</v>
      </c>
      <c r="V98" t="s">
        <v>91</v>
      </c>
      <c r="W98" t="str">
        <f t="shared" si="2"/>
        <v>Ben</v>
      </c>
      <c r="X98" t="s">
        <v>33</v>
      </c>
      <c r="Y98">
        <v>5</v>
      </c>
      <c r="Z98" t="str">
        <f>IF(D98="", "Missing", "ok")</f>
        <v>ok</v>
      </c>
      <c r="AA98">
        <f t="shared" si="3"/>
        <v>370.73700000000002</v>
      </c>
    </row>
    <row r="99" spans="1:27" x14ac:dyDescent="0.25">
      <c r="A99" t="s">
        <v>340</v>
      </c>
      <c r="B99" s="1" t="s">
        <v>341</v>
      </c>
      <c r="C99" t="s">
        <v>342</v>
      </c>
      <c r="D99" t="s">
        <v>101</v>
      </c>
      <c r="E99" t="str">
        <f>PROPER(TRIM(D99))</f>
        <v>Grace</v>
      </c>
      <c r="F99" t="s">
        <v>46</v>
      </c>
      <c r="G99">
        <v>8</v>
      </c>
      <c r="H99" t="str">
        <f>IF(AND(G99&gt;18, G99&lt;65), "Valid", "Invalid")</f>
        <v>Invalid</v>
      </c>
      <c r="I99" t="s">
        <v>21</v>
      </c>
      <c r="J99" t="str">
        <f>PROPER(TRIM(I99))</f>
        <v>Lagos</v>
      </c>
      <c r="K99" t="s">
        <v>87</v>
      </c>
      <c r="L99" t="str">
        <f>PROPER(TRIM(K99))</f>
        <v>Groceris</v>
      </c>
      <c r="M99" t="s">
        <v>49</v>
      </c>
      <c r="N99" t="str">
        <f>PROPER(TRIM(M99))</f>
        <v>Rice</v>
      </c>
      <c r="O99">
        <v>353.95</v>
      </c>
      <c r="P99">
        <v>-2</v>
      </c>
      <c r="Q99">
        <f>IF(P99&lt;1, 1, P99)</f>
        <v>1</v>
      </c>
      <c r="R99">
        <v>15</v>
      </c>
      <c r="S99" t="str">
        <f>IF(OR(R99&lt;0,R99&gt;100),"invalid","Valid")</f>
        <v>Valid</v>
      </c>
      <c r="T99" t="s">
        <v>77</v>
      </c>
      <c r="U99" t="str">
        <f>PROPER(TRIM(T99))</f>
        <v>Cash</v>
      </c>
      <c r="V99" t="s">
        <v>91</v>
      </c>
      <c r="W99" t="str">
        <f t="shared" si="2"/>
        <v>Ben</v>
      </c>
      <c r="X99" t="s">
        <v>26</v>
      </c>
      <c r="Y99">
        <v>5</v>
      </c>
      <c r="Z99" t="str">
        <f>IF(D99="", "Missing", "ok")</f>
        <v>ok</v>
      </c>
      <c r="AA99">
        <f t="shared" si="3"/>
        <v>300.85749999999996</v>
      </c>
    </row>
    <row r="100" spans="1:27" x14ac:dyDescent="0.25">
      <c r="A100" t="s">
        <v>343</v>
      </c>
      <c r="B100" s="1" t="s">
        <v>344</v>
      </c>
      <c r="C100" t="s">
        <v>345</v>
      </c>
      <c r="D100" t="s">
        <v>101</v>
      </c>
      <c r="E100" t="str">
        <f>PROPER(TRIM(D100))</f>
        <v>Grace</v>
      </c>
      <c r="F100" t="s">
        <v>20</v>
      </c>
      <c r="G100">
        <v>34</v>
      </c>
      <c r="H100" t="str">
        <f>IF(AND(G100&gt;18, G100&lt;65), "Valid", "Invalid")</f>
        <v>Valid</v>
      </c>
      <c r="I100" t="s">
        <v>30</v>
      </c>
      <c r="J100" t="str">
        <f>PROPER(TRIM(I100))</f>
        <v>Lagos</v>
      </c>
      <c r="K100" t="s">
        <v>87</v>
      </c>
      <c r="L100" t="str">
        <f>PROPER(TRIM(K100))</f>
        <v>Groceris</v>
      </c>
      <c r="M100" t="s">
        <v>49</v>
      </c>
      <c r="N100" t="str">
        <f>PROPER(TRIM(M100))</f>
        <v>Rice</v>
      </c>
      <c r="O100">
        <v>218.73</v>
      </c>
      <c r="P100">
        <v>10</v>
      </c>
      <c r="Q100">
        <f>IF(P100&lt;1, 1, P100)</f>
        <v>10</v>
      </c>
      <c r="R100">
        <v>0</v>
      </c>
      <c r="S100" t="str">
        <f>IF(OR(R100&lt;0,R100&gt;100),"invalid","Valid")</f>
        <v>Valid</v>
      </c>
      <c r="T100" t="s">
        <v>24</v>
      </c>
      <c r="U100" t="str">
        <f>PROPER(TRIM(T100))</f>
        <v>Pos</v>
      </c>
      <c r="V100" t="s">
        <v>81</v>
      </c>
      <c r="W100" t="str">
        <f t="shared" si="2"/>
        <v>Ada</v>
      </c>
      <c r="X100" t="s">
        <v>82</v>
      </c>
      <c r="Y100">
        <v>5</v>
      </c>
      <c r="Z100" t="str">
        <f>IF(D100="", "Missing", "ok")</f>
        <v>ok</v>
      </c>
      <c r="AA100">
        <f t="shared" si="3"/>
        <v>2187.2999999999997</v>
      </c>
    </row>
    <row r="101" spans="1:27" x14ac:dyDescent="0.25">
      <c r="A101" t="s">
        <v>346</v>
      </c>
      <c r="B101" s="1" t="s">
        <v>347</v>
      </c>
      <c r="C101" t="s">
        <v>348</v>
      </c>
      <c r="D101" t="s">
        <v>45</v>
      </c>
      <c r="E101" t="str">
        <f>PROPER(TRIM(D101))</f>
        <v>James</v>
      </c>
      <c r="F101" t="s">
        <v>20</v>
      </c>
      <c r="G101">
        <v>130</v>
      </c>
      <c r="H101" t="str">
        <f>IF(AND(G101&gt;18, G101&lt;65), "Valid", "Invalid")</f>
        <v>Invalid</v>
      </c>
      <c r="I101" t="s">
        <v>47</v>
      </c>
      <c r="J101" t="str">
        <f>PROPER(TRIM(I101))</f>
        <v>Enugu</v>
      </c>
      <c r="K101" t="s">
        <v>48</v>
      </c>
      <c r="L101" t="str">
        <f>PROPER(TRIM(K101))</f>
        <v>Groceries</v>
      </c>
      <c r="M101" t="s">
        <v>49</v>
      </c>
      <c r="N101" t="str">
        <f>PROPER(TRIM(M101))</f>
        <v>Rice</v>
      </c>
      <c r="O101">
        <v>225.05</v>
      </c>
      <c r="P101">
        <v>-2</v>
      </c>
      <c r="Q101">
        <f>IF(P101&lt;1, 1, P101)</f>
        <v>1</v>
      </c>
      <c r="R101">
        <v>120</v>
      </c>
      <c r="S101" t="str">
        <f>IF(OR(R101&lt;0,R101&gt;100),"invalid","Valid")</f>
        <v>invalid</v>
      </c>
      <c r="T101" t="s">
        <v>59</v>
      </c>
      <c r="U101" t="str">
        <f>PROPER(TRIM(T101))</f>
        <v>Mobile Money</v>
      </c>
      <c r="V101" t="s">
        <v>81</v>
      </c>
      <c r="W101" t="str">
        <f t="shared" si="2"/>
        <v>Ada</v>
      </c>
      <c r="X101" t="s">
        <v>82</v>
      </c>
      <c r="Y101">
        <v>2</v>
      </c>
      <c r="Z101" t="str">
        <f>IF(D101="", "Missing", "ok")</f>
        <v>ok</v>
      </c>
      <c r="AA101">
        <f t="shared" si="3"/>
        <v>-45.009999999999991</v>
      </c>
    </row>
    <row r="102" spans="1:27" x14ac:dyDescent="0.25">
      <c r="A102" t="s">
        <v>349</v>
      </c>
      <c r="B102" s="1" t="s">
        <v>235</v>
      </c>
      <c r="C102" t="s">
        <v>350</v>
      </c>
      <c r="D102" t="s">
        <v>19</v>
      </c>
      <c r="E102" t="str">
        <f>PROPER(TRIM(D102))</f>
        <v>Peter</v>
      </c>
      <c r="F102" t="s">
        <v>20</v>
      </c>
      <c r="G102">
        <v>130</v>
      </c>
      <c r="H102" t="str">
        <f>IF(AND(G102&gt;18, G102&lt;65), "Valid", "Invalid")</f>
        <v>Invalid</v>
      </c>
      <c r="I102" t="s">
        <v>30</v>
      </c>
      <c r="J102" t="str">
        <f>PROPER(TRIM(I102))</f>
        <v>Lagos</v>
      </c>
      <c r="K102" t="s">
        <v>48</v>
      </c>
      <c r="L102" t="str">
        <f>PROPER(TRIM(K102))</f>
        <v>Groceries</v>
      </c>
      <c r="M102" t="s">
        <v>49</v>
      </c>
      <c r="N102" t="str">
        <f>PROPER(TRIM(M102))</f>
        <v>Rice</v>
      </c>
      <c r="O102">
        <v>256.70999999999998</v>
      </c>
      <c r="P102">
        <v>6</v>
      </c>
      <c r="Q102">
        <f>IF(P102&lt;1, 1, P102)</f>
        <v>6</v>
      </c>
      <c r="R102">
        <v>0</v>
      </c>
      <c r="S102" t="str">
        <f>IF(OR(R102&lt;0,R102&gt;100),"invalid","Valid")</f>
        <v>Valid</v>
      </c>
      <c r="T102" t="s">
        <v>24</v>
      </c>
      <c r="U102" t="str">
        <f>PROPER(TRIM(T102))</f>
        <v>Pos</v>
      </c>
      <c r="V102" t="s">
        <v>91</v>
      </c>
      <c r="W102" t="str">
        <f t="shared" si="2"/>
        <v>Ben</v>
      </c>
      <c r="X102" t="s">
        <v>82</v>
      </c>
      <c r="Y102">
        <v>4</v>
      </c>
      <c r="Z102" t="str">
        <f>IF(D102="", "Missing", "ok")</f>
        <v>ok</v>
      </c>
      <c r="AA102">
        <f t="shared" si="3"/>
        <v>1540.2599999999998</v>
      </c>
    </row>
    <row r="103" spans="1:27" x14ac:dyDescent="0.25">
      <c r="A103" t="s">
        <v>351</v>
      </c>
      <c r="B103" s="1" t="s">
        <v>130</v>
      </c>
      <c r="C103" t="s">
        <v>352</v>
      </c>
      <c r="D103" t="s">
        <v>19</v>
      </c>
      <c r="E103" t="str">
        <f>PROPER(TRIM(D103))</f>
        <v>Peter</v>
      </c>
      <c r="F103" t="s">
        <v>46</v>
      </c>
      <c r="G103">
        <v>130</v>
      </c>
      <c r="H103" t="str">
        <f>IF(AND(G103&gt;18, G103&lt;65), "Valid", "Invalid")</f>
        <v>Invalid</v>
      </c>
      <c r="I103" t="s">
        <v>47</v>
      </c>
      <c r="J103" t="str">
        <f>PROPER(TRIM(I103))</f>
        <v>Enugu</v>
      </c>
      <c r="K103" t="s">
        <v>48</v>
      </c>
      <c r="L103" t="str">
        <f>PROPER(TRIM(K103))</f>
        <v>Groceries</v>
      </c>
      <c r="M103" t="s">
        <v>49</v>
      </c>
      <c r="N103" t="str">
        <f>PROPER(TRIM(M103))</f>
        <v>Rice</v>
      </c>
      <c r="O103">
        <v>245.32</v>
      </c>
      <c r="P103">
        <v>4</v>
      </c>
      <c r="Q103">
        <f>IF(P103&lt;1, 1, P103)</f>
        <v>4</v>
      </c>
      <c r="R103">
        <v>15</v>
      </c>
      <c r="S103" t="str">
        <f>IF(OR(R103&lt;0,R103&gt;100),"invalid","Valid")</f>
        <v>Valid</v>
      </c>
      <c r="T103" t="s">
        <v>24</v>
      </c>
      <c r="U103" t="str">
        <f>PROPER(TRIM(T103))</f>
        <v>Pos</v>
      </c>
      <c r="V103" t="s">
        <v>81</v>
      </c>
      <c r="W103" t="str">
        <f t="shared" si="2"/>
        <v>Ada</v>
      </c>
      <c r="X103" t="s">
        <v>82</v>
      </c>
      <c r="Z103" t="str">
        <f>IF(D103="", "Missing", "ok")</f>
        <v>ok</v>
      </c>
      <c r="AA103">
        <f t="shared" si="3"/>
        <v>834.08799999999997</v>
      </c>
    </row>
    <row r="104" spans="1:27" x14ac:dyDescent="0.25">
      <c r="A104" t="s">
        <v>353</v>
      </c>
      <c r="B104" s="1" t="s">
        <v>354</v>
      </c>
      <c r="C104" t="s">
        <v>355</v>
      </c>
      <c r="D104" t="s">
        <v>117</v>
      </c>
      <c r="E104" t="str">
        <f>PROPER(TRIM(D104))</f>
        <v>David</v>
      </c>
      <c r="F104" t="s">
        <v>20</v>
      </c>
      <c r="G104">
        <v>8</v>
      </c>
      <c r="H104" t="str">
        <f>IF(AND(G104&gt;18, G104&lt;65), "Valid", "Invalid")</f>
        <v>Invalid</v>
      </c>
      <c r="I104" t="s">
        <v>70</v>
      </c>
      <c r="J104" t="str">
        <f>PROPER(TRIM(I104))</f>
        <v>Abuja</v>
      </c>
      <c r="K104" t="s">
        <v>54</v>
      </c>
      <c r="L104" t="str">
        <f>PROPER(TRIM(K104))</f>
        <v>Home</v>
      </c>
      <c r="M104" t="s">
        <v>55</v>
      </c>
      <c r="N104" t="str">
        <f>PROPER(TRIM(M104))</f>
        <v>Chair</v>
      </c>
      <c r="O104">
        <v>84.05</v>
      </c>
      <c r="P104">
        <v>6</v>
      </c>
      <c r="Q104">
        <f>IF(P104&lt;1, 1, P104)</f>
        <v>6</v>
      </c>
      <c r="R104">
        <v>10</v>
      </c>
      <c r="S104" t="str">
        <f>IF(OR(R104&lt;0,R104&gt;100),"invalid","Valid")</f>
        <v>Valid</v>
      </c>
      <c r="T104" t="s">
        <v>64</v>
      </c>
      <c r="U104" t="str">
        <f>PROPER(TRIM(T104))</f>
        <v>Transfer</v>
      </c>
      <c r="V104" t="s">
        <v>81</v>
      </c>
      <c r="W104" t="str">
        <f t="shared" si="2"/>
        <v>Ada</v>
      </c>
      <c r="X104" t="s">
        <v>33</v>
      </c>
      <c r="Y104">
        <v>4</v>
      </c>
      <c r="Z104" t="str">
        <f>IF(D104="", "Missing", "ok")</f>
        <v>ok</v>
      </c>
      <c r="AA104">
        <f t="shared" si="3"/>
        <v>453.86999999999995</v>
      </c>
    </row>
    <row r="105" spans="1:27" x14ac:dyDescent="0.25">
      <c r="A105" t="s">
        <v>356</v>
      </c>
      <c r="B105" s="1" t="s">
        <v>357</v>
      </c>
      <c r="C105" t="s">
        <v>358</v>
      </c>
      <c r="D105" t="s">
        <v>101</v>
      </c>
      <c r="E105" t="str">
        <f>PROPER(TRIM(D105))</f>
        <v>Grace</v>
      </c>
      <c r="F105" t="s">
        <v>20</v>
      </c>
      <c r="G105">
        <v>8</v>
      </c>
      <c r="H105" t="str">
        <f>IF(AND(G105&gt;18, G105&lt;65), "Valid", "Invalid")</f>
        <v>Invalid</v>
      </c>
      <c r="I105" t="s">
        <v>38</v>
      </c>
      <c r="J105" t="str">
        <f>PROPER(TRIM(I105))</f>
        <v>Ph</v>
      </c>
      <c r="K105" t="s">
        <v>87</v>
      </c>
      <c r="L105" t="str">
        <f>PROPER(TRIM(K105))</f>
        <v>Groceris</v>
      </c>
      <c r="M105" t="s">
        <v>49</v>
      </c>
      <c r="N105" t="str">
        <f>PROPER(TRIM(M105))</f>
        <v>Rice</v>
      </c>
      <c r="O105">
        <v>288.43</v>
      </c>
      <c r="P105">
        <v>10</v>
      </c>
      <c r="Q105">
        <f>IF(P105&lt;1, 1, P105)</f>
        <v>10</v>
      </c>
      <c r="R105">
        <v>0</v>
      </c>
      <c r="S105" t="str">
        <f>IF(OR(R105&lt;0,R105&gt;100),"invalid","Valid")</f>
        <v>Valid</v>
      </c>
      <c r="T105" t="s">
        <v>59</v>
      </c>
      <c r="U105" t="str">
        <f>PROPER(TRIM(T105))</f>
        <v>Mobile Money</v>
      </c>
      <c r="V105" t="s">
        <v>81</v>
      </c>
      <c r="W105" t="str">
        <f t="shared" si="2"/>
        <v>Ada</v>
      </c>
      <c r="X105" t="s">
        <v>82</v>
      </c>
      <c r="Z105" t="str">
        <f>IF(D105="", "Missing", "ok")</f>
        <v>ok</v>
      </c>
      <c r="AA105">
        <f t="shared" si="3"/>
        <v>2884.3</v>
      </c>
    </row>
    <row r="106" spans="1:27" x14ac:dyDescent="0.25">
      <c r="A106" t="s">
        <v>359</v>
      </c>
      <c r="B106" s="1" t="s">
        <v>360</v>
      </c>
      <c r="C106" t="s">
        <v>361</v>
      </c>
      <c r="D106" t="s">
        <v>19</v>
      </c>
      <c r="E106" t="str">
        <f>PROPER(TRIM(D106))</f>
        <v>Peter</v>
      </c>
      <c r="F106" t="s">
        <v>20</v>
      </c>
      <c r="G106">
        <v>43</v>
      </c>
      <c r="H106" t="str">
        <f>IF(AND(G106&gt;18, G106&lt;65), "Valid", "Invalid")</f>
        <v>Valid</v>
      </c>
      <c r="I106" t="s">
        <v>30</v>
      </c>
      <c r="J106" t="str">
        <f>PROPER(TRIM(I106))</f>
        <v>Lagos</v>
      </c>
      <c r="K106" t="s">
        <v>121</v>
      </c>
      <c r="L106" t="str">
        <f>PROPER(TRIM(K106))</f>
        <v>Beauty</v>
      </c>
      <c r="M106" t="s">
        <v>122</v>
      </c>
      <c r="N106" t="str">
        <f>PROPER(TRIM(M106))</f>
        <v>Cream</v>
      </c>
      <c r="O106">
        <v>357.26</v>
      </c>
      <c r="P106">
        <v>-2</v>
      </c>
      <c r="Q106">
        <f>IF(P106&lt;1, 1, P106)</f>
        <v>1</v>
      </c>
      <c r="R106">
        <v>0</v>
      </c>
      <c r="S106" t="str">
        <f>IF(OR(R106&lt;0,R106&gt;100),"invalid","Valid")</f>
        <v>Valid</v>
      </c>
      <c r="T106" t="s">
        <v>64</v>
      </c>
      <c r="U106" t="str">
        <f>PROPER(TRIM(T106))</f>
        <v>Transfer</v>
      </c>
      <c r="V106" t="s">
        <v>81</v>
      </c>
      <c r="W106" t="str">
        <f t="shared" si="2"/>
        <v>Ada</v>
      </c>
      <c r="X106" t="s">
        <v>26</v>
      </c>
      <c r="Y106">
        <v>3</v>
      </c>
      <c r="Z106" t="str">
        <f>IF(D106="", "Missing", "ok")</f>
        <v>ok</v>
      </c>
      <c r="AA106">
        <f t="shared" si="3"/>
        <v>357.26</v>
      </c>
    </row>
    <row r="107" spans="1:27" x14ac:dyDescent="0.25">
      <c r="A107" t="s">
        <v>362</v>
      </c>
      <c r="B107" s="1" t="s">
        <v>363</v>
      </c>
      <c r="C107" t="s">
        <v>364</v>
      </c>
      <c r="D107" t="s">
        <v>69</v>
      </c>
      <c r="E107" t="str">
        <f>PROPER(TRIM(D107))</f>
        <v>Mary</v>
      </c>
      <c r="F107" t="s">
        <v>20</v>
      </c>
      <c r="G107">
        <v>130</v>
      </c>
      <c r="H107" t="str">
        <f>IF(AND(G107&gt;18, G107&lt;65), "Valid", "Invalid")</f>
        <v>Invalid</v>
      </c>
      <c r="I107" t="s">
        <v>38</v>
      </c>
      <c r="J107" t="str">
        <f>PROPER(TRIM(I107))</f>
        <v>Ph</v>
      </c>
      <c r="K107" t="s">
        <v>22</v>
      </c>
      <c r="L107" t="str">
        <f>PROPER(TRIM(K107))</f>
        <v>Fashion</v>
      </c>
      <c r="M107" t="s">
        <v>23</v>
      </c>
      <c r="N107" t="str">
        <f>PROPER(TRIM(M107))</f>
        <v>Shirt</v>
      </c>
      <c r="O107">
        <v>295.26</v>
      </c>
      <c r="P107">
        <v>10</v>
      </c>
      <c r="Q107">
        <f>IF(P107&lt;1, 1, P107)</f>
        <v>10</v>
      </c>
      <c r="R107">
        <v>0</v>
      </c>
      <c r="S107" t="str">
        <f>IF(OR(R107&lt;0,R107&gt;100),"invalid","Valid")</f>
        <v>Valid</v>
      </c>
      <c r="T107" t="s">
        <v>77</v>
      </c>
      <c r="U107" t="str">
        <f>PROPER(TRIM(T107))</f>
        <v>Cash</v>
      </c>
      <c r="V107" t="s">
        <v>41</v>
      </c>
      <c r="W107" t="str">
        <f t="shared" si="2"/>
        <v>Chi</v>
      </c>
      <c r="X107" t="s">
        <v>65</v>
      </c>
      <c r="Z107" t="str">
        <f>IF(D107="", "Missing", "ok")</f>
        <v>ok</v>
      </c>
      <c r="AA107">
        <f t="shared" si="3"/>
        <v>2952.6</v>
      </c>
    </row>
    <row r="108" spans="1:27" x14ac:dyDescent="0.25">
      <c r="A108" t="s">
        <v>365</v>
      </c>
      <c r="B108" s="1" t="s">
        <v>366</v>
      </c>
      <c r="C108" t="s">
        <v>367</v>
      </c>
      <c r="D108" t="s">
        <v>69</v>
      </c>
      <c r="E108" t="str">
        <f>PROPER(TRIM(D108))</f>
        <v>Mary</v>
      </c>
      <c r="F108" t="s">
        <v>20</v>
      </c>
      <c r="G108">
        <v>53</v>
      </c>
      <c r="H108" t="str">
        <f>IF(AND(G108&gt;18, G108&lt;65), "Valid", "Invalid")</f>
        <v>Valid</v>
      </c>
      <c r="I108" t="s">
        <v>70</v>
      </c>
      <c r="J108" t="str">
        <f>PROPER(TRIM(I108))</f>
        <v>Abuja</v>
      </c>
      <c r="K108" t="s">
        <v>39</v>
      </c>
      <c r="L108" t="str">
        <f>PROPER(TRIM(K108))</f>
        <v>Electronics</v>
      </c>
      <c r="M108" t="s">
        <v>40</v>
      </c>
      <c r="N108" t="str">
        <f>PROPER(TRIM(M108))</f>
        <v>Phone</v>
      </c>
      <c r="O108">
        <v>446.29</v>
      </c>
      <c r="P108">
        <v>-2</v>
      </c>
      <c r="Q108">
        <f>IF(P108&lt;1, 1, P108)</f>
        <v>1</v>
      </c>
      <c r="R108">
        <v>10</v>
      </c>
      <c r="S108" t="str">
        <f>IF(OR(R108&lt;0,R108&gt;100),"invalid","Valid")</f>
        <v>Valid</v>
      </c>
      <c r="T108" t="s">
        <v>77</v>
      </c>
      <c r="U108" t="str">
        <f>PROPER(TRIM(T108))</f>
        <v>Cash</v>
      </c>
      <c r="V108" t="s">
        <v>91</v>
      </c>
      <c r="W108" t="str">
        <f t="shared" si="2"/>
        <v>Ben</v>
      </c>
      <c r="X108" t="s">
        <v>33</v>
      </c>
      <c r="Y108">
        <v>2</v>
      </c>
      <c r="Z108" t="str">
        <f>IF(D108="", "Missing", "ok")</f>
        <v>ok</v>
      </c>
      <c r="AA108">
        <f t="shared" si="3"/>
        <v>401.661</v>
      </c>
    </row>
    <row r="109" spans="1:27" x14ac:dyDescent="0.25">
      <c r="A109" t="s">
        <v>368</v>
      </c>
      <c r="B109" s="1" t="s">
        <v>369</v>
      </c>
      <c r="C109" t="s">
        <v>370</v>
      </c>
      <c r="D109" t="s">
        <v>69</v>
      </c>
      <c r="E109" t="str">
        <f>PROPER(TRIM(D109))</f>
        <v>Mary</v>
      </c>
      <c r="F109" t="s">
        <v>20</v>
      </c>
      <c r="G109">
        <v>8</v>
      </c>
      <c r="H109" t="str">
        <f>IF(AND(G109&gt;18, G109&lt;65), "Valid", "Invalid")</f>
        <v>Invalid</v>
      </c>
      <c r="I109" t="s">
        <v>47</v>
      </c>
      <c r="J109" t="str">
        <f>PROPER(TRIM(I109))</f>
        <v>Enugu</v>
      </c>
      <c r="K109" t="s">
        <v>54</v>
      </c>
      <c r="L109" t="str">
        <f>PROPER(TRIM(K109))</f>
        <v>Home</v>
      </c>
      <c r="M109" t="s">
        <v>55</v>
      </c>
      <c r="N109" t="str">
        <f>PROPER(TRIM(M109))</f>
        <v>Chair</v>
      </c>
      <c r="O109">
        <v>491.48</v>
      </c>
      <c r="P109">
        <v>-2</v>
      </c>
      <c r="Q109">
        <f>IF(P109&lt;1, 1, P109)</f>
        <v>1</v>
      </c>
      <c r="R109">
        <v>15</v>
      </c>
      <c r="S109" t="str">
        <f>IF(OR(R109&lt;0,R109&gt;100),"invalid","Valid")</f>
        <v>Valid</v>
      </c>
      <c r="T109" t="s">
        <v>59</v>
      </c>
      <c r="U109" t="str">
        <f>PROPER(TRIM(T109))</f>
        <v>Mobile Money</v>
      </c>
      <c r="V109" t="s">
        <v>81</v>
      </c>
      <c r="W109" t="str">
        <f t="shared" si="2"/>
        <v>Ada</v>
      </c>
      <c r="X109" t="s">
        <v>26</v>
      </c>
      <c r="Y109">
        <v>4</v>
      </c>
      <c r="Z109" t="str">
        <f>IF(D109="", "Missing", "ok")</f>
        <v>ok</v>
      </c>
      <c r="AA109">
        <f t="shared" si="3"/>
        <v>417.75799999999998</v>
      </c>
    </row>
    <row r="110" spans="1:27" x14ac:dyDescent="0.25">
      <c r="A110" t="s">
        <v>371</v>
      </c>
      <c r="B110" s="1" t="s">
        <v>372</v>
      </c>
      <c r="C110" t="s">
        <v>373</v>
      </c>
      <c r="D110" t="s">
        <v>19</v>
      </c>
      <c r="E110" t="str">
        <f>PROPER(TRIM(D110))</f>
        <v>Peter</v>
      </c>
      <c r="F110" t="s">
        <v>20</v>
      </c>
      <c r="G110">
        <v>130</v>
      </c>
      <c r="H110" t="str">
        <f>IF(AND(G110&gt;18, G110&lt;65), "Valid", "Invalid")</f>
        <v>Invalid</v>
      </c>
      <c r="I110" t="s">
        <v>47</v>
      </c>
      <c r="J110" t="str">
        <f>PROPER(TRIM(I110))</f>
        <v>Enugu</v>
      </c>
      <c r="K110" t="s">
        <v>48</v>
      </c>
      <c r="L110" t="str">
        <f>PROPER(TRIM(K110))</f>
        <v>Groceries</v>
      </c>
      <c r="M110" t="s">
        <v>49</v>
      </c>
      <c r="N110" t="str">
        <f>PROPER(TRIM(M110))</f>
        <v>Rice</v>
      </c>
      <c r="O110">
        <v>412</v>
      </c>
      <c r="P110">
        <v>8</v>
      </c>
      <c r="Q110">
        <f>IF(P110&lt;1, 1, P110)</f>
        <v>8</v>
      </c>
      <c r="R110">
        <v>-10</v>
      </c>
      <c r="S110" t="str">
        <f>IF(OR(R110&lt;0,R110&gt;100),"invalid","Valid")</f>
        <v>invalid</v>
      </c>
      <c r="T110" t="s">
        <v>77</v>
      </c>
      <c r="U110" t="str">
        <f>PROPER(TRIM(T110))</f>
        <v>Cash</v>
      </c>
      <c r="V110" t="s">
        <v>25</v>
      </c>
      <c r="W110" t="str">
        <f t="shared" si="2"/>
        <v>Dan</v>
      </c>
      <c r="X110" t="s">
        <v>33</v>
      </c>
      <c r="Y110">
        <v>1</v>
      </c>
      <c r="Z110" t="str">
        <f>IF(D110="", "Missing", "ok")</f>
        <v>ok</v>
      </c>
      <c r="AA110">
        <f t="shared" si="3"/>
        <v>3625.6000000000004</v>
      </c>
    </row>
    <row r="111" spans="1:27" x14ac:dyDescent="0.25">
      <c r="A111" t="s">
        <v>374</v>
      </c>
      <c r="B111" s="1" t="s">
        <v>375</v>
      </c>
      <c r="C111" t="s">
        <v>376</v>
      </c>
      <c r="D111" t="s">
        <v>117</v>
      </c>
      <c r="E111" t="str">
        <f>PROPER(TRIM(D111))</f>
        <v>David</v>
      </c>
      <c r="F111" t="s">
        <v>46</v>
      </c>
      <c r="G111">
        <v>8</v>
      </c>
      <c r="H111" t="str">
        <f>IF(AND(G111&gt;18, G111&lt;65), "Valid", "Invalid")</f>
        <v>Invalid</v>
      </c>
      <c r="I111" t="s">
        <v>30</v>
      </c>
      <c r="J111" t="str">
        <f>PROPER(TRIM(I111))</f>
        <v>Lagos</v>
      </c>
      <c r="K111" t="s">
        <v>54</v>
      </c>
      <c r="L111" t="str">
        <f>PROPER(TRIM(K111))</f>
        <v>Home</v>
      </c>
      <c r="M111" t="s">
        <v>55</v>
      </c>
      <c r="N111" t="str">
        <f>PROPER(TRIM(M111))</f>
        <v>Chair</v>
      </c>
      <c r="O111">
        <v>27.01</v>
      </c>
      <c r="P111">
        <v>9</v>
      </c>
      <c r="Q111">
        <f>IF(P111&lt;1, 1, P111)</f>
        <v>9</v>
      </c>
      <c r="R111">
        <v>120</v>
      </c>
      <c r="S111" t="str">
        <f>IF(OR(R111&lt;0,R111&gt;100),"invalid","Valid")</f>
        <v>invalid</v>
      </c>
      <c r="T111" t="s">
        <v>24</v>
      </c>
      <c r="U111" t="str">
        <f>PROPER(TRIM(T111))</f>
        <v>Pos</v>
      </c>
      <c r="V111" t="s">
        <v>41</v>
      </c>
      <c r="W111" t="str">
        <f t="shared" si="2"/>
        <v>Chi</v>
      </c>
      <c r="X111" t="s">
        <v>33</v>
      </c>
      <c r="Y111">
        <v>5</v>
      </c>
      <c r="Z111" t="str">
        <f>IF(D111="", "Missing", "ok")</f>
        <v>ok</v>
      </c>
      <c r="AA111">
        <f t="shared" si="3"/>
        <v>-48.617999999999988</v>
      </c>
    </row>
    <row r="112" spans="1:27" x14ac:dyDescent="0.25">
      <c r="A112" t="s">
        <v>377</v>
      </c>
      <c r="B112" s="1" t="s">
        <v>378</v>
      </c>
      <c r="C112" t="s">
        <v>379</v>
      </c>
      <c r="E112" t="str">
        <f>PROPER(TRIM(D112))</f>
        <v/>
      </c>
      <c r="F112" t="s">
        <v>20</v>
      </c>
      <c r="G112">
        <v>8</v>
      </c>
      <c r="H112" t="str">
        <f>IF(AND(G112&gt;18, G112&lt;65), "Valid", "Invalid")</f>
        <v>Invalid</v>
      </c>
      <c r="I112" t="s">
        <v>70</v>
      </c>
      <c r="J112" t="str">
        <f>PROPER(TRIM(I112))</f>
        <v>Abuja</v>
      </c>
      <c r="K112" t="s">
        <v>22</v>
      </c>
      <c r="L112" t="str">
        <f>PROPER(TRIM(K112))</f>
        <v>Fashion</v>
      </c>
      <c r="M112" t="s">
        <v>23</v>
      </c>
      <c r="N112" t="str">
        <f>PROPER(TRIM(M112))</f>
        <v>Shirt</v>
      </c>
      <c r="O112">
        <v>370.97</v>
      </c>
      <c r="P112">
        <v>1</v>
      </c>
      <c r="Q112">
        <f>IF(P112&lt;1, 1, P112)</f>
        <v>1</v>
      </c>
      <c r="R112">
        <v>0</v>
      </c>
      <c r="S112" t="str">
        <f>IF(OR(R112&lt;0,R112&gt;100),"invalid","Valid")</f>
        <v>Valid</v>
      </c>
      <c r="T112" t="s">
        <v>24</v>
      </c>
      <c r="U112" t="str">
        <f>PROPER(TRIM(T112))</f>
        <v>Pos</v>
      </c>
      <c r="V112" t="s">
        <v>81</v>
      </c>
      <c r="W112" t="str">
        <f t="shared" si="2"/>
        <v>Ada</v>
      </c>
      <c r="X112" t="s">
        <v>65</v>
      </c>
      <c r="Y112">
        <v>4</v>
      </c>
      <c r="Z112" t="str">
        <f>IF(D112="", "Missing", "ok")</f>
        <v>Missing</v>
      </c>
      <c r="AA112">
        <f t="shared" si="3"/>
        <v>370.97</v>
      </c>
    </row>
    <row r="113" spans="1:27" x14ac:dyDescent="0.25">
      <c r="A113" t="s">
        <v>380</v>
      </c>
      <c r="B113" s="1" t="s">
        <v>381</v>
      </c>
      <c r="C113" t="s">
        <v>382</v>
      </c>
      <c r="D113" t="s">
        <v>45</v>
      </c>
      <c r="E113" t="str">
        <f>PROPER(TRIM(D113))</f>
        <v>James</v>
      </c>
      <c r="F113" t="s">
        <v>20</v>
      </c>
      <c r="G113">
        <v>45</v>
      </c>
      <c r="H113" t="str">
        <f>IF(AND(G113&gt;18, G113&lt;65), "Valid", "Invalid")</f>
        <v>Valid</v>
      </c>
      <c r="I113" t="s">
        <v>47</v>
      </c>
      <c r="J113" t="str">
        <f>PROPER(TRIM(I113))</f>
        <v>Enugu</v>
      </c>
      <c r="K113" t="s">
        <v>31</v>
      </c>
      <c r="L113" t="str">
        <f>PROPER(TRIM(K113))</f>
        <v>Sports</v>
      </c>
      <c r="M113" t="s">
        <v>32</v>
      </c>
      <c r="N113" t="str">
        <f>PROPER(TRIM(M113))</f>
        <v>Ball</v>
      </c>
      <c r="O113">
        <v>198.54</v>
      </c>
      <c r="P113">
        <v>10</v>
      </c>
      <c r="Q113">
        <f>IF(P113&lt;1, 1, P113)</f>
        <v>10</v>
      </c>
      <c r="R113">
        <v>-10</v>
      </c>
      <c r="S113" t="str">
        <f>IF(OR(R113&lt;0,R113&gt;100),"invalid","Valid")</f>
        <v>invalid</v>
      </c>
      <c r="U113" t="str">
        <f>PROPER(TRIM(T113))</f>
        <v/>
      </c>
      <c r="V113" t="s">
        <v>25</v>
      </c>
      <c r="W113" t="str">
        <f t="shared" si="2"/>
        <v>Dan</v>
      </c>
      <c r="X113" t="s">
        <v>26</v>
      </c>
      <c r="Y113">
        <v>4</v>
      </c>
      <c r="Z113" t="str">
        <f>IF(D113="", "Missing", "ok")</f>
        <v>ok</v>
      </c>
      <c r="AA113">
        <f t="shared" si="3"/>
        <v>2183.94</v>
      </c>
    </row>
    <row r="114" spans="1:27" x14ac:dyDescent="0.25">
      <c r="A114" t="s">
        <v>383</v>
      </c>
      <c r="B114" s="1" t="s">
        <v>235</v>
      </c>
      <c r="C114" t="s">
        <v>384</v>
      </c>
      <c r="D114" t="s">
        <v>19</v>
      </c>
      <c r="E114" t="str">
        <f>PROPER(TRIM(D114))</f>
        <v>Peter</v>
      </c>
      <c r="F114" t="s">
        <v>46</v>
      </c>
      <c r="G114">
        <v>8</v>
      </c>
      <c r="H114" t="str">
        <f>IF(AND(G114&gt;18, G114&lt;65), "Valid", "Invalid")</f>
        <v>Invalid</v>
      </c>
      <c r="I114" t="s">
        <v>47</v>
      </c>
      <c r="J114" t="str">
        <f>PROPER(TRIM(I114))</f>
        <v>Enugu</v>
      </c>
      <c r="K114" t="s">
        <v>22</v>
      </c>
      <c r="L114" t="str">
        <f>PROPER(TRIM(K114))</f>
        <v>Fashion</v>
      </c>
      <c r="M114" t="s">
        <v>23</v>
      </c>
      <c r="N114" t="str">
        <f>PROPER(TRIM(M114))</f>
        <v>Shirt</v>
      </c>
      <c r="O114">
        <v>465.33</v>
      </c>
      <c r="P114">
        <v>-2</v>
      </c>
      <c r="Q114">
        <f>IF(P114&lt;1, 1, P114)</f>
        <v>1</v>
      </c>
      <c r="R114">
        <v>120</v>
      </c>
      <c r="S114" t="str">
        <f>IF(OR(R114&lt;0,R114&gt;100),"invalid","Valid")</f>
        <v>invalid</v>
      </c>
      <c r="T114" t="s">
        <v>59</v>
      </c>
      <c r="U114" t="str">
        <f>PROPER(TRIM(T114))</f>
        <v>Mobile Money</v>
      </c>
      <c r="V114" t="s">
        <v>81</v>
      </c>
      <c r="W114" t="str">
        <f t="shared" si="2"/>
        <v>Ada</v>
      </c>
      <c r="X114" t="s">
        <v>33</v>
      </c>
      <c r="Y114">
        <v>5</v>
      </c>
      <c r="Z114" t="str">
        <f>IF(D114="", "Missing", "ok")</f>
        <v>ok</v>
      </c>
      <c r="AA114">
        <f t="shared" si="3"/>
        <v>-93.065999999999974</v>
      </c>
    </row>
    <row r="115" spans="1:27" x14ac:dyDescent="0.25">
      <c r="A115" t="s">
        <v>385</v>
      </c>
      <c r="B115" s="1" t="s">
        <v>386</v>
      </c>
      <c r="C115" t="s">
        <v>387</v>
      </c>
      <c r="E115" t="str">
        <f>PROPER(TRIM(D115))</f>
        <v/>
      </c>
      <c r="F115" t="s">
        <v>20</v>
      </c>
      <c r="G115">
        <v>130</v>
      </c>
      <c r="H115" t="str">
        <f>IF(AND(G115&gt;18, G115&lt;65), "Valid", "Invalid")</f>
        <v>Invalid</v>
      </c>
      <c r="I115" t="s">
        <v>47</v>
      </c>
      <c r="J115" t="str">
        <f>PROPER(TRIM(I115))</f>
        <v>Enugu</v>
      </c>
      <c r="K115" t="s">
        <v>39</v>
      </c>
      <c r="L115" t="str">
        <f>PROPER(TRIM(K115))</f>
        <v>Electronics</v>
      </c>
      <c r="M115" t="s">
        <v>40</v>
      </c>
      <c r="N115" t="str">
        <f>PROPER(TRIM(M115))</f>
        <v>Phone</v>
      </c>
      <c r="O115">
        <v>223.98</v>
      </c>
      <c r="P115">
        <v>3</v>
      </c>
      <c r="Q115">
        <f>IF(P115&lt;1, 1, P115)</f>
        <v>3</v>
      </c>
      <c r="R115">
        <v>15</v>
      </c>
      <c r="S115" t="str">
        <f>IF(OR(R115&lt;0,R115&gt;100),"invalid","Valid")</f>
        <v>Valid</v>
      </c>
      <c r="T115" t="s">
        <v>59</v>
      </c>
      <c r="U115" t="str">
        <f>PROPER(TRIM(T115))</f>
        <v>Mobile Money</v>
      </c>
      <c r="V115" t="s">
        <v>41</v>
      </c>
      <c r="W115" t="str">
        <f t="shared" si="2"/>
        <v>Chi</v>
      </c>
      <c r="X115" t="s">
        <v>33</v>
      </c>
      <c r="Y115">
        <v>3</v>
      </c>
      <c r="Z115" t="str">
        <f>IF(D115="", "Missing", "ok")</f>
        <v>Missing</v>
      </c>
      <c r="AA115">
        <f t="shared" si="3"/>
        <v>571.14899999999989</v>
      </c>
    </row>
    <row r="116" spans="1:27" x14ac:dyDescent="0.25">
      <c r="A116" t="s">
        <v>388</v>
      </c>
      <c r="B116" s="1" t="s">
        <v>389</v>
      </c>
      <c r="C116" t="s">
        <v>390</v>
      </c>
      <c r="D116" t="s">
        <v>45</v>
      </c>
      <c r="E116" t="str">
        <f>PROPER(TRIM(D116))</f>
        <v>James</v>
      </c>
      <c r="F116" t="s">
        <v>46</v>
      </c>
      <c r="G116">
        <v>64</v>
      </c>
      <c r="H116" t="str">
        <f>IF(AND(G116&gt;18, G116&lt;65), "Valid", "Invalid")</f>
        <v>Valid</v>
      </c>
      <c r="I116" t="s">
        <v>47</v>
      </c>
      <c r="J116" t="str">
        <f>PROPER(TRIM(I116))</f>
        <v>Enugu</v>
      </c>
      <c r="K116" t="s">
        <v>54</v>
      </c>
      <c r="L116" t="str">
        <f>PROPER(TRIM(K116))</f>
        <v>Home</v>
      </c>
      <c r="M116" t="s">
        <v>55</v>
      </c>
      <c r="N116" t="str">
        <f>PROPER(TRIM(M116))</f>
        <v>Chair</v>
      </c>
      <c r="O116">
        <v>399.12</v>
      </c>
      <c r="P116">
        <v>-2</v>
      </c>
      <c r="Q116">
        <f>IF(P116&lt;1, 1, P116)</f>
        <v>1</v>
      </c>
      <c r="R116">
        <v>-10</v>
      </c>
      <c r="S116" t="str">
        <f>IF(OR(R116&lt;0,R116&gt;100),"invalid","Valid")</f>
        <v>invalid</v>
      </c>
      <c r="T116" t="s">
        <v>59</v>
      </c>
      <c r="U116" t="str">
        <f>PROPER(TRIM(T116))</f>
        <v>Mobile Money</v>
      </c>
      <c r="V116" t="s">
        <v>41</v>
      </c>
      <c r="W116" t="str">
        <f t="shared" si="2"/>
        <v>Chi</v>
      </c>
      <c r="X116" t="s">
        <v>82</v>
      </c>
      <c r="Y116">
        <v>3</v>
      </c>
      <c r="Z116" t="str">
        <f>IF(D116="", "Missing", "ok")</f>
        <v>ok</v>
      </c>
      <c r="AA116">
        <f t="shared" si="3"/>
        <v>439.03200000000004</v>
      </c>
    </row>
    <row r="117" spans="1:27" x14ac:dyDescent="0.25">
      <c r="A117" t="s">
        <v>391</v>
      </c>
      <c r="B117" s="1" t="s">
        <v>127</v>
      </c>
      <c r="C117" t="s">
        <v>392</v>
      </c>
      <c r="D117" t="s">
        <v>63</v>
      </c>
      <c r="E117" t="str">
        <f>PROPER(TRIM(D117))</f>
        <v>John</v>
      </c>
      <c r="F117" t="s">
        <v>46</v>
      </c>
      <c r="G117">
        <v>8</v>
      </c>
      <c r="H117" t="str">
        <f>IF(AND(G117&gt;18, G117&lt;65), "Valid", "Invalid")</f>
        <v>Invalid</v>
      </c>
      <c r="I117" t="s">
        <v>86</v>
      </c>
      <c r="J117" t="str">
        <f>PROPER(TRIM(I117))</f>
        <v>Kano</v>
      </c>
      <c r="K117" t="s">
        <v>121</v>
      </c>
      <c r="L117" t="str">
        <f>PROPER(TRIM(K117))</f>
        <v>Beauty</v>
      </c>
      <c r="M117" t="s">
        <v>122</v>
      </c>
      <c r="N117" t="str">
        <f>PROPER(TRIM(M117))</f>
        <v>Cream</v>
      </c>
      <c r="O117">
        <v>178.51</v>
      </c>
      <c r="P117">
        <v>8</v>
      </c>
      <c r="Q117">
        <f>IF(P117&lt;1, 1, P117)</f>
        <v>8</v>
      </c>
      <c r="R117">
        <v>-10</v>
      </c>
      <c r="S117" t="str">
        <f>IF(OR(R117&lt;0,R117&gt;100),"invalid","Valid")</f>
        <v>invalid</v>
      </c>
      <c r="T117" t="s">
        <v>64</v>
      </c>
      <c r="U117" t="str">
        <f>PROPER(TRIM(T117))</f>
        <v>Transfer</v>
      </c>
      <c r="V117" t="s">
        <v>81</v>
      </c>
      <c r="W117" t="str">
        <f t="shared" si="2"/>
        <v>Ada</v>
      </c>
      <c r="X117" t="s">
        <v>82</v>
      </c>
      <c r="Y117">
        <v>4</v>
      </c>
      <c r="Z117" t="str">
        <f>IF(D117="", "Missing", "ok")</f>
        <v>ok</v>
      </c>
      <c r="AA117">
        <f t="shared" si="3"/>
        <v>1570.8880000000001</v>
      </c>
    </row>
    <row r="118" spans="1:27" x14ac:dyDescent="0.25">
      <c r="A118" t="s">
        <v>393</v>
      </c>
      <c r="B118" s="1" t="s">
        <v>394</v>
      </c>
      <c r="C118" t="s">
        <v>395</v>
      </c>
      <c r="D118" t="s">
        <v>69</v>
      </c>
      <c r="E118" t="str">
        <f>PROPER(TRIM(D118))</f>
        <v>Mary</v>
      </c>
      <c r="F118" t="s">
        <v>46</v>
      </c>
      <c r="G118">
        <v>8</v>
      </c>
      <c r="H118" t="str">
        <f>IF(AND(G118&gt;18, G118&lt;65), "Valid", "Invalid")</f>
        <v>Invalid</v>
      </c>
      <c r="I118" t="s">
        <v>86</v>
      </c>
      <c r="J118" t="str">
        <f>PROPER(TRIM(I118))</f>
        <v>Kano</v>
      </c>
      <c r="K118" t="s">
        <v>87</v>
      </c>
      <c r="L118" t="str">
        <f>PROPER(TRIM(K118))</f>
        <v>Groceris</v>
      </c>
      <c r="M118" t="s">
        <v>49</v>
      </c>
      <c r="N118" t="str">
        <f>PROPER(TRIM(M118))</f>
        <v>Rice</v>
      </c>
      <c r="O118">
        <v>360.48</v>
      </c>
      <c r="P118">
        <v>-2</v>
      </c>
      <c r="Q118">
        <f>IF(P118&lt;1, 1, P118)</f>
        <v>1</v>
      </c>
      <c r="R118">
        <v>10</v>
      </c>
      <c r="S118" t="str">
        <f>IF(OR(R118&lt;0,R118&gt;100),"invalid","Valid")</f>
        <v>Valid</v>
      </c>
      <c r="T118" t="s">
        <v>64</v>
      </c>
      <c r="U118" t="str">
        <f>PROPER(TRIM(T118))</f>
        <v>Transfer</v>
      </c>
      <c r="V118" t="s">
        <v>41</v>
      </c>
      <c r="W118" t="str">
        <f t="shared" si="2"/>
        <v>Chi</v>
      </c>
      <c r="X118" t="s">
        <v>65</v>
      </c>
      <c r="Y118">
        <v>3</v>
      </c>
      <c r="Z118" t="str">
        <f>IF(D118="", "Missing", "ok")</f>
        <v>ok</v>
      </c>
      <c r="AA118">
        <f t="shared" si="3"/>
        <v>324.43200000000002</v>
      </c>
    </row>
    <row r="119" spans="1:27" x14ac:dyDescent="0.25">
      <c r="A119" t="s">
        <v>396</v>
      </c>
      <c r="B119" s="1" t="s">
        <v>397</v>
      </c>
      <c r="C119" t="s">
        <v>398</v>
      </c>
      <c r="E119" t="str">
        <f>PROPER(TRIM(D119))</f>
        <v/>
      </c>
      <c r="F119" t="s">
        <v>20</v>
      </c>
      <c r="G119">
        <v>8</v>
      </c>
      <c r="H119" t="str">
        <f>IF(AND(G119&gt;18, G119&lt;65), "Valid", "Invalid")</f>
        <v>Invalid</v>
      </c>
      <c r="I119" t="s">
        <v>70</v>
      </c>
      <c r="J119" t="str">
        <f>PROPER(TRIM(I119))</f>
        <v>Abuja</v>
      </c>
      <c r="K119" t="s">
        <v>87</v>
      </c>
      <c r="L119" t="str">
        <f>PROPER(TRIM(K119))</f>
        <v>Groceris</v>
      </c>
      <c r="M119" t="s">
        <v>49</v>
      </c>
      <c r="N119" t="str">
        <f>PROPER(TRIM(M119))</f>
        <v>Rice</v>
      </c>
      <c r="O119">
        <v>471.14</v>
      </c>
      <c r="P119">
        <v>4</v>
      </c>
      <c r="Q119">
        <f>IF(P119&lt;1, 1, P119)</f>
        <v>4</v>
      </c>
      <c r="R119">
        <v>10</v>
      </c>
      <c r="S119" t="str">
        <f>IF(OR(R119&lt;0,R119&gt;100),"invalid","Valid")</f>
        <v>Valid</v>
      </c>
      <c r="T119" t="s">
        <v>64</v>
      </c>
      <c r="U119" t="str">
        <f>PROPER(TRIM(T119))</f>
        <v>Transfer</v>
      </c>
      <c r="V119" t="s">
        <v>41</v>
      </c>
      <c r="W119" t="str">
        <f t="shared" si="2"/>
        <v>Chi</v>
      </c>
      <c r="X119" t="s">
        <v>65</v>
      </c>
      <c r="Y119">
        <v>2</v>
      </c>
      <c r="Z119" t="str">
        <f>IF(D119="", "Missing", "ok")</f>
        <v>Missing</v>
      </c>
      <c r="AA119">
        <f t="shared" si="3"/>
        <v>1696.104</v>
      </c>
    </row>
    <row r="120" spans="1:27" x14ac:dyDescent="0.25">
      <c r="A120" t="s">
        <v>399</v>
      </c>
      <c r="B120" s="1" t="s">
        <v>400</v>
      </c>
      <c r="C120" t="s">
        <v>401</v>
      </c>
      <c r="E120" t="str">
        <f>PROPER(TRIM(D120))</f>
        <v/>
      </c>
      <c r="F120" t="s">
        <v>20</v>
      </c>
      <c r="G120">
        <v>130</v>
      </c>
      <c r="H120" t="str">
        <f>IF(AND(G120&gt;18, G120&lt;65), "Valid", "Invalid")</f>
        <v>Invalid</v>
      </c>
      <c r="I120" t="s">
        <v>38</v>
      </c>
      <c r="J120" t="str">
        <f>PROPER(TRIM(I120))</f>
        <v>Ph</v>
      </c>
      <c r="K120" t="s">
        <v>39</v>
      </c>
      <c r="L120" t="str">
        <f>PROPER(TRIM(K120))</f>
        <v>Electronics</v>
      </c>
      <c r="M120" t="s">
        <v>40</v>
      </c>
      <c r="N120" t="str">
        <f>PROPER(TRIM(M120))</f>
        <v>Phone</v>
      </c>
      <c r="O120">
        <v>405.88</v>
      </c>
      <c r="P120">
        <v>-2</v>
      </c>
      <c r="Q120">
        <f>IF(P120&lt;1, 1, P120)</f>
        <v>1</v>
      </c>
      <c r="R120">
        <v>15</v>
      </c>
      <c r="S120" t="str">
        <f>IF(OR(R120&lt;0,R120&gt;100),"invalid","Valid")</f>
        <v>Valid</v>
      </c>
      <c r="T120" t="s">
        <v>77</v>
      </c>
      <c r="U120" t="str">
        <f>PROPER(TRIM(T120))</f>
        <v>Cash</v>
      </c>
      <c r="V120" t="s">
        <v>41</v>
      </c>
      <c r="W120" t="str">
        <f t="shared" si="2"/>
        <v>Chi</v>
      </c>
      <c r="X120" t="s">
        <v>26</v>
      </c>
      <c r="Y120">
        <v>4</v>
      </c>
      <c r="Z120" t="str">
        <f>IF(D120="", "Missing", "ok")</f>
        <v>Missing</v>
      </c>
      <c r="AA120">
        <f t="shared" si="3"/>
        <v>344.99799999999999</v>
      </c>
    </row>
    <row r="121" spans="1:27" x14ac:dyDescent="0.25">
      <c r="A121" t="s">
        <v>402</v>
      </c>
      <c r="B121" s="1" t="s">
        <v>403</v>
      </c>
      <c r="C121" t="s">
        <v>404</v>
      </c>
      <c r="D121" t="s">
        <v>117</v>
      </c>
      <c r="E121" t="str">
        <f>PROPER(TRIM(D121))</f>
        <v>David</v>
      </c>
      <c r="F121" t="s">
        <v>46</v>
      </c>
      <c r="G121">
        <v>130</v>
      </c>
      <c r="H121" t="str">
        <f>IF(AND(G121&gt;18, G121&lt;65), "Valid", "Invalid")</f>
        <v>Invalid</v>
      </c>
      <c r="I121" t="s">
        <v>30</v>
      </c>
      <c r="J121" t="str">
        <f>PROPER(TRIM(I121))</f>
        <v>Lagos</v>
      </c>
      <c r="K121" t="s">
        <v>48</v>
      </c>
      <c r="L121" t="str">
        <f>PROPER(TRIM(K121))</f>
        <v>Groceries</v>
      </c>
      <c r="M121" t="s">
        <v>49</v>
      </c>
      <c r="N121" t="str">
        <f>PROPER(TRIM(M121))</f>
        <v>Rice</v>
      </c>
      <c r="O121">
        <v>171.47</v>
      </c>
      <c r="P121">
        <v>10</v>
      </c>
      <c r="Q121">
        <f>IF(P121&lt;1, 1, P121)</f>
        <v>10</v>
      </c>
      <c r="R121">
        <v>5</v>
      </c>
      <c r="S121" t="str">
        <f>IF(OR(R121&lt;0,R121&gt;100),"invalid","Valid")</f>
        <v>Valid</v>
      </c>
      <c r="T121" t="s">
        <v>59</v>
      </c>
      <c r="U121" t="str">
        <f>PROPER(TRIM(T121))</f>
        <v>Mobile Money</v>
      </c>
      <c r="V121" t="s">
        <v>25</v>
      </c>
      <c r="W121" t="str">
        <f t="shared" si="2"/>
        <v>Dan</v>
      </c>
      <c r="X121" t="s">
        <v>26</v>
      </c>
      <c r="Y121">
        <v>4</v>
      </c>
      <c r="Z121" t="str">
        <f>IF(D121="", "Missing", "ok")</f>
        <v>ok</v>
      </c>
      <c r="AA121">
        <f t="shared" si="3"/>
        <v>1628.9649999999999</v>
      </c>
    </row>
    <row r="122" spans="1:27" x14ac:dyDescent="0.25">
      <c r="A122" t="s">
        <v>405</v>
      </c>
      <c r="B122" s="1" t="s">
        <v>406</v>
      </c>
      <c r="C122" t="s">
        <v>407</v>
      </c>
      <c r="D122" t="s">
        <v>117</v>
      </c>
      <c r="E122" t="str">
        <f>PROPER(TRIM(D122))</f>
        <v>David</v>
      </c>
      <c r="F122" t="s">
        <v>20</v>
      </c>
      <c r="G122">
        <v>25</v>
      </c>
      <c r="H122" t="str">
        <f>IF(AND(G122&gt;18, G122&lt;65), "Valid", "Invalid")</f>
        <v>Valid</v>
      </c>
      <c r="I122" t="s">
        <v>21</v>
      </c>
      <c r="J122" t="str">
        <f>PROPER(TRIM(I122))</f>
        <v>Lagos</v>
      </c>
      <c r="K122" t="s">
        <v>48</v>
      </c>
      <c r="L122" t="str">
        <f>PROPER(TRIM(K122))</f>
        <v>Groceries</v>
      </c>
      <c r="M122" t="s">
        <v>49</v>
      </c>
      <c r="N122" t="str">
        <f>PROPER(TRIM(M122))</f>
        <v>Rice</v>
      </c>
      <c r="O122">
        <v>63.11</v>
      </c>
      <c r="P122">
        <v>3</v>
      </c>
      <c r="Q122">
        <f>IF(P122&lt;1, 1, P122)</f>
        <v>3</v>
      </c>
      <c r="R122">
        <v>5</v>
      </c>
      <c r="S122" t="str">
        <f>IF(OR(R122&lt;0,R122&gt;100),"invalid","Valid")</f>
        <v>Valid</v>
      </c>
      <c r="U122" t="str">
        <f>PROPER(TRIM(T122))</f>
        <v/>
      </c>
      <c r="V122" t="s">
        <v>41</v>
      </c>
      <c r="W122" t="str">
        <f t="shared" si="2"/>
        <v>Chi</v>
      </c>
      <c r="X122" t="s">
        <v>33</v>
      </c>
      <c r="Y122">
        <v>3</v>
      </c>
      <c r="Z122" t="str">
        <f>IF(D122="", "Missing", "ok")</f>
        <v>ok</v>
      </c>
      <c r="AA122">
        <f t="shared" si="3"/>
        <v>179.86349999999999</v>
      </c>
    </row>
    <row r="123" spans="1:27" x14ac:dyDescent="0.25">
      <c r="A123" t="s">
        <v>408</v>
      </c>
      <c r="B123" s="1" t="s">
        <v>409</v>
      </c>
      <c r="C123" t="s">
        <v>410</v>
      </c>
      <c r="D123" t="s">
        <v>69</v>
      </c>
      <c r="E123" t="str">
        <f>PROPER(TRIM(D123))</f>
        <v>Mary</v>
      </c>
      <c r="F123" t="s">
        <v>20</v>
      </c>
      <c r="G123">
        <v>45</v>
      </c>
      <c r="H123" t="str">
        <f>IF(AND(G123&gt;18, G123&lt;65), "Valid", "Invalid")</f>
        <v>Valid</v>
      </c>
      <c r="I123" t="s">
        <v>21</v>
      </c>
      <c r="J123" t="str">
        <f>PROPER(TRIM(I123))</f>
        <v>Lagos</v>
      </c>
      <c r="K123" t="s">
        <v>22</v>
      </c>
      <c r="L123" t="str">
        <f>PROPER(TRIM(K123))</f>
        <v>Fashion</v>
      </c>
      <c r="M123" t="s">
        <v>23</v>
      </c>
      <c r="N123" t="str">
        <f>PROPER(TRIM(M123))</f>
        <v>Shirt</v>
      </c>
      <c r="O123">
        <v>264.02</v>
      </c>
      <c r="P123">
        <v>10</v>
      </c>
      <c r="Q123">
        <f>IF(P123&lt;1, 1, P123)</f>
        <v>10</v>
      </c>
      <c r="R123">
        <v>120</v>
      </c>
      <c r="S123" t="str">
        <f>IF(OR(R123&lt;0,R123&gt;100),"invalid","Valid")</f>
        <v>invalid</v>
      </c>
      <c r="T123" t="s">
        <v>64</v>
      </c>
      <c r="U123" t="str">
        <f>PROPER(TRIM(T123))</f>
        <v>Transfer</v>
      </c>
      <c r="V123" t="s">
        <v>91</v>
      </c>
      <c r="W123" t="str">
        <f t="shared" si="2"/>
        <v>Ben</v>
      </c>
      <c r="X123" t="s">
        <v>33</v>
      </c>
      <c r="Y123">
        <v>5</v>
      </c>
      <c r="Z123" t="str">
        <f>IF(D123="", "Missing", "ok")</f>
        <v>ok</v>
      </c>
      <c r="AA123">
        <f t="shared" si="3"/>
        <v>-528.03999999999985</v>
      </c>
    </row>
    <row r="124" spans="1:27" x14ac:dyDescent="0.25">
      <c r="A124" t="s">
        <v>411</v>
      </c>
      <c r="B124" s="1" t="s">
        <v>412</v>
      </c>
      <c r="C124" t="s">
        <v>413</v>
      </c>
      <c r="D124" t="s">
        <v>19</v>
      </c>
      <c r="E124" t="str">
        <f>PROPER(TRIM(D124))</f>
        <v>Peter</v>
      </c>
      <c r="F124" t="s">
        <v>46</v>
      </c>
      <c r="G124">
        <v>47</v>
      </c>
      <c r="H124" t="str">
        <f>IF(AND(G124&gt;18, G124&lt;65), "Valid", "Invalid")</f>
        <v>Valid</v>
      </c>
      <c r="I124" t="s">
        <v>21</v>
      </c>
      <c r="J124" t="str">
        <f>PROPER(TRIM(I124))</f>
        <v>Lagos</v>
      </c>
      <c r="K124" t="s">
        <v>39</v>
      </c>
      <c r="L124" t="str">
        <f>PROPER(TRIM(K124))</f>
        <v>Electronics</v>
      </c>
      <c r="M124" t="s">
        <v>40</v>
      </c>
      <c r="N124" t="str">
        <f>PROPER(TRIM(M124))</f>
        <v>Phone</v>
      </c>
      <c r="O124">
        <v>439.73</v>
      </c>
      <c r="P124">
        <v>7</v>
      </c>
      <c r="Q124">
        <f>IF(P124&lt;1, 1, P124)</f>
        <v>7</v>
      </c>
      <c r="R124">
        <v>-10</v>
      </c>
      <c r="S124" t="str">
        <f>IF(OR(R124&lt;0,R124&gt;100),"invalid","Valid")</f>
        <v>invalid</v>
      </c>
      <c r="T124" t="s">
        <v>64</v>
      </c>
      <c r="U124" t="str">
        <f>PROPER(TRIM(T124))</f>
        <v>Transfer</v>
      </c>
      <c r="V124" t="s">
        <v>25</v>
      </c>
      <c r="W124" t="str">
        <f t="shared" si="2"/>
        <v>Dan</v>
      </c>
      <c r="X124" t="s">
        <v>33</v>
      </c>
      <c r="Y124">
        <v>4</v>
      </c>
      <c r="Z124" t="str">
        <f>IF(D124="", "Missing", "ok")</f>
        <v>ok</v>
      </c>
      <c r="AA124">
        <f t="shared" si="3"/>
        <v>3385.9210000000003</v>
      </c>
    </row>
    <row r="125" spans="1:27" x14ac:dyDescent="0.25">
      <c r="A125" t="s">
        <v>414</v>
      </c>
      <c r="B125" s="1" t="s">
        <v>415</v>
      </c>
      <c r="C125" t="s">
        <v>416</v>
      </c>
      <c r="D125" t="s">
        <v>63</v>
      </c>
      <c r="E125" t="str">
        <f>PROPER(TRIM(D125))</f>
        <v>John</v>
      </c>
      <c r="F125" t="s">
        <v>46</v>
      </c>
      <c r="G125">
        <v>34</v>
      </c>
      <c r="H125" t="str">
        <f>IF(AND(G125&gt;18, G125&lt;65), "Valid", "Invalid")</f>
        <v>Valid</v>
      </c>
      <c r="I125" t="s">
        <v>70</v>
      </c>
      <c r="J125" t="str">
        <f>PROPER(TRIM(I125))</f>
        <v>Abuja</v>
      </c>
      <c r="K125" t="s">
        <v>87</v>
      </c>
      <c r="L125" t="str">
        <f>PROPER(TRIM(K125))</f>
        <v>Groceris</v>
      </c>
      <c r="M125" t="s">
        <v>49</v>
      </c>
      <c r="N125" t="str">
        <f>PROPER(TRIM(M125))</f>
        <v>Rice</v>
      </c>
      <c r="O125">
        <v>211.58</v>
      </c>
      <c r="P125">
        <v>3</v>
      </c>
      <c r="Q125">
        <f>IF(P125&lt;1, 1, P125)</f>
        <v>3</v>
      </c>
      <c r="R125">
        <v>-10</v>
      </c>
      <c r="S125" t="str">
        <f>IF(OR(R125&lt;0,R125&gt;100),"invalid","Valid")</f>
        <v>invalid</v>
      </c>
      <c r="T125" t="s">
        <v>59</v>
      </c>
      <c r="U125" t="str">
        <f>PROPER(TRIM(T125))</f>
        <v>Mobile Money</v>
      </c>
      <c r="V125" t="s">
        <v>91</v>
      </c>
      <c r="W125" t="str">
        <f t="shared" si="2"/>
        <v>Ben</v>
      </c>
      <c r="X125" t="s">
        <v>26</v>
      </c>
      <c r="Y125">
        <v>4</v>
      </c>
      <c r="Z125" t="str">
        <f>IF(D125="", "Missing", "ok")</f>
        <v>ok</v>
      </c>
      <c r="AA125">
        <f t="shared" si="3"/>
        <v>698.21400000000006</v>
      </c>
    </row>
    <row r="126" spans="1:27" x14ac:dyDescent="0.25">
      <c r="A126" t="s">
        <v>417</v>
      </c>
      <c r="B126" s="1" t="s">
        <v>418</v>
      </c>
      <c r="C126" t="s">
        <v>419</v>
      </c>
      <c r="E126" t="str">
        <f>PROPER(TRIM(D126))</f>
        <v/>
      </c>
      <c r="F126" t="s">
        <v>20</v>
      </c>
      <c r="G126">
        <v>8</v>
      </c>
      <c r="H126" t="str">
        <f>IF(AND(G126&gt;18, G126&lt;65), "Valid", "Invalid")</f>
        <v>Invalid</v>
      </c>
      <c r="I126" t="s">
        <v>21</v>
      </c>
      <c r="J126" t="str">
        <f>PROPER(TRIM(I126))</f>
        <v>Lagos</v>
      </c>
      <c r="K126" t="s">
        <v>22</v>
      </c>
      <c r="L126" t="str">
        <f>PROPER(TRIM(K126))</f>
        <v>Fashion</v>
      </c>
      <c r="M126" t="s">
        <v>23</v>
      </c>
      <c r="N126" t="str">
        <f>PROPER(TRIM(M126))</f>
        <v>Shirt</v>
      </c>
      <c r="O126">
        <v>169.5</v>
      </c>
      <c r="P126">
        <v>2</v>
      </c>
      <c r="Q126">
        <f>IF(P126&lt;1, 1, P126)</f>
        <v>2</v>
      </c>
      <c r="R126">
        <v>15</v>
      </c>
      <c r="S126" t="str">
        <f>IF(OR(R126&lt;0,R126&gt;100),"invalid","Valid")</f>
        <v>Valid</v>
      </c>
      <c r="T126" t="s">
        <v>59</v>
      </c>
      <c r="U126" t="str">
        <f>PROPER(TRIM(T126))</f>
        <v>Mobile Money</v>
      </c>
      <c r="V126" t="s">
        <v>81</v>
      </c>
      <c r="W126" t="str">
        <f t="shared" si="2"/>
        <v>Ada</v>
      </c>
      <c r="X126" t="s">
        <v>82</v>
      </c>
      <c r="Y126">
        <v>5</v>
      </c>
      <c r="Z126" t="str">
        <f>IF(D126="", "Missing", "ok")</f>
        <v>Missing</v>
      </c>
      <c r="AA126">
        <f t="shared" si="3"/>
        <v>288.14999999999998</v>
      </c>
    </row>
    <row r="127" spans="1:27" x14ac:dyDescent="0.25">
      <c r="A127" t="s">
        <v>420</v>
      </c>
      <c r="B127" s="1" t="s">
        <v>421</v>
      </c>
      <c r="C127" t="s">
        <v>422</v>
      </c>
      <c r="D127" t="s">
        <v>37</v>
      </c>
      <c r="E127" t="str">
        <f>PROPER(TRIM(D127))</f>
        <v>Aisha</v>
      </c>
      <c r="F127" t="s">
        <v>20</v>
      </c>
      <c r="G127">
        <v>51</v>
      </c>
      <c r="H127" t="str">
        <f>IF(AND(G127&gt;18, G127&lt;65), "Valid", "Invalid")</f>
        <v>Valid</v>
      </c>
      <c r="I127" t="s">
        <v>47</v>
      </c>
      <c r="J127" t="str">
        <f>PROPER(TRIM(I127))</f>
        <v>Enugu</v>
      </c>
      <c r="K127" t="s">
        <v>22</v>
      </c>
      <c r="L127" t="str">
        <f>PROPER(TRIM(K127))</f>
        <v>Fashion</v>
      </c>
      <c r="M127" t="s">
        <v>23</v>
      </c>
      <c r="N127" t="str">
        <f>PROPER(TRIM(M127))</f>
        <v>Shirt</v>
      </c>
      <c r="O127">
        <v>484.53</v>
      </c>
      <c r="P127">
        <v>7</v>
      </c>
      <c r="Q127">
        <f>IF(P127&lt;1, 1, P127)</f>
        <v>7</v>
      </c>
      <c r="R127">
        <v>15</v>
      </c>
      <c r="S127" t="str">
        <f>IF(OR(R127&lt;0,R127&gt;100),"invalid","Valid")</f>
        <v>Valid</v>
      </c>
      <c r="T127" t="s">
        <v>59</v>
      </c>
      <c r="U127" t="str">
        <f>PROPER(TRIM(T127))</f>
        <v>Mobile Money</v>
      </c>
      <c r="V127" t="s">
        <v>41</v>
      </c>
      <c r="W127" t="str">
        <f t="shared" si="2"/>
        <v>Chi</v>
      </c>
      <c r="X127" t="s">
        <v>33</v>
      </c>
      <c r="Y127">
        <v>3</v>
      </c>
      <c r="Z127" t="str">
        <f>IF(D127="", "Missing", "ok")</f>
        <v>ok</v>
      </c>
      <c r="AA127">
        <f t="shared" si="3"/>
        <v>2882.9535000000001</v>
      </c>
    </row>
    <row r="128" spans="1:27" x14ac:dyDescent="0.25">
      <c r="A128" t="s">
        <v>423</v>
      </c>
      <c r="B128" s="1" t="s">
        <v>424</v>
      </c>
      <c r="C128" t="s">
        <v>425</v>
      </c>
      <c r="D128" t="s">
        <v>101</v>
      </c>
      <c r="E128" t="str">
        <f>PROPER(TRIM(D128))</f>
        <v>Grace</v>
      </c>
      <c r="F128" t="s">
        <v>20</v>
      </c>
      <c r="G128">
        <v>8</v>
      </c>
      <c r="H128" t="str">
        <f>IF(AND(G128&gt;18, G128&lt;65), "Valid", "Invalid")</f>
        <v>Invalid</v>
      </c>
      <c r="I128" t="s">
        <v>47</v>
      </c>
      <c r="J128" t="str">
        <f>PROPER(TRIM(I128))</f>
        <v>Enugu</v>
      </c>
      <c r="K128" t="s">
        <v>54</v>
      </c>
      <c r="L128" t="str">
        <f>PROPER(TRIM(K128))</f>
        <v>Home</v>
      </c>
      <c r="M128" t="s">
        <v>55</v>
      </c>
      <c r="N128" t="str">
        <f>PROPER(TRIM(M128))</f>
        <v>Chair</v>
      </c>
      <c r="O128">
        <v>38.25</v>
      </c>
      <c r="P128">
        <v>-2</v>
      </c>
      <c r="Q128">
        <f>IF(P128&lt;1, 1, P128)</f>
        <v>1</v>
      </c>
      <c r="R128">
        <v>5</v>
      </c>
      <c r="S128" t="str">
        <f>IF(OR(R128&lt;0,R128&gt;100),"invalid","Valid")</f>
        <v>Valid</v>
      </c>
      <c r="U128" t="str">
        <f>PROPER(TRIM(T128))</f>
        <v/>
      </c>
      <c r="V128" t="s">
        <v>81</v>
      </c>
      <c r="W128" t="str">
        <f t="shared" si="2"/>
        <v>Ada</v>
      </c>
      <c r="X128" t="s">
        <v>65</v>
      </c>
      <c r="Y128">
        <v>5</v>
      </c>
      <c r="Z128" t="str">
        <f>IF(D128="", "Missing", "ok")</f>
        <v>ok</v>
      </c>
      <c r="AA128">
        <f t="shared" si="3"/>
        <v>36.337499999999999</v>
      </c>
    </row>
    <row r="129" spans="1:27" x14ac:dyDescent="0.25">
      <c r="A129" t="s">
        <v>426</v>
      </c>
      <c r="B129" s="1" t="s">
        <v>427</v>
      </c>
      <c r="C129" t="s">
        <v>342</v>
      </c>
      <c r="E129" t="str">
        <f>PROPER(TRIM(D129))</f>
        <v/>
      </c>
      <c r="F129" t="s">
        <v>20</v>
      </c>
      <c r="G129">
        <v>28</v>
      </c>
      <c r="H129" t="str">
        <f>IF(AND(G129&gt;18, G129&lt;65), "Valid", "Invalid")</f>
        <v>Valid</v>
      </c>
      <c r="I129" t="s">
        <v>70</v>
      </c>
      <c r="J129" t="str">
        <f>PROPER(TRIM(I129))</f>
        <v>Abuja</v>
      </c>
      <c r="K129" t="s">
        <v>39</v>
      </c>
      <c r="L129" t="str">
        <f>PROPER(TRIM(K129))</f>
        <v>Electronics</v>
      </c>
      <c r="M129" t="s">
        <v>40</v>
      </c>
      <c r="N129" t="str">
        <f>PROPER(TRIM(M129))</f>
        <v>Phone</v>
      </c>
      <c r="O129">
        <v>443.49</v>
      </c>
      <c r="P129">
        <v>7</v>
      </c>
      <c r="Q129">
        <f>IF(P129&lt;1, 1, P129)</f>
        <v>7</v>
      </c>
      <c r="R129">
        <v>-10</v>
      </c>
      <c r="S129" t="str">
        <f>IF(OR(R129&lt;0,R129&gt;100),"invalid","Valid")</f>
        <v>invalid</v>
      </c>
      <c r="U129" t="str">
        <f>PROPER(TRIM(T129))</f>
        <v/>
      </c>
      <c r="V129" t="s">
        <v>41</v>
      </c>
      <c r="W129" t="str">
        <f t="shared" si="2"/>
        <v>Chi</v>
      </c>
      <c r="X129" t="s">
        <v>65</v>
      </c>
      <c r="Z129" t="str">
        <f>IF(D129="", "Missing", "ok")</f>
        <v>Missing</v>
      </c>
      <c r="AA129">
        <f t="shared" si="3"/>
        <v>3414.8730000000005</v>
      </c>
    </row>
    <row r="130" spans="1:27" x14ac:dyDescent="0.25">
      <c r="A130" t="s">
        <v>428</v>
      </c>
      <c r="B130" s="1" t="s">
        <v>429</v>
      </c>
      <c r="C130" t="s">
        <v>430</v>
      </c>
      <c r="D130" t="s">
        <v>45</v>
      </c>
      <c r="E130" t="str">
        <f>PROPER(TRIM(D130))</f>
        <v>James</v>
      </c>
      <c r="F130" t="s">
        <v>46</v>
      </c>
      <c r="G130">
        <v>130</v>
      </c>
      <c r="H130" t="str">
        <f>IF(AND(G130&gt;18, G130&lt;65), "Valid", "Invalid")</f>
        <v>Invalid</v>
      </c>
      <c r="I130" t="s">
        <v>30</v>
      </c>
      <c r="J130" t="str">
        <f>PROPER(TRIM(I130))</f>
        <v>Lagos</v>
      </c>
      <c r="K130" t="s">
        <v>54</v>
      </c>
      <c r="L130" t="str">
        <f>PROPER(TRIM(K130))</f>
        <v>Home</v>
      </c>
      <c r="M130" t="s">
        <v>55</v>
      </c>
      <c r="N130" t="str">
        <f>PROPER(TRIM(M130))</f>
        <v>Chair</v>
      </c>
      <c r="O130">
        <v>147.80000000000001</v>
      </c>
      <c r="P130">
        <v>6</v>
      </c>
      <c r="Q130">
        <f>IF(P130&lt;1, 1, P130)</f>
        <v>6</v>
      </c>
      <c r="R130">
        <v>0</v>
      </c>
      <c r="S130" t="str">
        <f>IF(OR(R130&lt;0,R130&gt;100),"invalid","Valid")</f>
        <v>Valid</v>
      </c>
      <c r="U130" t="str">
        <f>PROPER(TRIM(T130))</f>
        <v/>
      </c>
      <c r="V130" t="s">
        <v>25</v>
      </c>
      <c r="W130" t="str">
        <f t="shared" ref="W130:W193" si="4">PROPER(TRIM(V130))</f>
        <v>Dan</v>
      </c>
      <c r="X130" t="s">
        <v>65</v>
      </c>
      <c r="Y130">
        <v>5</v>
      </c>
      <c r="Z130" t="str">
        <f>IF(D130="", "Missing", "ok")</f>
        <v>ok</v>
      </c>
      <c r="AA130">
        <f t="shared" si="3"/>
        <v>886.80000000000007</v>
      </c>
    </row>
    <row r="131" spans="1:27" x14ac:dyDescent="0.25">
      <c r="A131" t="s">
        <v>431</v>
      </c>
      <c r="B131" s="1" t="s">
        <v>429</v>
      </c>
      <c r="C131" t="s">
        <v>432</v>
      </c>
      <c r="D131" t="s">
        <v>37</v>
      </c>
      <c r="E131" t="str">
        <f>PROPER(TRIM(D131))</f>
        <v>Aisha</v>
      </c>
      <c r="F131" t="s">
        <v>46</v>
      </c>
      <c r="G131">
        <v>8</v>
      </c>
      <c r="H131" t="str">
        <f>IF(AND(G131&gt;18, G131&lt;65), "Valid", "Invalid")</f>
        <v>Invalid</v>
      </c>
      <c r="I131" t="s">
        <v>30</v>
      </c>
      <c r="J131" t="str">
        <f>PROPER(TRIM(I131))</f>
        <v>Lagos</v>
      </c>
      <c r="K131" t="s">
        <v>87</v>
      </c>
      <c r="L131" t="str">
        <f>PROPER(TRIM(K131))</f>
        <v>Groceris</v>
      </c>
      <c r="M131" t="s">
        <v>49</v>
      </c>
      <c r="N131" t="str">
        <f>PROPER(TRIM(M131))</f>
        <v>Rice</v>
      </c>
      <c r="O131">
        <v>146.55000000000001</v>
      </c>
      <c r="P131">
        <v>3</v>
      </c>
      <c r="Q131">
        <f>IF(P131&lt;1, 1, P131)</f>
        <v>3</v>
      </c>
      <c r="R131">
        <v>120</v>
      </c>
      <c r="S131" t="str">
        <f>IF(OR(R131&lt;0,R131&gt;100),"invalid","Valid")</f>
        <v>invalid</v>
      </c>
      <c r="T131" t="s">
        <v>24</v>
      </c>
      <c r="U131" t="str">
        <f>PROPER(TRIM(T131))</f>
        <v>Pos</v>
      </c>
      <c r="V131" t="s">
        <v>81</v>
      </c>
      <c r="W131" t="str">
        <f t="shared" si="4"/>
        <v>Ada</v>
      </c>
      <c r="X131" t="s">
        <v>33</v>
      </c>
      <c r="Y131">
        <v>4</v>
      </c>
      <c r="Z131" t="str">
        <f>IF(D131="", "Missing", "ok")</f>
        <v>ok</v>
      </c>
      <c r="AA131">
        <f t="shared" ref="AA131:AA194" si="5">(O131*Q131)*(1-R131/100)</f>
        <v>-87.929999999999993</v>
      </c>
    </row>
    <row r="132" spans="1:27" x14ac:dyDescent="0.25">
      <c r="A132" t="s">
        <v>433</v>
      </c>
      <c r="B132" s="1" t="s">
        <v>434</v>
      </c>
      <c r="C132" t="s">
        <v>435</v>
      </c>
      <c r="D132" t="s">
        <v>63</v>
      </c>
      <c r="E132" t="str">
        <f>PROPER(TRIM(D132))</f>
        <v>John</v>
      </c>
      <c r="F132" t="s">
        <v>46</v>
      </c>
      <c r="G132">
        <v>8</v>
      </c>
      <c r="H132" t="str">
        <f>IF(AND(G132&gt;18, G132&lt;65), "Valid", "Invalid")</f>
        <v>Invalid</v>
      </c>
      <c r="I132" t="s">
        <v>70</v>
      </c>
      <c r="J132" t="str">
        <f>PROPER(TRIM(I132))</f>
        <v>Abuja</v>
      </c>
      <c r="K132" t="s">
        <v>22</v>
      </c>
      <c r="L132" t="str">
        <f>PROPER(TRIM(K132))</f>
        <v>Fashion</v>
      </c>
      <c r="M132" t="s">
        <v>23</v>
      </c>
      <c r="N132" t="str">
        <f>PROPER(TRIM(M132))</f>
        <v>Shirt</v>
      </c>
      <c r="O132">
        <v>5.66</v>
      </c>
      <c r="P132">
        <v>1</v>
      </c>
      <c r="Q132">
        <f>IF(P132&lt;1, 1, P132)</f>
        <v>1</v>
      </c>
      <c r="R132">
        <v>15</v>
      </c>
      <c r="S132" t="str">
        <f>IF(OR(R132&lt;0,R132&gt;100),"invalid","Valid")</f>
        <v>Valid</v>
      </c>
      <c r="T132" t="s">
        <v>59</v>
      </c>
      <c r="U132" t="str">
        <f>PROPER(TRIM(T132))</f>
        <v>Mobile Money</v>
      </c>
      <c r="V132" t="s">
        <v>81</v>
      </c>
      <c r="W132" t="str">
        <f t="shared" si="4"/>
        <v>Ada</v>
      </c>
      <c r="X132" t="s">
        <v>33</v>
      </c>
      <c r="Y132">
        <v>2</v>
      </c>
      <c r="Z132" t="str">
        <f>IF(D132="", "Missing", "ok")</f>
        <v>ok</v>
      </c>
      <c r="AA132">
        <f t="shared" si="5"/>
        <v>4.8109999999999999</v>
      </c>
    </row>
    <row r="133" spans="1:27" x14ac:dyDescent="0.25">
      <c r="A133" t="s">
        <v>436</v>
      </c>
      <c r="B133" s="1" t="s">
        <v>437</v>
      </c>
      <c r="C133" t="s">
        <v>438</v>
      </c>
      <c r="E133" t="str">
        <f>PROPER(TRIM(D133))</f>
        <v/>
      </c>
      <c r="F133" t="s">
        <v>46</v>
      </c>
      <c r="G133">
        <v>22</v>
      </c>
      <c r="H133" t="str">
        <f>IF(AND(G133&gt;18, G133&lt;65), "Valid", "Invalid")</f>
        <v>Valid</v>
      </c>
      <c r="I133" t="s">
        <v>21</v>
      </c>
      <c r="J133" t="str">
        <f>PROPER(TRIM(I133))</f>
        <v>Lagos</v>
      </c>
      <c r="K133" t="s">
        <v>54</v>
      </c>
      <c r="L133" t="str">
        <f>PROPER(TRIM(K133))</f>
        <v>Home</v>
      </c>
      <c r="M133" t="s">
        <v>55</v>
      </c>
      <c r="N133" t="str">
        <f>PROPER(TRIM(M133))</f>
        <v>Chair</v>
      </c>
      <c r="O133">
        <v>391.69</v>
      </c>
      <c r="P133">
        <v>-2</v>
      </c>
      <c r="Q133">
        <f>IF(P133&lt;1, 1, P133)</f>
        <v>1</v>
      </c>
      <c r="R133">
        <v>15</v>
      </c>
      <c r="S133" t="str">
        <f>IF(OR(R133&lt;0,R133&gt;100),"invalid","Valid")</f>
        <v>Valid</v>
      </c>
      <c r="T133" t="s">
        <v>64</v>
      </c>
      <c r="U133" t="str">
        <f>PROPER(TRIM(T133))</f>
        <v>Transfer</v>
      </c>
      <c r="V133" t="s">
        <v>25</v>
      </c>
      <c r="W133" t="str">
        <f t="shared" si="4"/>
        <v>Dan</v>
      </c>
      <c r="X133" t="s">
        <v>82</v>
      </c>
      <c r="Y133">
        <v>1</v>
      </c>
      <c r="Z133" t="str">
        <f>IF(D133="", "Missing", "ok")</f>
        <v>Missing</v>
      </c>
      <c r="AA133">
        <f t="shared" si="5"/>
        <v>332.93649999999997</v>
      </c>
    </row>
    <row r="134" spans="1:27" x14ac:dyDescent="0.25">
      <c r="A134" t="s">
        <v>439</v>
      </c>
      <c r="B134" s="1" t="s">
        <v>440</v>
      </c>
      <c r="C134" t="s">
        <v>441</v>
      </c>
      <c r="D134" t="s">
        <v>63</v>
      </c>
      <c r="E134" t="str">
        <f>PROPER(TRIM(D134))</f>
        <v>John</v>
      </c>
      <c r="F134" t="s">
        <v>46</v>
      </c>
      <c r="G134">
        <v>130</v>
      </c>
      <c r="H134" t="str">
        <f>IF(AND(G134&gt;18, G134&lt;65), "Valid", "Invalid")</f>
        <v>Invalid</v>
      </c>
      <c r="I134" t="s">
        <v>21</v>
      </c>
      <c r="J134" t="str">
        <f>PROPER(TRIM(I134))</f>
        <v>Lagos</v>
      </c>
      <c r="K134" t="s">
        <v>31</v>
      </c>
      <c r="L134" t="str">
        <f>PROPER(TRIM(K134))</f>
        <v>Sports</v>
      </c>
      <c r="M134" t="s">
        <v>32</v>
      </c>
      <c r="N134" t="str">
        <f>PROPER(TRIM(M134))</f>
        <v>Ball</v>
      </c>
      <c r="O134">
        <v>392.96</v>
      </c>
      <c r="P134">
        <v>-2</v>
      </c>
      <c r="Q134">
        <f>IF(P134&lt;1, 1, P134)</f>
        <v>1</v>
      </c>
      <c r="R134">
        <v>15</v>
      </c>
      <c r="S134" t="str">
        <f>IF(OR(R134&lt;0,R134&gt;100),"invalid","Valid")</f>
        <v>Valid</v>
      </c>
      <c r="U134" t="str">
        <f>PROPER(TRIM(T134))</f>
        <v/>
      </c>
      <c r="V134" t="s">
        <v>81</v>
      </c>
      <c r="W134" t="str">
        <f t="shared" si="4"/>
        <v>Ada</v>
      </c>
      <c r="X134" t="s">
        <v>65</v>
      </c>
      <c r="Y134">
        <v>2</v>
      </c>
      <c r="Z134" t="str">
        <f>IF(D134="", "Missing", "ok")</f>
        <v>ok</v>
      </c>
      <c r="AA134">
        <f t="shared" si="5"/>
        <v>334.01599999999996</v>
      </c>
    </row>
    <row r="135" spans="1:27" x14ac:dyDescent="0.25">
      <c r="A135" t="s">
        <v>442</v>
      </c>
      <c r="B135" s="1" t="s">
        <v>443</v>
      </c>
      <c r="C135" t="s">
        <v>444</v>
      </c>
      <c r="D135" t="s">
        <v>117</v>
      </c>
      <c r="E135" t="str">
        <f>PROPER(TRIM(D135))</f>
        <v>David</v>
      </c>
      <c r="F135" t="s">
        <v>20</v>
      </c>
      <c r="G135">
        <v>130</v>
      </c>
      <c r="H135" t="str">
        <f>IF(AND(G135&gt;18, G135&lt;65), "Valid", "Invalid")</f>
        <v>Invalid</v>
      </c>
      <c r="I135" t="s">
        <v>86</v>
      </c>
      <c r="J135" t="str">
        <f>PROPER(TRIM(I135))</f>
        <v>Kano</v>
      </c>
      <c r="K135" t="s">
        <v>48</v>
      </c>
      <c r="L135" t="str">
        <f>PROPER(TRIM(K135))</f>
        <v>Groceries</v>
      </c>
      <c r="M135" t="s">
        <v>49</v>
      </c>
      <c r="N135" t="str">
        <f>PROPER(TRIM(M135))</f>
        <v>Rice</v>
      </c>
      <c r="O135">
        <v>200.45</v>
      </c>
      <c r="P135">
        <v>6</v>
      </c>
      <c r="Q135">
        <f>IF(P135&lt;1, 1, P135)</f>
        <v>6</v>
      </c>
      <c r="R135">
        <v>-10</v>
      </c>
      <c r="S135" t="str">
        <f>IF(OR(R135&lt;0,R135&gt;100),"invalid","Valid")</f>
        <v>invalid</v>
      </c>
      <c r="U135" t="str">
        <f>PROPER(TRIM(T135))</f>
        <v/>
      </c>
      <c r="V135" t="s">
        <v>81</v>
      </c>
      <c r="W135" t="str">
        <f t="shared" si="4"/>
        <v>Ada</v>
      </c>
      <c r="X135" t="s">
        <v>33</v>
      </c>
      <c r="Y135">
        <v>5</v>
      </c>
      <c r="Z135" t="str">
        <f>IF(D135="", "Missing", "ok")</f>
        <v>ok</v>
      </c>
      <c r="AA135">
        <f t="shared" si="5"/>
        <v>1322.9699999999998</v>
      </c>
    </row>
    <row r="136" spans="1:27" x14ac:dyDescent="0.25">
      <c r="A136" t="s">
        <v>445</v>
      </c>
      <c r="B136" s="1" t="s">
        <v>446</v>
      </c>
      <c r="C136" t="s">
        <v>447</v>
      </c>
      <c r="E136" t="str">
        <f>PROPER(TRIM(D136))</f>
        <v/>
      </c>
      <c r="F136" t="s">
        <v>46</v>
      </c>
      <c r="G136">
        <v>130</v>
      </c>
      <c r="H136" t="str">
        <f>IF(AND(G136&gt;18, G136&lt;65), "Valid", "Invalid")</f>
        <v>Invalid</v>
      </c>
      <c r="I136" t="s">
        <v>38</v>
      </c>
      <c r="J136" t="str">
        <f>PROPER(TRIM(I136))</f>
        <v>Ph</v>
      </c>
      <c r="K136" t="s">
        <v>39</v>
      </c>
      <c r="L136" t="str">
        <f>PROPER(TRIM(K136))</f>
        <v>Electronics</v>
      </c>
      <c r="M136" t="s">
        <v>40</v>
      </c>
      <c r="N136" t="str">
        <f>PROPER(TRIM(M136))</f>
        <v>Phone</v>
      </c>
      <c r="O136">
        <v>331.64</v>
      </c>
      <c r="P136">
        <v>9</v>
      </c>
      <c r="Q136">
        <f>IF(P136&lt;1, 1, P136)</f>
        <v>9</v>
      </c>
      <c r="R136">
        <v>15</v>
      </c>
      <c r="S136" t="str">
        <f>IF(OR(R136&lt;0,R136&gt;100),"invalid","Valid")</f>
        <v>Valid</v>
      </c>
      <c r="T136" t="s">
        <v>64</v>
      </c>
      <c r="U136" t="str">
        <f>PROPER(TRIM(T136))</f>
        <v>Transfer</v>
      </c>
      <c r="V136" t="s">
        <v>25</v>
      </c>
      <c r="W136" t="str">
        <f t="shared" si="4"/>
        <v>Dan</v>
      </c>
      <c r="X136" t="s">
        <v>33</v>
      </c>
      <c r="Y136">
        <v>5</v>
      </c>
      <c r="Z136" t="str">
        <f>IF(D136="", "Missing", "ok")</f>
        <v>Missing</v>
      </c>
      <c r="AA136">
        <f t="shared" si="5"/>
        <v>2537.0459999999998</v>
      </c>
    </row>
    <row r="137" spans="1:27" x14ac:dyDescent="0.25">
      <c r="A137" t="s">
        <v>448</v>
      </c>
      <c r="B137" s="1" t="s">
        <v>449</v>
      </c>
      <c r="C137" t="s">
        <v>450</v>
      </c>
      <c r="D137" t="s">
        <v>69</v>
      </c>
      <c r="E137" t="str">
        <f>PROPER(TRIM(D137))</f>
        <v>Mary</v>
      </c>
      <c r="F137" t="s">
        <v>46</v>
      </c>
      <c r="G137">
        <v>8</v>
      </c>
      <c r="H137" t="str">
        <f>IF(AND(G137&gt;18, G137&lt;65), "Valid", "Invalid")</f>
        <v>Invalid</v>
      </c>
      <c r="I137" t="s">
        <v>30</v>
      </c>
      <c r="J137" t="str">
        <f>PROPER(TRIM(I137))</f>
        <v>Lagos</v>
      </c>
      <c r="K137" t="s">
        <v>54</v>
      </c>
      <c r="L137" t="str">
        <f>PROPER(TRIM(K137))</f>
        <v>Home</v>
      </c>
      <c r="M137" t="s">
        <v>55</v>
      </c>
      <c r="N137" t="str">
        <f>PROPER(TRIM(M137))</f>
        <v>Chair</v>
      </c>
      <c r="O137">
        <v>322.72000000000003</v>
      </c>
      <c r="P137">
        <v>5</v>
      </c>
      <c r="Q137">
        <f>IF(P137&lt;1, 1, P137)</f>
        <v>5</v>
      </c>
      <c r="R137">
        <v>120</v>
      </c>
      <c r="S137" t="str">
        <f>IF(OR(R137&lt;0,R137&gt;100),"invalid","Valid")</f>
        <v>invalid</v>
      </c>
      <c r="T137" t="s">
        <v>64</v>
      </c>
      <c r="U137" t="str">
        <f>PROPER(TRIM(T137))</f>
        <v>Transfer</v>
      </c>
      <c r="V137" t="s">
        <v>41</v>
      </c>
      <c r="W137" t="str">
        <f t="shared" si="4"/>
        <v>Chi</v>
      </c>
      <c r="X137" t="s">
        <v>33</v>
      </c>
      <c r="Y137">
        <v>1</v>
      </c>
      <c r="Z137" t="str">
        <f>IF(D137="", "Missing", "ok")</f>
        <v>ok</v>
      </c>
      <c r="AA137">
        <f t="shared" si="5"/>
        <v>-322.71999999999997</v>
      </c>
    </row>
    <row r="138" spans="1:27" x14ac:dyDescent="0.25">
      <c r="A138" t="s">
        <v>451</v>
      </c>
      <c r="B138" s="1" t="s">
        <v>452</v>
      </c>
      <c r="C138" t="s">
        <v>453</v>
      </c>
      <c r="D138" t="s">
        <v>19</v>
      </c>
      <c r="E138" t="str">
        <f>PROPER(TRIM(D138))</f>
        <v>Peter</v>
      </c>
      <c r="F138" t="s">
        <v>20</v>
      </c>
      <c r="G138">
        <v>35</v>
      </c>
      <c r="H138" t="str">
        <f>IF(AND(G138&gt;18, G138&lt;65), "Valid", "Invalid")</f>
        <v>Valid</v>
      </c>
      <c r="I138" t="s">
        <v>47</v>
      </c>
      <c r="J138" t="str">
        <f>PROPER(TRIM(I138))</f>
        <v>Enugu</v>
      </c>
      <c r="K138" t="s">
        <v>31</v>
      </c>
      <c r="L138" t="str">
        <f>PROPER(TRIM(K138))</f>
        <v>Sports</v>
      </c>
      <c r="M138" t="s">
        <v>32</v>
      </c>
      <c r="N138" t="str">
        <f>PROPER(TRIM(M138))</f>
        <v>Ball</v>
      </c>
      <c r="O138">
        <v>229</v>
      </c>
      <c r="P138">
        <v>6</v>
      </c>
      <c r="Q138">
        <f>IF(P138&lt;1, 1, P138)</f>
        <v>6</v>
      </c>
      <c r="R138">
        <v>10</v>
      </c>
      <c r="S138" t="str">
        <f>IF(OR(R138&lt;0,R138&gt;100),"invalid","Valid")</f>
        <v>Valid</v>
      </c>
      <c r="U138" t="str">
        <f>PROPER(TRIM(T138))</f>
        <v/>
      </c>
      <c r="V138" t="s">
        <v>91</v>
      </c>
      <c r="W138" t="str">
        <f t="shared" si="4"/>
        <v>Ben</v>
      </c>
      <c r="X138" t="s">
        <v>82</v>
      </c>
      <c r="Y138">
        <v>5</v>
      </c>
      <c r="Z138" t="str">
        <f>IF(D138="", "Missing", "ok")</f>
        <v>ok</v>
      </c>
      <c r="AA138">
        <f t="shared" si="5"/>
        <v>1236.6000000000001</v>
      </c>
    </row>
    <row r="139" spans="1:27" x14ac:dyDescent="0.25">
      <c r="A139" t="s">
        <v>454</v>
      </c>
      <c r="B139" s="1" t="s">
        <v>455</v>
      </c>
      <c r="C139" t="s">
        <v>456</v>
      </c>
      <c r="D139" t="s">
        <v>117</v>
      </c>
      <c r="E139" t="str">
        <f>PROPER(TRIM(D139))</f>
        <v>David</v>
      </c>
      <c r="F139" t="s">
        <v>46</v>
      </c>
      <c r="G139">
        <v>25</v>
      </c>
      <c r="H139" t="str">
        <f>IF(AND(G139&gt;18, G139&lt;65), "Valid", "Invalid")</f>
        <v>Valid</v>
      </c>
      <c r="I139" t="s">
        <v>21</v>
      </c>
      <c r="J139" t="str">
        <f>PROPER(TRIM(I139))</f>
        <v>Lagos</v>
      </c>
      <c r="K139" t="s">
        <v>22</v>
      </c>
      <c r="L139" t="str">
        <f>PROPER(TRIM(K139))</f>
        <v>Fashion</v>
      </c>
      <c r="M139" t="s">
        <v>23</v>
      </c>
      <c r="N139" t="str">
        <f>PROPER(TRIM(M139))</f>
        <v>Shirt</v>
      </c>
      <c r="O139">
        <v>73.31</v>
      </c>
      <c r="P139">
        <v>-2</v>
      </c>
      <c r="Q139">
        <f>IF(P139&lt;1, 1, P139)</f>
        <v>1</v>
      </c>
      <c r="R139">
        <v>-10</v>
      </c>
      <c r="S139" t="str">
        <f>IF(OR(R139&lt;0,R139&gt;100),"invalid","Valid")</f>
        <v>invalid</v>
      </c>
      <c r="T139" t="s">
        <v>77</v>
      </c>
      <c r="U139" t="str">
        <f>PROPER(TRIM(T139))</f>
        <v>Cash</v>
      </c>
      <c r="V139" t="s">
        <v>91</v>
      </c>
      <c r="W139" t="str">
        <f t="shared" si="4"/>
        <v>Ben</v>
      </c>
      <c r="X139" t="s">
        <v>65</v>
      </c>
      <c r="Y139">
        <v>4</v>
      </c>
      <c r="Z139" t="str">
        <f>IF(D139="", "Missing", "ok")</f>
        <v>ok</v>
      </c>
      <c r="AA139">
        <f t="shared" si="5"/>
        <v>80.641000000000005</v>
      </c>
    </row>
    <row r="140" spans="1:27" x14ac:dyDescent="0.25">
      <c r="A140" t="s">
        <v>457</v>
      </c>
      <c r="B140" s="1" t="s">
        <v>458</v>
      </c>
      <c r="C140" t="s">
        <v>459</v>
      </c>
      <c r="D140" t="s">
        <v>69</v>
      </c>
      <c r="E140" t="str">
        <f>PROPER(TRIM(D140))</f>
        <v>Mary</v>
      </c>
      <c r="F140" t="s">
        <v>20</v>
      </c>
      <c r="G140">
        <v>8</v>
      </c>
      <c r="H140" t="str">
        <f>IF(AND(G140&gt;18, G140&lt;65), "Valid", "Invalid")</f>
        <v>Invalid</v>
      </c>
      <c r="I140" t="s">
        <v>21</v>
      </c>
      <c r="J140" t="str">
        <f>PROPER(TRIM(I140))</f>
        <v>Lagos</v>
      </c>
      <c r="K140" t="s">
        <v>87</v>
      </c>
      <c r="L140" t="str">
        <f>PROPER(TRIM(K140))</f>
        <v>Groceris</v>
      </c>
      <c r="M140" t="s">
        <v>49</v>
      </c>
      <c r="N140" t="str">
        <f>PROPER(TRIM(M140))</f>
        <v>Rice</v>
      </c>
      <c r="O140">
        <v>222.41</v>
      </c>
      <c r="P140">
        <v>-2</v>
      </c>
      <c r="Q140">
        <f>IF(P140&lt;1, 1, P140)</f>
        <v>1</v>
      </c>
      <c r="R140">
        <v>-10</v>
      </c>
      <c r="S140" t="str">
        <f>IF(OR(R140&lt;0,R140&gt;100),"invalid","Valid")</f>
        <v>invalid</v>
      </c>
      <c r="T140" t="s">
        <v>64</v>
      </c>
      <c r="U140" t="str">
        <f>PROPER(TRIM(T140))</f>
        <v>Transfer</v>
      </c>
      <c r="V140" t="s">
        <v>81</v>
      </c>
      <c r="W140" t="str">
        <f t="shared" si="4"/>
        <v>Ada</v>
      </c>
      <c r="X140" t="s">
        <v>33</v>
      </c>
      <c r="Y140">
        <v>5</v>
      </c>
      <c r="Z140" t="str">
        <f>IF(D140="", "Missing", "ok")</f>
        <v>ok</v>
      </c>
      <c r="AA140">
        <f t="shared" si="5"/>
        <v>244.65100000000001</v>
      </c>
    </row>
    <row r="141" spans="1:27" x14ac:dyDescent="0.25">
      <c r="A141" t="s">
        <v>460</v>
      </c>
      <c r="B141" s="1" t="s">
        <v>461</v>
      </c>
      <c r="C141" t="s">
        <v>462</v>
      </c>
      <c r="D141" t="s">
        <v>101</v>
      </c>
      <c r="E141" t="str">
        <f>PROPER(TRIM(D141))</f>
        <v>Grace</v>
      </c>
      <c r="F141" t="s">
        <v>20</v>
      </c>
      <c r="G141">
        <v>52</v>
      </c>
      <c r="H141" t="str">
        <f>IF(AND(G141&gt;18, G141&lt;65), "Valid", "Invalid")</f>
        <v>Valid</v>
      </c>
      <c r="I141" t="s">
        <v>53</v>
      </c>
      <c r="J141" t="str">
        <f>PROPER(TRIM(I141))</f>
        <v>Lagos</v>
      </c>
      <c r="K141" t="s">
        <v>22</v>
      </c>
      <c r="L141" t="str">
        <f>PROPER(TRIM(K141))</f>
        <v>Fashion</v>
      </c>
      <c r="M141" t="s">
        <v>23</v>
      </c>
      <c r="N141" t="str">
        <f>PROPER(TRIM(M141))</f>
        <v>Shirt</v>
      </c>
      <c r="O141">
        <v>325.52999999999997</v>
      </c>
      <c r="P141">
        <v>9</v>
      </c>
      <c r="Q141">
        <f>IF(P141&lt;1, 1, P141)</f>
        <v>9</v>
      </c>
      <c r="R141">
        <v>15</v>
      </c>
      <c r="S141" t="str">
        <f>IF(OR(R141&lt;0,R141&gt;100),"invalid","Valid")</f>
        <v>Valid</v>
      </c>
      <c r="T141" t="s">
        <v>77</v>
      </c>
      <c r="U141" t="str">
        <f>PROPER(TRIM(T141))</f>
        <v>Cash</v>
      </c>
      <c r="V141" t="s">
        <v>81</v>
      </c>
      <c r="W141" t="str">
        <f t="shared" si="4"/>
        <v>Ada</v>
      </c>
      <c r="X141" t="s">
        <v>33</v>
      </c>
      <c r="Y141">
        <v>2</v>
      </c>
      <c r="Z141" t="str">
        <f>IF(D141="", "Missing", "ok")</f>
        <v>ok</v>
      </c>
      <c r="AA141">
        <f t="shared" si="5"/>
        <v>2490.3044999999997</v>
      </c>
    </row>
    <row r="142" spans="1:27" x14ac:dyDescent="0.25">
      <c r="A142" t="s">
        <v>463</v>
      </c>
      <c r="B142" s="1" t="s">
        <v>464</v>
      </c>
      <c r="C142" t="s">
        <v>465</v>
      </c>
      <c r="D142" t="s">
        <v>63</v>
      </c>
      <c r="E142" t="str">
        <f>PROPER(TRIM(D142))</f>
        <v>John</v>
      </c>
      <c r="F142" t="s">
        <v>20</v>
      </c>
      <c r="G142">
        <v>8</v>
      </c>
      <c r="H142" t="str">
        <f>IF(AND(G142&gt;18, G142&lt;65), "Valid", "Invalid")</f>
        <v>Invalid</v>
      </c>
      <c r="I142" t="s">
        <v>30</v>
      </c>
      <c r="J142" t="str">
        <f>PROPER(TRIM(I142))</f>
        <v>Lagos</v>
      </c>
      <c r="K142" t="s">
        <v>87</v>
      </c>
      <c r="L142" t="str">
        <f>PROPER(TRIM(K142))</f>
        <v>Groceris</v>
      </c>
      <c r="M142" t="s">
        <v>49</v>
      </c>
      <c r="N142" t="str">
        <f>PROPER(TRIM(M142))</f>
        <v>Rice</v>
      </c>
      <c r="O142">
        <v>421.83</v>
      </c>
      <c r="P142">
        <v>6</v>
      </c>
      <c r="Q142">
        <f>IF(P142&lt;1, 1, P142)</f>
        <v>6</v>
      </c>
      <c r="R142">
        <v>15</v>
      </c>
      <c r="S142" t="str">
        <f>IF(OR(R142&lt;0,R142&gt;100),"invalid","Valid")</f>
        <v>Valid</v>
      </c>
      <c r="U142" t="str">
        <f>PROPER(TRIM(T142))</f>
        <v/>
      </c>
      <c r="V142" t="s">
        <v>25</v>
      </c>
      <c r="W142" t="str">
        <f t="shared" si="4"/>
        <v>Dan</v>
      </c>
      <c r="X142" t="s">
        <v>33</v>
      </c>
      <c r="Y142">
        <v>1</v>
      </c>
      <c r="Z142" t="str">
        <f>IF(D142="", "Missing", "ok")</f>
        <v>ok</v>
      </c>
      <c r="AA142">
        <f t="shared" si="5"/>
        <v>2151.3330000000001</v>
      </c>
    </row>
    <row r="143" spans="1:27" x14ac:dyDescent="0.25">
      <c r="A143" t="s">
        <v>466</v>
      </c>
      <c r="B143" s="1" t="s">
        <v>467</v>
      </c>
      <c r="C143" t="s">
        <v>468</v>
      </c>
      <c r="E143" t="str">
        <f>PROPER(TRIM(D143))</f>
        <v/>
      </c>
      <c r="F143" t="s">
        <v>20</v>
      </c>
      <c r="G143">
        <v>59</v>
      </c>
      <c r="H143" t="str">
        <f>IF(AND(G143&gt;18, G143&lt;65), "Valid", "Invalid")</f>
        <v>Valid</v>
      </c>
      <c r="I143" t="s">
        <v>21</v>
      </c>
      <c r="J143" t="str">
        <f>PROPER(TRIM(I143))</f>
        <v>Lagos</v>
      </c>
      <c r="K143" t="s">
        <v>22</v>
      </c>
      <c r="L143" t="str">
        <f>PROPER(TRIM(K143))</f>
        <v>Fashion</v>
      </c>
      <c r="M143" t="s">
        <v>23</v>
      </c>
      <c r="N143" t="str">
        <f>PROPER(TRIM(M143))</f>
        <v>Shirt</v>
      </c>
      <c r="O143">
        <v>91.76</v>
      </c>
      <c r="P143">
        <v>10</v>
      </c>
      <c r="Q143">
        <f>IF(P143&lt;1, 1, P143)</f>
        <v>10</v>
      </c>
      <c r="R143">
        <v>5</v>
      </c>
      <c r="S143" t="str">
        <f>IF(OR(R143&lt;0,R143&gt;100),"invalid","Valid")</f>
        <v>Valid</v>
      </c>
      <c r="T143" t="s">
        <v>77</v>
      </c>
      <c r="U143" t="str">
        <f>PROPER(TRIM(T143))</f>
        <v>Cash</v>
      </c>
      <c r="V143" t="s">
        <v>91</v>
      </c>
      <c r="W143" t="str">
        <f t="shared" si="4"/>
        <v>Ben</v>
      </c>
      <c r="X143" t="s">
        <v>33</v>
      </c>
      <c r="Y143">
        <v>5</v>
      </c>
      <c r="Z143" t="str">
        <f>IF(D143="", "Missing", "ok")</f>
        <v>Missing</v>
      </c>
      <c r="AA143">
        <f t="shared" si="5"/>
        <v>871.72</v>
      </c>
    </row>
    <row r="144" spans="1:27" x14ac:dyDescent="0.25">
      <c r="A144" t="s">
        <v>469</v>
      </c>
      <c r="B144" s="1" t="s">
        <v>470</v>
      </c>
      <c r="C144" t="s">
        <v>471</v>
      </c>
      <c r="D144" t="s">
        <v>69</v>
      </c>
      <c r="E144" t="str">
        <f>PROPER(TRIM(D144))</f>
        <v>Mary</v>
      </c>
      <c r="F144" t="s">
        <v>46</v>
      </c>
      <c r="G144">
        <v>8</v>
      </c>
      <c r="H144" t="str">
        <f>IF(AND(G144&gt;18, G144&lt;65), "Valid", "Invalid")</f>
        <v>Invalid</v>
      </c>
      <c r="I144" t="s">
        <v>47</v>
      </c>
      <c r="J144" t="str">
        <f>PROPER(TRIM(I144))</f>
        <v>Enugu</v>
      </c>
      <c r="K144" t="s">
        <v>31</v>
      </c>
      <c r="L144" t="str">
        <f>PROPER(TRIM(K144))</f>
        <v>Sports</v>
      </c>
      <c r="M144" t="s">
        <v>32</v>
      </c>
      <c r="N144" t="str">
        <f>PROPER(TRIM(M144))</f>
        <v>Ball</v>
      </c>
      <c r="O144">
        <v>8.01</v>
      </c>
      <c r="P144">
        <v>-2</v>
      </c>
      <c r="Q144">
        <f>IF(P144&lt;1, 1, P144)</f>
        <v>1</v>
      </c>
      <c r="R144">
        <v>120</v>
      </c>
      <c r="S144" t="str">
        <f>IF(OR(R144&lt;0,R144&gt;100),"invalid","Valid")</f>
        <v>invalid</v>
      </c>
      <c r="T144" t="s">
        <v>77</v>
      </c>
      <c r="U144" t="str">
        <f>PROPER(TRIM(T144))</f>
        <v>Cash</v>
      </c>
      <c r="V144" t="s">
        <v>41</v>
      </c>
      <c r="W144" t="str">
        <f t="shared" si="4"/>
        <v>Chi</v>
      </c>
      <c r="X144" t="s">
        <v>82</v>
      </c>
      <c r="Y144">
        <v>5</v>
      </c>
      <c r="Z144" t="str">
        <f>IF(D144="", "Missing", "ok")</f>
        <v>ok</v>
      </c>
      <c r="AA144">
        <f t="shared" si="5"/>
        <v>-1.6019999999999996</v>
      </c>
    </row>
    <row r="145" spans="1:27" x14ac:dyDescent="0.25">
      <c r="A145" t="s">
        <v>472</v>
      </c>
      <c r="B145" s="1" t="s">
        <v>473</v>
      </c>
      <c r="C145" t="s">
        <v>474</v>
      </c>
      <c r="D145" t="s">
        <v>19</v>
      </c>
      <c r="E145" t="str">
        <f>PROPER(TRIM(D145))</f>
        <v>Peter</v>
      </c>
      <c r="F145" t="s">
        <v>20</v>
      </c>
      <c r="G145">
        <v>130</v>
      </c>
      <c r="H145" t="str">
        <f>IF(AND(G145&gt;18, G145&lt;65), "Valid", "Invalid")</f>
        <v>Invalid</v>
      </c>
      <c r="I145" t="s">
        <v>53</v>
      </c>
      <c r="J145" t="str">
        <f>PROPER(TRIM(I145))</f>
        <v>Lagos</v>
      </c>
      <c r="K145" t="s">
        <v>121</v>
      </c>
      <c r="L145" t="str">
        <f>PROPER(TRIM(K145))</f>
        <v>Beauty</v>
      </c>
      <c r="M145" t="s">
        <v>122</v>
      </c>
      <c r="N145" t="str">
        <f>PROPER(TRIM(M145))</f>
        <v>Cream</v>
      </c>
      <c r="O145">
        <v>180.51</v>
      </c>
      <c r="P145">
        <v>-2</v>
      </c>
      <c r="Q145">
        <f>IF(P145&lt;1, 1, P145)</f>
        <v>1</v>
      </c>
      <c r="R145">
        <v>15</v>
      </c>
      <c r="S145" t="str">
        <f>IF(OR(R145&lt;0,R145&gt;100),"invalid","Valid")</f>
        <v>Valid</v>
      </c>
      <c r="T145" t="s">
        <v>59</v>
      </c>
      <c r="U145" t="str">
        <f>PROPER(TRIM(T145))</f>
        <v>Mobile Money</v>
      </c>
      <c r="V145" t="s">
        <v>25</v>
      </c>
      <c r="W145" t="str">
        <f t="shared" si="4"/>
        <v>Dan</v>
      </c>
      <c r="X145" t="s">
        <v>26</v>
      </c>
      <c r="Z145" t="str">
        <f>IF(D145="", "Missing", "ok")</f>
        <v>ok</v>
      </c>
      <c r="AA145">
        <f t="shared" si="5"/>
        <v>153.43349999999998</v>
      </c>
    </row>
    <row r="146" spans="1:27" x14ac:dyDescent="0.25">
      <c r="A146" t="s">
        <v>475</v>
      </c>
      <c r="B146" s="1" t="s">
        <v>476</v>
      </c>
      <c r="C146" t="s">
        <v>477</v>
      </c>
      <c r="D146" t="s">
        <v>37</v>
      </c>
      <c r="E146" t="str">
        <f>PROPER(TRIM(D146))</f>
        <v>Aisha</v>
      </c>
      <c r="F146" t="s">
        <v>46</v>
      </c>
      <c r="G146">
        <v>130</v>
      </c>
      <c r="H146" t="str">
        <f>IF(AND(G146&gt;18, G146&lt;65), "Valid", "Invalid")</f>
        <v>Invalid</v>
      </c>
      <c r="I146" t="s">
        <v>47</v>
      </c>
      <c r="J146" t="str">
        <f>PROPER(TRIM(I146))</f>
        <v>Enugu</v>
      </c>
      <c r="K146" t="s">
        <v>121</v>
      </c>
      <c r="L146" t="str">
        <f>PROPER(TRIM(K146))</f>
        <v>Beauty</v>
      </c>
      <c r="M146" t="s">
        <v>122</v>
      </c>
      <c r="N146" t="str">
        <f>PROPER(TRIM(M146))</f>
        <v>Cream</v>
      </c>
      <c r="O146">
        <v>252.52</v>
      </c>
      <c r="P146">
        <v>9</v>
      </c>
      <c r="Q146">
        <f>IF(P146&lt;1, 1, P146)</f>
        <v>9</v>
      </c>
      <c r="R146">
        <v>15</v>
      </c>
      <c r="S146" t="str">
        <f>IF(OR(R146&lt;0,R146&gt;100),"invalid","Valid")</f>
        <v>Valid</v>
      </c>
      <c r="T146" t="s">
        <v>77</v>
      </c>
      <c r="U146" t="str">
        <f>PROPER(TRIM(T146))</f>
        <v>Cash</v>
      </c>
      <c r="V146" t="s">
        <v>81</v>
      </c>
      <c r="W146" t="str">
        <f t="shared" si="4"/>
        <v>Ada</v>
      </c>
      <c r="X146" t="s">
        <v>33</v>
      </c>
      <c r="Y146">
        <v>1</v>
      </c>
      <c r="Z146" t="str">
        <f>IF(D146="", "Missing", "ok")</f>
        <v>ok</v>
      </c>
      <c r="AA146">
        <f t="shared" si="5"/>
        <v>1931.7780000000002</v>
      </c>
    </row>
    <row r="147" spans="1:27" x14ac:dyDescent="0.25">
      <c r="A147" t="s">
        <v>478</v>
      </c>
      <c r="B147" s="1" t="s">
        <v>479</v>
      </c>
      <c r="C147" t="s">
        <v>480</v>
      </c>
      <c r="D147" t="s">
        <v>63</v>
      </c>
      <c r="E147" t="str">
        <f>PROPER(TRIM(D147))</f>
        <v>John</v>
      </c>
      <c r="F147" t="s">
        <v>46</v>
      </c>
      <c r="G147">
        <v>130</v>
      </c>
      <c r="H147" t="str">
        <f>IF(AND(G147&gt;18, G147&lt;65), "Valid", "Invalid")</f>
        <v>Invalid</v>
      </c>
      <c r="I147" t="s">
        <v>38</v>
      </c>
      <c r="J147" t="str">
        <f>PROPER(TRIM(I147))</f>
        <v>Ph</v>
      </c>
      <c r="K147" t="s">
        <v>54</v>
      </c>
      <c r="L147" t="str">
        <f>PROPER(TRIM(K147))</f>
        <v>Home</v>
      </c>
      <c r="M147" t="s">
        <v>55</v>
      </c>
      <c r="N147" t="str">
        <f>PROPER(TRIM(M147))</f>
        <v>Chair</v>
      </c>
      <c r="O147">
        <v>494.33</v>
      </c>
      <c r="P147">
        <v>9</v>
      </c>
      <c r="Q147">
        <f>IF(P147&lt;1, 1, P147)</f>
        <v>9</v>
      </c>
      <c r="R147">
        <v>5</v>
      </c>
      <c r="S147" t="str">
        <f>IF(OR(R147&lt;0,R147&gt;100),"invalid","Valid")</f>
        <v>Valid</v>
      </c>
      <c r="T147" t="s">
        <v>59</v>
      </c>
      <c r="U147" t="str">
        <f>PROPER(TRIM(T147))</f>
        <v>Mobile Money</v>
      </c>
      <c r="V147" t="s">
        <v>81</v>
      </c>
      <c r="W147" t="str">
        <f t="shared" si="4"/>
        <v>Ada</v>
      </c>
      <c r="X147" t="s">
        <v>82</v>
      </c>
      <c r="Y147">
        <v>4</v>
      </c>
      <c r="Z147" t="str">
        <f>IF(D147="", "Missing", "ok")</f>
        <v>ok</v>
      </c>
      <c r="AA147">
        <f t="shared" si="5"/>
        <v>4226.5214999999998</v>
      </c>
    </row>
    <row r="148" spans="1:27" x14ac:dyDescent="0.25">
      <c r="A148" t="s">
        <v>481</v>
      </c>
      <c r="B148" s="1" t="s">
        <v>421</v>
      </c>
      <c r="C148" t="s">
        <v>265</v>
      </c>
      <c r="D148" t="s">
        <v>45</v>
      </c>
      <c r="E148" t="str">
        <f>PROPER(TRIM(D148))</f>
        <v>James</v>
      </c>
      <c r="F148" t="s">
        <v>20</v>
      </c>
      <c r="G148">
        <v>130</v>
      </c>
      <c r="H148" t="str">
        <f>IF(AND(G148&gt;18, G148&lt;65), "Valid", "Invalid")</f>
        <v>Invalid</v>
      </c>
      <c r="I148" t="s">
        <v>70</v>
      </c>
      <c r="J148" t="str">
        <f>PROPER(TRIM(I148))</f>
        <v>Abuja</v>
      </c>
      <c r="K148" t="s">
        <v>121</v>
      </c>
      <c r="L148" t="str">
        <f>PROPER(TRIM(K148))</f>
        <v>Beauty</v>
      </c>
      <c r="M148" t="s">
        <v>122</v>
      </c>
      <c r="N148" t="str">
        <f>PROPER(TRIM(M148))</f>
        <v>Cream</v>
      </c>
      <c r="O148">
        <v>145.80000000000001</v>
      </c>
      <c r="P148">
        <v>-2</v>
      </c>
      <c r="Q148">
        <f>IF(P148&lt;1, 1, P148)</f>
        <v>1</v>
      </c>
      <c r="R148">
        <v>120</v>
      </c>
      <c r="S148" t="str">
        <f>IF(OR(R148&lt;0,R148&gt;100),"invalid","Valid")</f>
        <v>invalid</v>
      </c>
      <c r="T148" t="s">
        <v>64</v>
      </c>
      <c r="U148" t="str">
        <f>PROPER(TRIM(T148))</f>
        <v>Transfer</v>
      </c>
      <c r="V148" t="s">
        <v>25</v>
      </c>
      <c r="W148" t="str">
        <f t="shared" si="4"/>
        <v>Dan</v>
      </c>
      <c r="X148" t="s">
        <v>26</v>
      </c>
      <c r="Y148">
        <v>5</v>
      </c>
      <c r="Z148" t="str">
        <f>IF(D148="", "Missing", "ok")</f>
        <v>ok</v>
      </c>
      <c r="AA148">
        <f t="shared" si="5"/>
        <v>-29.159999999999997</v>
      </c>
    </row>
    <row r="149" spans="1:27" x14ac:dyDescent="0.25">
      <c r="A149" t="s">
        <v>482</v>
      </c>
      <c r="B149" s="1" t="s">
        <v>483</v>
      </c>
      <c r="C149" t="s">
        <v>484</v>
      </c>
      <c r="D149" t="s">
        <v>69</v>
      </c>
      <c r="E149" t="str">
        <f>PROPER(TRIM(D149))</f>
        <v>Mary</v>
      </c>
      <c r="F149" t="s">
        <v>46</v>
      </c>
      <c r="G149">
        <v>49</v>
      </c>
      <c r="H149" t="str">
        <f>IF(AND(G149&gt;18, G149&lt;65), "Valid", "Invalid")</f>
        <v>Valid</v>
      </c>
      <c r="I149" t="s">
        <v>30</v>
      </c>
      <c r="J149" t="str">
        <f>PROPER(TRIM(I149))</f>
        <v>Lagos</v>
      </c>
      <c r="K149" t="s">
        <v>121</v>
      </c>
      <c r="L149" t="str">
        <f>PROPER(TRIM(K149))</f>
        <v>Beauty</v>
      </c>
      <c r="M149" t="s">
        <v>122</v>
      </c>
      <c r="N149" t="str">
        <f>PROPER(TRIM(M149))</f>
        <v>Cream</v>
      </c>
      <c r="O149">
        <v>234.56</v>
      </c>
      <c r="P149">
        <v>-2</v>
      </c>
      <c r="Q149">
        <f>IF(P149&lt;1, 1, P149)</f>
        <v>1</v>
      </c>
      <c r="R149">
        <v>120</v>
      </c>
      <c r="S149" t="str">
        <f>IF(OR(R149&lt;0,R149&gt;100),"invalid","Valid")</f>
        <v>invalid</v>
      </c>
      <c r="T149" t="s">
        <v>59</v>
      </c>
      <c r="U149" t="str">
        <f>PROPER(TRIM(T149))</f>
        <v>Mobile Money</v>
      </c>
      <c r="V149" t="s">
        <v>41</v>
      </c>
      <c r="W149" t="str">
        <f t="shared" si="4"/>
        <v>Chi</v>
      </c>
      <c r="X149" t="s">
        <v>65</v>
      </c>
      <c r="Y149">
        <v>3</v>
      </c>
      <c r="Z149" t="str">
        <f>IF(D149="", "Missing", "ok")</f>
        <v>ok</v>
      </c>
      <c r="AA149">
        <f t="shared" si="5"/>
        <v>-46.911999999999992</v>
      </c>
    </row>
    <row r="150" spans="1:27" x14ac:dyDescent="0.25">
      <c r="A150" t="s">
        <v>485</v>
      </c>
      <c r="B150" s="1" t="s">
        <v>486</v>
      </c>
      <c r="C150" t="s">
        <v>487</v>
      </c>
      <c r="D150" t="s">
        <v>37</v>
      </c>
      <c r="E150" t="str">
        <f>PROPER(TRIM(D150))</f>
        <v>Aisha</v>
      </c>
      <c r="F150" t="s">
        <v>20</v>
      </c>
      <c r="G150">
        <v>130</v>
      </c>
      <c r="H150" t="str">
        <f>IF(AND(G150&gt;18, G150&lt;65), "Valid", "Invalid")</f>
        <v>Invalid</v>
      </c>
      <c r="I150" t="s">
        <v>47</v>
      </c>
      <c r="J150" t="str">
        <f>PROPER(TRIM(I150))</f>
        <v>Enugu</v>
      </c>
      <c r="K150" t="s">
        <v>54</v>
      </c>
      <c r="L150" t="str">
        <f>PROPER(TRIM(K150))</f>
        <v>Home</v>
      </c>
      <c r="M150" t="s">
        <v>55</v>
      </c>
      <c r="N150" t="str">
        <f>PROPER(TRIM(M150))</f>
        <v>Chair</v>
      </c>
      <c r="O150">
        <v>181.14</v>
      </c>
      <c r="P150">
        <v>10</v>
      </c>
      <c r="Q150">
        <f>IF(P150&lt;1, 1, P150)</f>
        <v>10</v>
      </c>
      <c r="R150">
        <v>15</v>
      </c>
      <c r="S150" t="str">
        <f>IF(OR(R150&lt;0,R150&gt;100),"invalid","Valid")</f>
        <v>Valid</v>
      </c>
      <c r="T150" t="s">
        <v>59</v>
      </c>
      <c r="U150" t="str">
        <f>PROPER(TRIM(T150))</f>
        <v>Mobile Money</v>
      </c>
      <c r="V150" t="s">
        <v>81</v>
      </c>
      <c r="W150" t="str">
        <f t="shared" si="4"/>
        <v>Ada</v>
      </c>
      <c r="X150" t="s">
        <v>82</v>
      </c>
      <c r="Y150">
        <v>4</v>
      </c>
      <c r="Z150" t="str">
        <f>IF(D150="", "Missing", "ok")</f>
        <v>ok</v>
      </c>
      <c r="AA150">
        <f t="shared" si="5"/>
        <v>1539.6899999999998</v>
      </c>
    </row>
    <row r="151" spans="1:27" x14ac:dyDescent="0.25">
      <c r="A151" t="s">
        <v>488</v>
      </c>
      <c r="B151" s="1" t="s">
        <v>489</v>
      </c>
      <c r="C151" t="s">
        <v>490</v>
      </c>
      <c r="E151" t="str">
        <f>PROPER(TRIM(D151))</f>
        <v/>
      </c>
      <c r="F151" t="s">
        <v>20</v>
      </c>
      <c r="G151">
        <v>130</v>
      </c>
      <c r="H151" t="str">
        <f>IF(AND(G151&gt;18, G151&lt;65), "Valid", "Invalid")</f>
        <v>Invalid</v>
      </c>
      <c r="I151" t="s">
        <v>38</v>
      </c>
      <c r="J151" t="str">
        <f>PROPER(TRIM(I151))</f>
        <v>Ph</v>
      </c>
      <c r="K151" t="s">
        <v>54</v>
      </c>
      <c r="L151" t="str">
        <f>PROPER(TRIM(K151))</f>
        <v>Home</v>
      </c>
      <c r="M151" t="s">
        <v>55</v>
      </c>
      <c r="N151" t="str">
        <f>PROPER(TRIM(M151))</f>
        <v>Chair</v>
      </c>
      <c r="O151">
        <v>263.45999999999998</v>
      </c>
      <c r="P151">
        <v>4</v>
      </c>
      <c r="Q151">
        <f>IF(P151&lt;1, 1, P151)</f>
        <v>4</v>
      </c>
      <c r="R151">
        <v>15</v>
      </c>
      <c r="S151" t="str">
        <f>IF(OR(R151&lt;0,R151&gt;100),"invalid","Valid")</f>
        <v>Valid</v>
      </c>
      <c r="T151" t="s">
        <v>24</v>
      </c>
      <c r="U151" t="str">
        <f>PROPER(TRIM(T151))</f>
        <v>Pos</v>
      </c>
      <c r="V151" t="s">
        <v>91</v>
      </c>
      <c r="W151" t="str">
        <f t="shared" si="4"/>
        <v>Ben</v>
      </c>
      <c r="X151" t="s">
        <v>26</v>
      </c>
      <c r="Y151">
        <v>5</v>
      </c>
      <c r="Z151" t="str">
        <f>IF(D151="", "Missing", "ok")</f>
        <v>Missing</v>
      </c>
      <c r="AA151">
        <f t="shared" si="5"/>
        <v>895.7639999999999</v>
      </c>
    </row>
    <row r="152" spans="1:27" x14ac:dyDescent="0.25">
      <c r="A152" t="s">
        <v>491</v>
      </c>
      <c r="B152" s="1" t="s">
        <v>492</v>
      </c>
      <c r="C152" t="s">
        <v>493</v>
      </c>
      <c r="D152" t="s">
        <v>45</v>
      </c>
      <c r="E152" t="str">
        <f>PROPER(TRIM(D152))</f>
        <v>James</v>
      </c>
      <c r="F152" t="s">
        <v>46</v>
      </c>
      <c r="G152">
        <v>130</v>
      </c>
      <c r="H152" t="str">
        <f>IF(AND(G152&gt;18, G152&lt;65), "Valid", "Invalid")</f>
        <v>Invalid</v>
      </c>
      <c r="I152" t="s">
        <v>30</v>
      </c>
      <c r="J152" t="str">
        <f>PROPER(TRIM(I152))</f>
        <v>Lagos</v>
      </c>
      <c r="K152" t="s">
        <v>31</v>
      </c>
      <c r="L152" t="str">
        <f>PROPER(TRIM(K152))</f>
        <v>Sports</v>
      </c>
      <c r="M152" t="s">
        <v>32</v>
      </c>
      <c r="N152" t="str">
        <f>PROPER(TRIM(M152))</f>
        <v>Ball</v>
      </c>
      <c r="O152">
        <v>232.6</v>
      </c>
      <c r="P152">
        <v>-2</v>
      </c>
      <c r="Q152">
        <f>IF(P152&lt;1, 1, P152)</f>
        <v>1</v>
      </c>
      <c r="R152">
        <v>120</v>
      </c>
      <c r="S152" t="str">
        <f>IF(OR(R152&lt;0,R152&gt;100),"invalid","Valid")</f>
        <v>invalid</v>
      </c>
      <c r="U152" t="str">
        <f>PROPER(TRIM(T152))</f>
        <v/>
      </c>
      <c r="V152" t="s">
        <v>25</v>
      </c>
      <c r="W152" t="str">
        <f t="shared" si="4"/>
        <v>Dan</v>
      </c>
      <c r="X152" t="s">
        <v>33</v>
      </c>
      <c r="Y152">
        <v>2</v>
      </c>
      <c r="Z152" t="str">
        <f>IF(D152="", "Missing", "ok")</f>
        <v>ok</v>
      </c>
      <c r="AA152">
        <f t="shared" si="5"/>
        <v>-46.519999999999989</v>
      </c>
    </row>
    <row r="153" spans="1:27" x14ac:dyDescent="0.25">
      <c r="A153" t="s">
        <v>494</v>
      </c>
      <c r="B153" s="1" t="s">
        <v>103</v>
      </c>
      <c r="C153" t="s">
        <v>495</v>
      </c>
      <c r="D153" t="s">
        <v>19</v>
      </c>
      <c r="E153" t="str">
        <f>PROPER(TRIM(D153))</f>
        <v>Peter</v>
      </c>
      <c r="F153" t="s">
        <v>20</v>
      </c>
      <c r="G153">
        <v>8</v>
      </c>
      <c r="H153" t="str">
        <f>IF(AND(G153&gt;18, G153&lt;65), "Valid", "Invalid")</f>
        <v>Invalid</v>
      </c>
      <c r="I153" t="s">
        <v>86</v>
      </c>
      <c r="J153" t="str">
        <f>PROPER(TRIM(I153))</f>
        <v>Kano</v>
      </c>
      <c r="K153" t="s">
        <v>39</v>
      </c>
      <c r="L153" t="str">
        <f>PROPER(TRIM(K153))</f>
        <v>Electronics</v>
      </c>
      <c r="M153" t="s">
        <v>40</v>
      </c>
      <c r="N153" t="str">
        <f>PROPER(TRIM(M153))</f>
        <v>Phone</v>
      </c>
      <c r="O153">
        <v>61.05</v>
      </c>
      <c r="P153">
        <v>-2</v>
      </c>
      <c r="Q153">
        <f>IF(P153&lt;1, 1, P153)</f>
        <v>1</v>
      </c>
      <c r="R153">
        <v>10</v>
      </c>
      <c r="S153" t="str">
        <f>IF(OR(R153&lt;0,R153&gt;100),"invalid","Valid")</f>
        <v>Valid</v>
      </c>
      <c r="T153" t="s">
        <v>24</v>
      </c>
      <c r="U153" t="str">
        <f>PROPER(TRIM(T153))</f>
        <v>Pos</v>
      </c>
      <c r="V153" t="s">
        <v>25</v>
      </c>
      <c r="W153" t="str">
        <f t="shared" si="4"/>
        <v>Dan</v>
      </c>
      <c r="X153" t="s">
        <v>33</v>
      </c>
      <c r="Z153" t="str">
        <f>IF(D153="", "Missing", "ok")</f>
        <v>ok</v>
      </c>
      <c r="AA153">
        <f t="shared" si="5"/>
        <v>54.945</v>
      </c>
    </row>
    <row r="154" spans="1:27" x14ac:dyDescent="0.25">
      <c r="A154" t="s">
        <v>496</v>
      </c>
      <c r="B154" s="1" t="s">
        <v>497</v>
      </c>
      <c r="C154" t="s">
        <v>498</v>
      </c>
      <c r="D154" t="s">
        <v>19</v>
      </c>
      <c r="E154" t="str">
        <f>PROPER(TRIM(D154))</f>
        <v>Peter</v>
      </c>
      <c r="F154" t="s">
        <v>46</v>
      </c>
      <c r="G154">
        <v>130</v>
      </c>
      <c r="H154" t="str">
        <f>IF(AND(G154&gt;18, G154&lt;65), "Valid", "Invalid")</f>
        <v>Invalid</v>
      </c>
      <c r="I154" t="s">
        <v>86</v>
      </c>
      <c r="J154" t="str">
        <f>PROPER(TRIM(I154))</f>
        <v>Kano</v>
      </c>
      <c r="K154" t="s">
        <v>22</v>
      </c>
      <c r="L154" t="str">
        <f>PROPER(TRIM(K154))</f>
        <v>Fashion</v>
      </c>
      <c r="M154" t="s">
        <v>23</v>
      </c>
      <c r="N154" t="str">
        <f>PROPER(TRIM(M154))</f>
        <v>Shirt</v>
      </c>
      <c r="O154">
        <v>51.52</v>
      </c>
      <c r="P154">
        <v>1</v>
      </c>
      <c r="Q154">
        <f>IF(P154&lt;1, 1, P154)</f>
        <v>1</v>
      </c>
      <c r="R154">
        <v>0</v>
      </c>
      <c r="S154" t="str">
        <f>IF(OR(R154&lt;0,R154&gt;100),"invalid","Valid")</f>
        <v>Valid</v>
      </c>
      <c r="T154" t="s">
        <v>59</v>
      </c>
      <c r="U154" t="str">
        <f>PROPER(TRIM(T154))</f>
        <v>Mobile Money</v>
      </c>
      <c r="V154" t="s">
        <v>41</v>
      </c>
      <c r="W154" t="str">
        <f t="shared" si="4"/>
        <v>Chi</v>
      </c>
      <c r="X154" t="s">
        <v>26</v>
      </c>
      <c r="Y154">
        <v>3</v>
      </c>
      <c r="Z154" t="str">
        <f>IF(D154="", "Missing", "ok")</f>
        <v>ok</v>
      </c>
      <c r="AA154">
        <f t="shared" si="5"/>
        <v>51.52</v>
      </c>
    </row>
    <row r="155" spans="1:27" x14ac:dyDescent="0.25">
      <c r="A155" t="s">
        <v>499</v>
      </c>
      <c r="B155" s="1" t="s">
        <v>500</v>
      </c>
      <c r="C155" t="s">
        <v>501</v>
      </c>
      <c r="D155" t="s">
        <v>45</v>
      </c>
      <c r="E155" t="str">
        <f>PROPER(TRIM(D155))</f>
        <v>James</v>
      </c>
      <c r="F155" t="s">
        <v>20</v>
      </c>
      <c r="G155">
        <v>8</v>
      </c>
      <c r="H155" t="str">
        <f>IF(AND(G155&gt;18, G155&lt;65), "Valid", "Invalid")</f>
        <v>Invalid</v>
      </c>
      <c r="I155" t="s">
        <v>86</v>
      </c>
      <c r="J155" t="str">
        <f>PROPER(TRIM(I155))</f>
        <v>Kano</v>
      </c>
      <c r="K155" t="s">
        <v>87</v>
      </c>
      <c r="L155" t="str">
        <f>PROPER(TRIM(K155))</f>
        <v>Groceris</v>
      </c>
      <c r="M155" t="s">
        <v>49</v>
      </c>
      <c r="N155" t="str">
        <f>PROPER(TRIM(M155))</f>
        <v>Rice</v>
      </c>
      <c r="O155">
        <v>395.87</v>
      </c>
      <c r="P155">
        <v>-2</v>
      </c>
      <c r="Q155">
        <f>IF(P155&lt;1, 1, P155)</f>
        <v>1</v>
      </c>
      <c r="R155">
        <v>120</v>
      </c>
      <c r="S155" t="str">
        <f>IF(OR(R155&lt;0,R155&gt;100),"invalid","Valid")</f>
        <v>invalid</v>
      </c>
      <c r="U155" t="str">
        <f>PROPER(TRIM(T155))</f>
        <v/>
      </c>
      <c r="V155" t="s">
        <v>91</v>
      </c>
      <c r="W155" t="str">
        <f t="shared" si="4"/>
        <v>Ben</v>
      </c>
      <c r="X155" t="s">
        <v>65</v>
      </c>
      <c r="Y155">
        <v>4</v>
      </c>
      <c r="Z155" t="str">
        <f>IF(D155="", "Missing", "ok")</f>
        <v>ok</v>
      </c>
      <c r="AA155">
        <f t="shared" si="5"/>
        <v>-79.173999999999978</v>
      </c>
    </row>
    <row r="156" spans="1:27" x14ac:dyDescent="0.25">
      <c r="A156" t="s">
        <v>502</v>
      </c>
      <c r="B156" s="1" t="s">
        <v>291</v>
      </c>
      <c r="C156" t="s">
        <v>503</v>
      </c>
      <c r="D156" t="s">
        <v>63</v>
      </c>
      <c r="E156" t="str">
        <f>PROPER(TRIM(D156))</f>
        <v>John</v>
      </c>
      <c r="F156" t="s">
        <v>20</v>
      </c>
      <c r="G156">
        <v>130</v>
      </c>
      <c r="H156" t="str">
        <f>IF(AND(G156&gt;18, G156&lt;65), "Valid", "Invalid")</f>
        <v>Invalid</v>
      </c>
      <c r="I156" t="s">
        <v>30</v>
      </c>
      <c r="J156" t="str">
        <f>PROPER(TRIM(I156))</f>
        <v>Lagos</v>
      </c>
      <c r="K156" t="s">
        <v>31</v>
      </c>
      <c r="L156" t="str">
        <f>PROPER(TRIM(K156))</f>
        <v>Sports</v>
      </c>
      <c r="M156" t="s">
        <v>32</v>
      </c>
      <c r="N156" t="str">
        <f>PROPER(TRIM(M156))</f>
        <v>Ball</v>
      </c>
      <c r="O156">
        <v>215.93</v>
      </c>
      <c r="P156">
        <v>-2</v>
      </c>
      <c r="Q156">
        <f>IF(P156&lt;1, 1, P156)</f>
        <v>1</v>
      </c>
      <c r="R156">
        <v>120</v>
      </c>
      <c r="S156" t="str">
        <f>IF(OR(R156&lt;0,R156&gt;100),"invalid","Valid")</f>
        <v>invalid</v>
      </c>
      <c r="T156" t="s">
        <v>64</v>
      </c>
      <c r="U156" t="str">
        <f>PROPER(TRIM(T156))</f>
        <v>Transfer</v>
      </c>
      <c r="V156" t="s">
        <v>91</v>
      </c>
      <c r="W156" t="str">
        <f t="shared" si="4"/>
        <v>Ben</v>
      </c>
      <c r="X156" t="s">
        <v>26</v>
      </c>
      <c r="Y156">
        <v>4</v>
      </c>
      <c r="Z156" t="str">
        <f>IF(D156="", "Missing", "ok")</f>
        <v>ok</v>
      </c>
      <c r="AA156">
        <f t="shared" si="5"/>
        <v>-43.185999999999993</v>
      </c>
    </row>
    <row r="157" spans="1:27" x14ac:dyDescent="0.25">
      <c r="A157" t="s">
        <v>504</v>
      </c>
      <c r="B157" s="1" t="s">
        <v>282</v>
      </c>
      <c r="C157" t="s">
        <v>505</v>
      </c>
      <c r="D157" t="s">
        <v>19</v>
      </c>
      <c r="E157" t="str">
        <f>PROPER(TRIM(D157))</f>
        <v>Peter</v>
      </c>
      <c r="F157" t="s">
        <v>20</v>
      </c>
      <c r="G157">
        <v>8</v>
      </c>
      <c r="H157" t="str">
        <f>IF(AND(G157&gt;18, G157&lt;65), "Valid", "Invalid")</f>
        <v>Invalid</v>
      </c>
      <c r="I157" t="s">
        <v>30</v>
      </c>
      <c r="J157" t="str">
        <f>PROPER(TRIM(I157))</f>
        <v>Lagos</v>
      </c>
      <c r="K157" t="s">
        <v>31</v>
      </c>
      <c r="L157" t="str">
        <f>PROPER(TRIM(K157))</f>
        <v>Sports</v>
      </c>
      <c r="M157" t="s">
        <v>32</v>
      </c>
      <c r="N157" t="str">
        <f>PROPER(TRIM(M157))</f>
        <v>Ball</v>
      </c>
      <c r="O157">
        <v>481.63</v>
      </c>
      <c r="P157">
        <v>5</v>
      </c>
      <c r="Q157">
        <f>IF(P157&lt;1, 1, P157)</f>
        <v>5</v>
      </c>
      <c r="R157">
        <v>15</v>
      </c>
      <c r="S157" t="str">
        <f>IF(OR(R157&lt;0,R157&gt;100),"invalid","Valid")</f>
        <v>Valid</v>
      </c>
      <c r="T157" t="s">
        <v>59</v>
      </c>
      <c r="U157" t="str">
        <f>PROPER(TRIM(T157))</f>
        <v>Mobile Money</v>
      </c>
      <c r="V157" t="s">
        <v>25</v>
      </c>
      <c r="W157" t="str">
        <f t="shared" si="4"/>
        <v>Dan</v>
      </c>
      <c r="X157" t="s">
        <v>26</v>
      </c>
      <c r="Y157">
        <v>3</v>
      </c>
      <c r="Z157" t="str">
        <f>IF(D157="", "Missing", "ok")</f>
        <v>ok</v>
      </c>
      <c r="AA157">
        <f t="shared" si="5"/>
        <v>2046.9275</v>
      </c>
    </row>
    <row r="158" spans="1:27" x14ac:dyDescent="0.25">
      <c r="A158" t="s">
        <v>506</v>
      </c>
      <c r="B158" s="1" t="s">
        <v>507</v>
      </c>
      <c r="C158" t="s">
        <v>508</v>
      </c>
      <c r="D158" t="s">
        <v>117</v>
      </c>
      <c r="E158" t="str">
        <f>PROPER(TRIM(D158))</f>
        <v>David</v>
      </c>
      <c r="F158" t="s">
        <v>46</v>
      </c>
      <c r="G158">
        <v>65</v>
      </c>
      <c r="H158" t="str">
        <f>IF(AND(G158&gt;18, G158&lt;65), "Valid", "Invalid")</f>
        <v>Invalid</v>
      </c>
      <c r="I158" t="s">
        <v>47</v>
      </c>
      <c r="J158" t="str">
        <f>PROPER(TRIM(I158))</f>
        <v>Enugu</v>
      </c>
      <c r="K158" t="s">
        <v>39</v>
      </c>
      <c r="L158" t="str">
        <f>PROPER(TRIM(K158))</f>
        <v>Electronics</v>
      </c>
      <c r="M158" t="s">
        <v>40</v>
      </c>
      <c r="N158" t="str">
        <f>PROPER(TRIM(M158))</f>
        <v>Phone</v>
      </c>
      <c r="O158">
        <v>285.27</v>
      </c>
      <c r="P158">
        <v>5</v>
      </c>
      <c r="Q158">
        <f>IF(P158&lt;1, 1, P158)</f>
        <v>5</v>
      </c>
      <c r="R158">
        <v>15</v>
      </c>
      <c r="S158" t="str">
        <f>IF(OR(R158&lt;0,R158&gt;100),"invalid","Valid")</f>
        <v>Valid</v>
      </c>
      <c r="U158" t="str">
        <f>PROPER(TRIM(T158))</f>
        <v/>
      </c>
      <c r="V158" t="s">
        <v>81</v>
      </c>
      <c r="W158" t="str">
        <f t="shared" si="4"/>
        <v>Ada</v>
      </c>
      <c r="X158" t="s">
        <v>65</v>
      </c>
      <c r="Y158">
        <v>5</v>
      </c>
      <c r="Z158" t="str">
        <f>IF(D158="", "Missing", "ok")</f>
        <v>ok</v>
      </c>
      <c r="AA158">
        <f t="shared" si="5"/>
        <v>1212.3974999999998</v>
      </c>
    </row>
    <row r="159" spans="1:27" x14ac:dyDescent="0.25">
      <c r="A159" t="s">
        <v>509</v>
      </c>
      <c r="B159" s="1" t="s">
        <v>507</v>
      </c>
      <c r="C159" t="s">
        <v>510</v>
      </c>
      <c r="D159" t="s">
        <v>69</v>
      </c>
      <c r="E159" t="str">
        <f>PROPER(TRIM(D159))</f>
        <v>Mary</v>
      </c>
      <c r="F159" t="s">
        <v>20</v>
      </c>
      <c r="G159">
        <v>130</v>
      </c>
      <c r="H159" t="str">
        <f>IF(AND(G159&gt;18, G159&lt;65), "Valid", "Invalid")</f>
        <v>Invalid</v>
      </c>
      <c r="I159" t="s">
        <v>53</v>
      </c>
      <c r="J159" t="str">
        <f>PROPER(TRIM(I159))</f>
        <v>Lagos</v>
      </c>
      <c r="K159" t="s">
        <v>87</v>
      </c>
      <c r="L159" t="str">
        <f>PROPER(TRIM(K159))</f>
        <v>Groceris</v>
      </c>
      <c r="M159" t="s">
        <v>49</v>
      </c>
      <c r="N159" t="str">
        <f>PROPER(TRIM(M159))</f>
        <v>Rice</v>
      </c>
      <c r="O159">
        <v>330.13</v>
      </c>
      <c r="P159">
        <v>-2</v>
      </c>
      <c r="Q159">
        <f>IF(P159&lt;1, 1, P159)</f>
        <v>1</v>
      </c>
      <c r="R159">
        <v>0</v>
      </c>
      <c r="S159" t="str">
        <f>IF(OR(R159&lt;0,R159&gt;100),"invalid","Valid")</f>
        <v>Valid</v>
      </c>
      <c r="T159" t="s">
        <v>24</v>
      </c>
      <c r="U159" t="str">
        <f>PROPER(TRIM(T159))</f>
        <v>Pos</v>
      </c>
      <c r="V159" t="s">
        <v>81</v>
      </c>
      <c r="W159" t="str">
        <f t="shared" si="4"/>
        <v>Ada</v>
      </c>
      <c r="X159" t="s">
        <v>65</v>
      </c>
      <c r="Y159">
        <v>5</v>
      </c>
      <c r="Z159" t="str">
        <f>IF(D159="", "Missing", "ok")</f>
        <v>ok</v>
      </c>
      <c r="AA159">
        <f t="shared" si="5"/>
        <v>330.13</v>
      </c>
    </row>
    <row r="160" spans="1:27" x14ac:dyDescent="0.25">
      <c r="A160" t="s">
        <v>511</v>
      </c>
      <c r="B160" s="1" t="s">
        <v>211</v>
      </c>
      <c r="C160" t="s">
        <v>512</v>
      </c>
      <c r="E160" t="str">
        <f>PROPER(TRIM(D160))</f>
        <v/>
      </c>
      <c r="F160" t="s">
        <v>46</v>
      </c>
      <c r="G160">
        <v>40</v>
      </c>
      <c r="H160" t="str">
        <f>IF(AND(G160&gt;18, G160&lt;65), "Valid", "Invalid")</f>
        <v>Valid</v>
      </c>
      <c r="I160" t="s">
        <v>86</v>
      </c>
      <c r="J160" t="str">
        <f>PROPER(TRIM(I160))</f>
        <v>Kano</v>
      </c>
      <c r="K160" t="s">
        <v>31</v>
      </c>
      <c r="L160" t="str">
        <f>PROPER(TRIM(K160))</f>
        <v>Sports</v>
      </c>
      <c r="M160" t="s">
        <v>32</v>
      </c>
      <c r="N160" t="str">
        <f>PROPER(TRIM(M160))</f>
        <v>Ball</v>
      </c>
      <c r="O160">
        <v>335.99</v>
      </c>
      <c r="P160">
        <v>-2</v>
      </c>
      <c r="Q160">
        <f>IF(P160&lt;1, 1, P160)</f>
        <v>1</v>
      </c>
      <c r="R160">
        <v>120</v>
      </c>
      <c r="S160" t="str">
        <f>IF(OR(R160&lt;0,R160&gt;100),"invalid","Valid")</f>
        <v>invalid</v>
      </c>
      <c r="T160" t="s">
        <v>59</v>
      </c>
      <c r="U160" t="str">
        <f>PROPER(TRIM(T160))</f>
        <v>Mobile Money</v>
      </c>
      <c r="V160" t="s">
        <v>25</v>
      </c>
      <c r="W160" t="str">
        <f t="shared" si="4"/>
        <v>Dan</v>
      </c>
      <c r="X160" t="s">
        <v>65</v>
      </c>
      <c r="Y160">
        <v>2</v>
      </c>
      <c r="Z160" t="str">
        <f>IF(D160="", "Missing", "ok")</f>
        <v>Missing</v>
      </c>
      <c r="AA160">
        <f t="shared" si="5"/>
        <v>-67.197999999999993</v>
      </c>
    </row>
    <row r="161" spans="1:27" x14ac:dyDescent="0.25">
      <c r="A161" t="s">
        <v>513</v>
      </c>
      <c r="B161" s="1" t="s">
        <v>514</v>
      </c>
      <c r="C161" t="s">
        <v>515</v>
      </c>
      <c r="D161" t="s">
        <v>45</v>
      </c>
      <c r="E161" t="str">
        <f>PROPER(TRIM(D161))</f>
        <v>James</v>
      </c>
      <c r="F161" t="s">
        <v>20</v>
      </c>
      <c r="G161">
        <v>23</v>
      </c>
      <c r="H161" t="str">
        <f>IF(AND(G161&gt;18, G161&lt;65), "Valid", "Invalid")</f>
        <v>Valid</v>
      </c>
      <c r="I161" t="s">
        <v>30</v>
      </c>
      <c r="J161" t="str">
        <f>PROPER(TRIM(I161))</f>
        <v>Lagos</v>
      </c>
      <c r="K161" t="s">
        <v>39</v>
      </c>
      <c r="L161" t="str">
        <f>PROPER(TRIM(K161))</f>
        <v>Electronics</v>
      </c>
      <c r="M161" t="s">
        <v>40</v>
      </c>
      <c r="N161" t="str">
        <f>PROPER(TRIM(M161))</f>
        <v>Phone</v>
      </c>
      <c r="O161">
        <v>397.16</v>
      </c>
      <c r="P161">
        <v>9</v>
      </c>
      <c r="Q161">
        <f>IF(P161&lt;1, 1, P161)</f>
        <v>9</v>
      </c>
      <c r="R161">
        <v>-10</v>
      </c>
      <c r="S161" t="str">
        <f>IF(OR(R161&lt;0,R161&gt;100),"invalid","Valid")</f>
        <v>invalid</v>
      </c>
      <c r="T161" t="s">
        <v>77</v>
      </c>
      <c r="U161" t="str">
        <f>PROPER(TRIM(T161))</f>
        <v>Cash</v>
      </c>
      <c r="V161" t="s">
        <v>91</v>
      </c>
      <c r="W161" t="str">
        <f t="shared" si="4"/>
        <v>Ben</v>
      </c>
      <c r="X161" t="s">
        <v>82</v>
      </c>
      <c r="Y161">
        <v>4</v>
      </c>
      <c r="Z161" t="str">
        <f>IF(D161="", "Missing", "ok")</f>
        <v>ok</v>
      </c>
      <c r="AA161">
        <f t="shared" si="5"/>
        <v>3931.8840000000005</v>
      </c>
    </row>
    <row r="162" spans="1:27" x14ac:dyDescent="0.25">
      <c r="A162" t="s">
        <v>516</v>
      </c>
      <c r="B162" s="1" t="s">
        <v>517</v>
      </c>
      <c r="C162" t="s">
        <v>518</v>
      </c>
      <c r="D162" t="s">
        <v>37</v>
      </c>
      <c r="E162" t="str">
        <f>PROPER(TRIM(D162))</f>
        <v>Aisha</v>
      </c>
      <c r="F162" t="s">
        <v>20</v>
      </c>
      <c r="G162">
        <v>130</v>
      </c>
      <c r="H162" t="str">
        <f>IF(AND(G162&gt;18, G162&lt;65), "Valid", "Invalid")</f>
        <v>Invalid</v>
      </c>
      <c r="I162" t="s">
        <v>86</v>
      </c>
      <c r="J162" t="str">
        <f>PROPER(TRIM(I162))</f>
        <v>Kano</v>
      </c>
      <c r="K162" t="s">
        <v>121</v>
      </c>
      <c r="L162" t="str">
        <f>PROPER(TRIM(K162))</f>
        <v>Beauty</v>
      </c>
      <c r="M162" t="s">
        <v>122</v>
      </c>
      <c r="N162" t="str">
        <f>PROPER(TRIM(M162))</f>
        <v>Cream</v>
      </c>
      <c r="O162">
        <v>347.05</v>
      </c>
      <c r="P162">
        <v>-2</v>
      </c>
      <c r="Q162">
        <f>IF(P162&lt;1, 1, P162)</f>
        <v>1</v>
      </c>
      <c r="R162">
        <v>15</v>
      </c>
      <c r="S162" t="str">
        <f>IF(OR(R162&lt;0,R162&gt;100),"invalid","Valid")</f>
        <v>Valid</v>
      </c>
      <c r="T162" t="s">
        <v>24</v>
      </c>
      <c r="U162" t="str">
        <f>PROPER(TRIM(T162))</f>
        <v>Pos</v>
      </c>
      <c r="V162" t="s">
        <v>41</v>
      </c>
      <c r="W162" t="str">
        <f t="shared" si="4"/>
        <v>Chi</v>
      </c>
      <c r="X162" t="s">
        <v>26</v>
      </c>
      <c r="Y162">
        <v>3</v>
      </c>
      <c r="Z162" t="str">
        <f>IF(D162="", "Missing", "ok")</f>
        <v>ok</v>
      </c>
      <c r="AA162">
        <f t="shared" si="5"/>
        <v>294.99250000000001</v>
      </c>
    </row>
    <row r="163" spans="1:27" x14ac:dyDescent="0.25">
      <c r="A163" t="s">
        <v>519</v>
      </c>
      <c r="B163" s="1" t="s">
        <v>520</v>
      </c>
      <c r="C163" t="s">
        <v>521</v>
      </c>
      <c r="D163" t="s">
        <v>19</v>
      </c>
      <c r="E163" t="str">
        <f>PROPER(TRIM(D163))</f>
        <v>Peter</v>
      </c>
      <c r="F163" t="s">
        <v>46</v>
      </c>
      <c r="G163">
        <v>130</v>
      </c>
      <c r="H163" t="str">
        <f>IF(AND(G163&gt;18, G163&lt;65), "Valid", "Invalid")</f>
        <v>Invalid</v>
      </c>
      <c r="I163" t="s">
        <v>38</v>
      </c>
      <c r="J163" t="str">
        <f>PROPER(TRIM(I163))</f>
        <v>Ph</v>
      </c>
      <c r="K163" t="s">
        <v>39</v>
      </c>
      <c r="L163" t="str">
        <f>PROPER(TRIM(K163))</f>
        <v>Electronics</v>
      </c>
      <c r="M163" t="s">
        <v>40</v>
      </c>
      <c r="N163" t="str">
        <f>PROPER(TRIM(M163))</f>
        <v>Phone</v>
      </c>
      <c r="O163">
        <v>142.99</v>
      </c>
      <c r="P163">
        <v>-2</v>
      </c>
      <c r="Q163">
        <f>IF(P163&lt;1, 1, P163)</f>
        <v>1</v>
      </c>
      <c r="R163">
        <v>0</v>
      </c>
      <c r="S163" t="str">
        <f>IF(OR(R163&lt;0,R163&gt;100),"invalid","Valid")</f>
        <v>Valid</v>
      </c>
      <c r="T163" t="s">
        <v>64</v>
      </c>
      <c r="U163" t="str">
        <f>PROPER(TRIM(T163))</f>
        <v>Transfer</v>
      </c>
      <c r="V163" t="s">
        <v>91</v>
      </c>
      <c r="W163" t="str">
        <f t="shared" si="4"/>
        <v>Ben</v>
      </c>
      <c r="X163" t="s">
        <v>26</v>
      </c>
      <c r="Y163">
        <v>1</v>
      </c>
      <c r="Z163" t="str">
        <f>IF(D163="", "Missing", "ok")</f>
        <v>ok</v>
      </c>
      <c r="AA163">
        <f t="shared" si="5"/>
        <v>142.99</v>
      </c>
    </row>
    <row r="164" spans="1:27" x14ac:dyDescent="0.25">
      <c r="A164" t="s">
        <v>522</v>
      </c>
      <c r="B164" s="1" t="s">
        <v>523</v>
      </c>
      <c r="C164" t="s">
        <v>355</v>
      </c>
      <c r="D164" t="s">
        <v>63</v>
      </c>
      <c r="E164" t="str">
        <f>PROPER(TRIM(D164))</f>
        <v>John</v>
      </c>
      <c r="F164" t="s">
        <v>20</v>
      </c>
      <c r="G164">
        <v>61</v>
      </c>
      <c r="H164" t="str">
        <f>IF(AND(G164&gt;18, G164&lt;65), "Valid", "Invalid")</f>
        <v>Valid</v>
      </c>
      <c r="I164" t="s">
        <v>21</v>
      </c>
      <c r="J164" t="str">
        <f>PROPER(TRIM(I164))</f>
        <v>Lagos</v>
      </c>
      <c r="K164" t="s">
        <v>87</v>
      </c>
      <c r="L164" t="str">
        <f>PROPER(TRIM(K164))</f>
        <v>Groceris</v>
      </c>
      <c r="M164" t="s">
        <v>49</v>
      </c>
      <c r="N164" t="str">
        <f>PROPER(TRIM(M164))</f>
        <v>Rice</v>
      </c>
      <c r="O164">
        <v>141.72999999999999</v>
      </c>
      <c r="P164">
        <v>-2</v>
      </c>
      <c r="Q164">
        <f>IF(P164&lt;1, 1, P164)</f>
        <v>1</v>
      </c>
      <c r="R164">
        <v>0</v>
      </c>
      <c r="S164" t="str">
        <f>IF(OR(R164&lt;0,R164&gt;100),"invalid","Valid")</f>
        <v>Valid</v>
      </c>
      <c r="T164" t="s">
        <v>24</v>
      </c>
      <c r="U164" t="str">
        <f>PROPER(TRIM(T164))</f>
        <v>Pos</v>
      </c>
      <c r="V164" t="s">
        <v>91</v>
      </c>
      <c r="W164" t="str">
        <f t="shared" si="4"/>
        <v>Ben</v>
      </c>
      <c r="X164" t="s">
        <v>65</v>
      </c>
      <c r="Y164">
        <v>3</v>
      </c>
      <c r="Z164" t="str">
        <f>IF(D164="", "Missing", "ok")</f>
        <v>ok</v>
      </c>
      <c r="AA164">
        <f t="shared" si="5"/>
        <v>141.72999999999999</v>
      </c>
    </row>
    <row r="165" spans="1:27" x14ac:dyDescent="0.25">
      <c r="A165" t="s">
        <v>524</v>
      </c>
      <c r="B165" s="1" t="s">
        <v>232</v>
      </c>
      <c r="C165" t="s">
        <v>525</v>
      </c>
      <c r="D165" t="s">
        <v>101</v>
      </c>
      <c r="E165" t="str">
        <f>PROPER(TRIM(D165))</f>
        <v>Grace</v>
      </c>
      <c r="F165" t="s">
        <v>20</v>
      </c>
      <c r="G165">
        <v>8</v>
      </c>
      <c r="H165" t="str">
        <f>IF(AND(G165&gt;18, G165&lt;65), "Valid", "Invalid")</f>
        <v>Invalid</v>
      </c>
      <c r="I165" t="s">
        <v>21</v>
      </c>
      <c r="J165" t="str">
        <f>PROPER(TRIM(I165))</f>
        <v>Lagos</v>
      </c>
      <c r="K165" t="s">
        <v>54</v>
      </c>
      <c r="L165" t="str">
        <f>PROPER(TRIM(K165))</f>
        <v>Home</v>
      </c>
      <c r="M165" t="s">
        <v>55</v>
      </c>
      <c r="N165" t="str">
        <f>PROPER(TRIM(M165))</f>
        <v>Chair</v>
      </c>
      <c r="O165">
        <v>168.9</v>
      </c>
      <c r="P165">
        <v>-2</v>
      </c>
      <c r="Q165">
        <f>IF(P165&lt;1, 1, P165)</f>
        <v>1</v>
      </c>
      <c r="R165">
        <v>10</v>
      </c>
      <c r="S165" t="str">
        <f>IF(OR(R165&lt;0,R165&gt;100),"invalid","Valid")</f>
        <v>Valid</v>
      </c>
      <c r="U165" t="str">
        <f>PROPER(TRIM(T165))</f>
        <v/>
      </c>
      <c r="V165" t="s">
        <v>25</v>
      </c>
      <c r="W165" t="str">
        <f t="shared" si="4"/>
        <v>Dan</v>
      </c>
      <c r="X165" t="s">
        <v>26</v>
      </c>
      <c r="Y165">
        <v>5</v>
      </c>
      <c r="Z165" t="str">
        <f>IF(D165="", "Missing", "ok")</f>
        <v>ok</v>
      </c>
      <c r="AA165">
        <f t="shared" si="5"/>
        <v>152.01000000000002</v>
      </c>
    </row>
    <row r="166" spans="1:27" x14ac:dyDescent="0.25">
      <c r="A166" t="s">
        <v>526</v>
      </c>
      <c r="B166" s="1" t="s">
        <v>527</v>
      </c>
      <c r="C166" t="s">
        <v>528</v>
      </c>
      <c r="D166" t="s">
        <v>37</v>
      </c>
      <c r="E166" t="str">
        <f>PROPER(TRIM(D166))</f>
        <v>Aisha</v>
      </c>
      <c r="F166" t="s">
        <v>20</v>
      </c>
      <c r="G166">
        <v>8</v>
      </c>
      <c r="H166" t="str">
        <f>IF(AND(G166&gt;18, G166&lt;65), "Valid", "Invalid")</f>
        <v>Invalid</v>
      </c>
      <c r="I166" t="s">
        <v>53</v>
      </c>
      <c r="J166" t="str">
        <f>PROPER(TRIM(I166))</f>
        <v>Lagos</v>
      </c>
      <c r="K166" t="s">
        <v>39</v>
      </c>
      <c r="L166" t="str">
        <f>PROPER(TRIM(K166))</f>
        <v>Electronics</v>
      </c>
      <c r="M166" t="s">
        <v>40</v>
      </c>
      <c r="N166" t="str">
        <f>PROPER(TRIM(M166))</f>
        <v>Phone</v>
      </c>
      <c r="O166">
        <v>196.51</v>
      </c>
      <c r="P166">
        <v>8</v>
      </c>
      <c r="Q166">
        <f>IF(P166&lt;1, 1, P166)</f>
        <v>8</v>
      </c>
      <c r="R166">
        <v>120</v>
      </c>
      <c r="S166" t="str">
        <f>IF(OR(R166&lt;0,R166&gt;100),"invalid","Valid")</f>
        <v>invalid</v>
      </c>
      <c r="U166" t="str">
        <f>PROPER(TRIM(T166))</f>
        <v/>
      </c>
      <c r="V166" t="s">
        <v>81</v>
      </c>
      <c r="W166" t="str">
        <f t="shared" si="4"/>
        <v>Ada</v>
      </c>
      <c r="X166" t="s">
        <v>33</v>
      </c>
      <c r="Y166">
        <v>1</v>
      </c>
      <c r="Z166" t="str">
        <f>IF(D166="", "Missing", "ok")</f>
        <v>ok</v>
      </c>
      <c r="AA166">
        <f t="shared" si="5"/>
        <v>-314.41599999999994</v>
      </c>
    </row>
    <row r="167" spans="1:27" x14ac:dyDescent="0.25">
      <c r="A167" t="s">
        <v>529</v>
      </c>
      <c r="B167" s="1" t="s">
        <v>530</v>
      </c>
      <c r="C167" t="s">
        <v>531</v>
      </c>
      <c r="E167" t="str">
        <f>PROPER(TRIM(D167))</f>
        <v/>
      </c>
      <c r="F167" t="s">
        <v>20</v>
      </c>
      <c r="G167">
        <v>25</v>
      </c>
      <c r="H167" t="str">
        <f>IF(AND(G167&gt;18, G167&lt;65), "Valid", "Invalid")</f>
        <v>Valid</v>
      </c>
      <c r="I167" t="s">
        <v>53</v>
      </c>
      <c r="J167" t="str">
        <f>PROPER(TRIM(I167))</f>
        <v>Lagos</v>
      </c>
      <c r="K167" t="s">
        <v>39</v>
      </c>
      <c r="L167" t="str">
        <f>PROPER(TRIM(K167))</f>
        <v>Electronics</v>
      </c>
      <c r="M167" t="s">
        <v>40</v>
      </c>
      <c r="N167" t="str">
        <f>PROPER(TRIM(M167))</f>
        <v>Phone</v>
      </c>
      <c r="O167">
        <v>98.13</v>
      </c>
      <c r="P167">
        <v>-2</v>
      </c>
      <c r="Q167">
        <f>IF(P167&lt;1, 1, P167)</f>
        <v>1</v>
      </c>
      <c r="R167">
        <v>10</v>
      </c>
      <c r="S167" t="str">
        <f>IF(OR(R167&lt;0,R167&gt;100),"invalid","Valid")</f>
        <v>Valid</v>
      </c>
      <c r="T167" t="s">
        <v>77</v>
      </c>
      <c r="U167" t="str">
        <f>PROPER(TRIM(T167))</f>
        <v>Cash</v>
      </c>
      <c r="V167" t="s">
        <v>25</v>
      </c>
      <c r="W167" t="str">
        <f t="shared" si="4"/>
        <v>Dan</v>
      </c>
      <c r="X167" t="s">
        <v>33</v>
      </c>
      <c r="Y167">
        <v>1</v>
      </c>
      <c r="Z167" t="str">
        <f>IF(D167="", "Missing", "ok")</f>
        <v>Missing</v>
      </c>
      <c r="AA167">
        <f t="shared" si="5"/>
        <v>88.316999999999993</v>
      </c>
    </row>
    <row r="168" spans="1:27" x14ac:dyDescent="0.25">
      <c r="A168" t="s">
        <v>532</v>
      </c>
      <c r="B168" s="1" t="s">
        <v>533</v>
      </c>
      <c r="C168" t="s">
        <v>534</v>
      </c>
      <c r="D168" t="s">
        <v>37</v>
      </c>
      <c r="E168" t="str">
        <f>PROPER(TRIM(D168))</f>
        <v>Aisha</v>
      </c>
      <c r="F168" t="s">
        <v>46</v>
      </c>
      <c r="G168">
        <v>61</v>
      </c>
      <c r="H168" t="str">
        <f>IF(AND(G168&gt;18, G168&lt;65), "Valid", "Invalid")</f>
        <v>Valid</v>
      </c>
      <c r="I168" t="s">
        <v>38</v>
      </c>
      <c r="J168" t="str">
        <f>PROPER(TRIM(I168))</f>
        <v>Ph</v>
      </c>
      <c r="K168" t="s">
        <v>39</v>
      </c>
      <c r="L168" t="str">
        <f>PROPER(TRIM(K168))</f>
        <v>Electronics</v>
      </c>
      <c r="M168" t="s">
        <v>40</v>
      </c>
      <c r="N168" t="str">
        <f>PROPER(TRIM(M168))</f>
        <v>Phone</v>
      </c>
      <c r="O168">
        <v>374.35</v>
      </c>
      <c r="P168">
        <v>-2</v>
      </c>
      <c r="Q168">
        <f>IF(P168&lt;1, 1, P168)</f>
        <v>1</v>
      </c>
      <c r="R168">
        <v>5</v>
      </c>
      <c r="S168" t="str">
        <f>IF(OR(R168&lt;0,R168&gt;100),"invalid","Valid")</f>
        <v>Valid</v>
      </c>
      <c r="T168" t="s">
        <v>64</v>
      </c>
      <c r="U168" t="str">
        <f>PROPER(TRIM(T168))</f>
        <v>Transfer</v>
      </c>
      <c r="V168" t="s">
        <v>41</v>
      </c>
      <c r="W168" t="str">
        <f t="shared" si="4"/>
        <v>Chi</v>
      </c>
      <c r="X168" t="s">
        <v>33</v>
      </c>
      <c r="Y168">
        <v>5</v>
      </c>
      <c r="Z168" t="str">
        <f>IF(D168="", "Missing", "ok")</f>
        <v>ok</v>
      </c>
      <c r="AA168">
        <f t="shared" si="5"/>
        <v>355.63249999999999</v>
      </c>
    </row>
    <row r="169" spans="1:27" x14ac:dyDescent="0.25">
      <c r="A169" t="s">
        <v>535</v>
      </c>
      <c r="B169" s="1" t="s">
        <v>536</v>
      </c>
      <c r="C169" t="s">
        <v>537</v>
      </c>
      <c r="D169" t="s">
        <v>101</v>
      </c>
      <c r="E169" t="str">
        <f>PROPER(TRIM(D169))</f>
        <v>Grace</v>
      </c>
      <c r="F169" t="s">
        <v>46</v>
      </c>
      <c r="G169">
        <v>8</v>
      </c>
      <c r="H169" t="str">
        <f>IF(AND(G169&gt;18, G169&lt;65), "Valid", "Invalid")</f>
        <v>Invalid</v>
      </c>
      <c r="I169" t="s">
        <v>53</v>
      </c>
      <c r="J169" t="str">
        <f>PROPER(TRIM(I169))</f>
        <v>Lagos</v>
      </c>
      <c r="K169" t="s">
        <v>48</v>
      </c>
      <c r="L169" t="str">
        <f>PROPER(TRIM(K169))</f>
        <v>Groceries</v>
      </c>
      <c r="M169" t="s">
        <v>49</v>
      </c>
      <c r="N169" t="str">
        <f>PROPER(TRIM(M169))</f>
        <v>Rice</v>
      </c>
      <c r="O169">
        <v>30.14</v>
      </c>
      <c r="P169">
        <v>2</v>
      </c>
      <c r="Q169">
        <f>IF(P169&lt;1, 1, P169)</f>
        <v>2</v>
      </c>
      <c r="R169">
        <v>15</v>
      </c>
      <c r="S169" t="str">
        <f>IF(OR(R169&lt;0,R169&gt;100),"invalid","Valid")</f>
        <v>Valid</v>
      </c>
      <c r="T169" t="s">
        <v>59</v>
      </c>
      <c r="U169" t="str">
        <f>PROPER(TRIM(T169))</f>
        <v>Mobile Money</v>
      </c>
      <c r="V169" t="s">
        <v>91</v>
      </c>
      <c r="W169" t="str">
        <f t="shared" si="4"/>
        <v>Ben</v>
      </c>
      <c r="X169" t="s">
        <v>26</v>
      </c>
      <c r="Y169">
        <v>1</v>
      </c>
      <c r="Z169" t="str">
        <f>IF(D169="", "Missing", "ok")</f>
        <v>ok</v>
      </c>
      <c r="AA169">
        <f t="shared" si="5"/>
        <v>51.238</v>
      </c>
    </row>
    <row r="170" spans="1:27" x14ac:dyDescent="0.25">
      <c r="A170" t="s">
        <v>538</v>
      </c>
      <c r="B170" s="1" t="s">
        <v>130</v>
      </c>
      <c r="C170" t="s">
        <v>539</v>
      </c>
      <c r="D170" t="s">
        <v>69</v>
      </c>
      <c r="E170" t="str">
        <f>PROPER(TRIM(D170))</f>
        <v>Mary</v>
      </c>
      <c r="F170" t="s">
        <v>46</v>
      </c>
      <c r="G170">
        <v>130</v>
      </c>
      <c r="H170" t="str">
        <f>IF(AND(G170&gt;18, G170&lt;65), "Valid", "Invalid")</f>
        <v>Invalid</v>
      </c>
      <c r="I170" t="s">
        <v>47</v>
      </c>
      <c r="J170" t="str">
        <f>PROPER(TRIM(I170))</f>
        <v>Enugu</v>
      </c>
      <c r="K170" t="s">
        <v>39</v>
      </c>
      <c r="L170" t="str">
        <f>PROPER(TRIM(K170))</f>
        <v>Electronics</v>
      </c>
      <c r="M170" t="s">
        <v>40</v>
      </c>
      <c r="N170" t="str">
        <f>PROPER(TRIM(M170))</f>
        <v>Phone</v>
      </c>
      <c r="O170">
        <v>91.57</v>
      </c>
      <c r="P170">
        <v>5</v>
      </c>
      <c r="Q170">
        <f>IF(P170&lt;1, 1, P170)</f>
        <v>5</v>
      </c>
      <c r="R170">
        <v>-10</v>
      </c>
      <c r="S170" t="str">
        <f>IF(OR(R170&lt;0,R170&gt;100),"invalid","Valid")</f>
        <v>invalid</v>
      </c>
      <c r="U170" t="str">
        <f>PROPER(TRIM(T170))</f>
        <v/>
      </c>
      <c r="V170" t="s">
        <v>91</v>
      </c>
      <c r="W170" t="str">
        <f t="shared" si="4"/>
        <v>Ben</v>
      </c>
      <c r="X170" t="s">
        <v>82</v>
      </c>
      <c r="Y170">
        <v>5</v>
      </c>
      <c r="Z170" t="str">
        <f>IF(D170="", "Missing", "ok")</f>
        <v>ok</v>
      </c>
      <c r="AA170">
        <f t="shared" si="5"/>
        <v>503.63499999999999</v>
      </c>
    </row>
    <row r="171" spans="1:27" x14ac:dyDescent="0.25">
      <c r="A171" t="s">
        <v>540</v>
      </c>
      <c r="B171" s="1" t="s">
        <v>443</v>
      </c>
      <c r="C171" t="s">
        <v>541</v>
      </c>
      <c r="D171" t="s">
        <v>69</v>
      </c>
      <c r="E171" t="str">
        <f>PROPER(TRIM(D171))</f>
        <v>Mary</v>
      </c>
      <c r="F171" t="s">
        <v>46</v>
      </c>
      <c r="G171">
        <v>130</v>
      </c>
      <c r="H171" t="str">
        <f>IF(AND(G171&gt;18, G171&lt;65), "Valid", "Invalid")</f>
        <v>Invalid</v>
      </c>
      <c r="I171" t="s">
        <v>38</v>
      </c>
      <c r="J171" t="str">
        <f>PROPER(TRIM(I171))</f>
        <v>Ph</v>
      </c>
      <c r="K171" t="s">
        <v>31</v>
      </c>
      <c r="L171" t="str">
        <f>PROPER(TRIM(K171))</f>
        <v>Sports</v>
      </c>
      <c r="M171" t="s">
        <v>32</v>
      </c>
      <c r="N171" t="str">
        <f>PROPER(TRIM(M171))</f>
        <v>Ball</v>
      </c>
      <c r="O171">
        <v>419.13</v>
      </c>
      <c r="P171">
        <v>1</v>
      </c>
      <c r="Q171">
        <f>IF(P171&lt;1, 1, P171)</f>
        <v>1</v>
      </c>
      <c r="R171">
        <v>5</v>
      </c>
      <c r="S171" t="str">
        <f>IF(OR(R171&lt;0,R171&gt;100),"invalid","Valid")</f>
        <v>Valid</v>
      </c>
      <c r="T171" t="s">
        <v>24</v>
      </c>
      <c r="U171" t="str">
        <f>PROPER(TRIM(T171))</f>
        <v>Pos</v>
      </c>
      <c r="V171" t="s">
        <v>41</v>
      </c>
      <c r="W171" t="str">
        <f t="shared" si="4"/>
        <v>Chi</v>
      </c>
      <c r="X171" t="s">
        <v>33</v>
      </c>
      <c r="Y171">
        <v>1</v>
      </c>
      <c r="Z171" t="str">
        <f>IF(D171="", "Missing", "ok")</f>
        <v>ok</v>
      </c>
      <c r="AA171">
        <f t="shared" si="5"/>
        <v>398.17349999999999</v>
      </c>
    </row>
    <row r="172" spans="1:27" x14ac:dyDescent="0.25">
      <c r="A172" t="s">
        <v>542</v>
      </c>
      <c r="B172" s="1" t="s">
        <v>543</v>
      </c>
      <c r="C172" t="s">
        <v>544</v>
      </c>
      <c r="D172" t="s">
        <v>45</v>
      </c>
      <c r="E172" t="str">
        <f>PROPER(TRIM(D172))</f>
        <v>James</v>
      </c>
      <c r="F172" t="s">
        <v>20</v>
      </c>
      <c r="G172">
        <v>8</v>
      </c>
      <c r="H172" t="str">
        <f>IF(AND(G172&gt;18, G172&lt;65), "Valid", "Invalid")</f>
        <v>Invalid</v>
      </c>
      <c r="I172" t="s">
        <v>53</v>
      </c>
      <c r="J172" t="str">
        <f>PROPER(TRIM(I172))</f>
        <v>Lagos</v>
      </c>
      <c r="K172" t="s">
        <v>31</v>
      </c>
      <c r="L172" t="str">
        <f>PROPER(TRIM(K172))</f>
        <v>Sports</v>
      </c>
      <c r="M172" t="s">
        <v>32</v>
      </c>
      <c r="N172" t="str">
        <f>PROPER(TRIM(M172))</f>
        <v>Ball</v>
      </c>
      <c r="O172">
        <v>35.43</v>
      </c>
      <c r="P172">
        <v>10</v>
      </c>
      <c r="Q172">
        <f>IF(P172&lt;1, 1, P172)</f>
        <v>10</v>
      </c>
      <c r="R172">
        <v>0</v>
      </c>
      <c r="S172" t="str">
        <f>IF(OR(R172&lt;0,R172&gt;100),"invalid","Valid")</f>
        <v>Valid</v>
      </c>
      <c r="T172" t="s">
        <v>59</v>
      </c>
      <c r="U172" t="str">
        <f>PROPER(TRIM(T172))</f>
        <v>Mobile Money</v>
      </c>
      <c r="V172" t="s">
        <v>91</v>
      </c>
      <c r="W172" t="str">
        <f t="shared" si="4"/>
        <v>Ben</v>
      </c>
      <c r="X172" t="s">
        <v>26</v>
      </c>
      <c r="Y172">
        <v>5</v>
      </c>
      <c r="Z172" t="str">
        <f>IF(D172="", "Missing", "ok")</f>
        <v>ok</v>
      </c>
      <c r="AA172">
        <f t="shared" si="5"/>
        <v>354.3</v>
      </c>
    </row>
    <row r="173" spans="1:27" x14ac:dyDescent="0.25">
      <c r="A173" t="s">
        <v>545</v>
      </c>
      <c r="B173" s="1" t="s">
        <v>400</v>
      </c>
      <c r="C173" t="s">
        <v>546</v>
      </c>
      <c r="D173" t="s">
        <v>37</v>
      </c>
      <c r="E173" t="str">
        <f>PROPER(TRIM(D173))</f>
        <v>Aisha</v>
      </c>
      <c r="F173" t="s">
        <v>20</v>
      </c>
      <c r="G173">
        <v>130</v>
      </c>
      <c r="H173" t="str">
        <f>IF(AND(G173&gt;18, G173&lt;65), "Valid", "Invalid")</f>
        <v>Invalid</v>
      </c>
      <c r="I173" t="s">
        <v>86</v>
      </c>
      <c r="J173" t="str">
        <f>PROPER(TRIM(I173))</f>
        <v>Kano</v>
      </c>
      <c r="K173" t="s">
        <v>121</v>
      </c>
      <c r="L173" t="str">
        <f>PROPER(TRIM(K173))</f>
        <v>Beauty</v>
      </c>
      <c r="M173" t="s">
        <v>122</v>
      </c>
      <c r="N173" t="str">
        <f>PROPER(TRIM(M173))</f>
        <v>Cream</v>
      </c>
      <c r="O173">
        <v>194.9</v>
      </c>
      <c r="P173">
        <v>-2</v>
      </c>
      <c r="Q173">
        <f>IF(P173&lt;1, 1, P173)</f>
        <v>1</v>
      </c>
      <c r="R173">
        <v>0</v>
      </c>
      <c r="S173" t="str">
        <f>IF(OR(R173&lt;0,R173&gt;100),"invalid","Valid")</f>
        <v>Valid</v>
      </c>
      <c r="T173" t="s">
        <v>77</v>
      </c>
      <c r="U173" t="str">
        <f>PROPER(TRIM(T173))</f>
        <v>Cash</v>
      </c>
      <c r="V173" t="s">
        <v>25</v>
      </c>
      <c r="W173" t="str">
        <f t="shared" si="4"/>
        <v>Dan</v>
      </c>
      <c r="X173" t="s">
        <v>82</v>
      </c>
      <c r="Y173">
        <v>3</v>
      </c>
      <c r="Z173" t="str">
        <f>IF(D173="", "Missing", "ok")</f>
        <v>ok</v>
      </c>
      <c r="AA173">
        <f t="shared" si="5"/>
        <v>194.9</v>
      </c>
    </row>
    <row r="174" spans="1:27" x14ac:dyDescent="0.25">
      <c r="A174" t="s">
        <v>547</v>
      </c>
      <c r="B174" s="1" t="s">
        <v>548</v>
      </c>
      <c r="C174" t="s">
        <v>549</v>
      </c>
      <c r="D174" t="s">
        <v>117</v>
      </c>
      <c r="E174" t="str">
        <f>PROPER(TRIM(D174))</f>
        <v>David</v>
      </c>
      <c r="F174" t="s">
        <v>20</v>
      </c>
      <c r="G174">
        <v>130</v>
      </c>
      <c r="H174" t="str">
        <f>IF(AND(G174&gt;18, G174&lt;65), "Valid", "Invalid")</f>
        <v>Invalid</v>
      </c>
      <c r="I174" t="s">
        <v>86</v>
      </c>
      <c r="J174" t="str">
        <f>PROPER(TRIM(I174))</f>
        <v>Kano</v>
      </c>
      <c r="K174" t="s">
        <v>48</v>
      </c>
      <c r="L174" t="str">
        <f>PROPER(TRIM(K174))</f>
        <v>Groceries</v>
      </c>
      <c r="M174" t="s">
        <v>49</v>
      </c>
      <c r="N174" t="str">
        <f>PROPER(TRIM(M174))</f>
        <v>Rice</v>
      </c>
      <c r="O174">
        <v>410.47</v>
      </c>
      <c r="P174">
        <v>-2</v>
      </c>
      <c r="Q174">
        <f>IF(P174&lt;1, 1, P174)</f>
        <v>1</v>
      </c>
      <c r="R174">
        <v>120</v>
      </c>
      <c r="S174" t="str">
        <f>IF(OR(R174&lt;0,R174&gt;100),"invalid","Valid")</f>
        <v>invalid</v>
      </c>
      <c r="T174" t="s">
        <v>59</v>
      </c>
      <c r="U174" t="str">
        <f>PROPER(TRIM(T174))</f>
        <v>Mobile Money</v>
      </c>
      <c r="V174" t="s">
        <v>25</v>
      </c>
      <c r="W174" t="str">
        <f t="shared" si="4"/>
        <v>Dan</v>
      </c>
      <c r="X174" t="s">
        <v>26</v>
      </c>
      <c r="Y174">
        <v>1</v>
      </c>
      <c r="Z174" t="str">
        <f>IF(D174="", "Missing", "ok")</f>
        <v>ok</v>
      </c>
      <c r="AA174">
        <f t="shared" si="5"/>
        <v>-82.093999999999994</v>
      </c>
    </row>
    <row r="175" spans="1:27" x14ac:dyDescent="0.25">
      <c r="A175" t="s">
        <v>550</v>
      </c>
      <c r="B175" s="1" t="s">
        <v>551</v>
      </c>
      <c r="C175" t="s">
        <v>552</v>
      </c>
      <c r="D175" t="s">
        <v>63</v>
      </c>
      <c r="E175" t="str">
        <f>PROPER(TRIM(D175))</f>
        <v>John</v>
      </c>
      <c r="F175" t="s">
        <v>46</v>
      </c>
      <c r="G175">
        <v>130</v>
      </c>
      <c r="H175" t="str">
        <f>IF(AND(G175&gt;18, G175&lt;65), "Valid", "Invalid")</f>
        <v>Invalid</v>
      </c>
      <c r="I175" t="s">
        <v>30</v>
      </c>
      <c r="J175" t="str">
        <f>PROPER(TRIM(I175))</f>
        <v>Lagos</v>
      </c>
      <c r="K175" t="s">
        <v>39</v>
      </c>
      <c r="L175" t="str">
        <f>PROPER(TRIM(K175))</f>
        <v>Electronics</v>
      </c>
      <c r="M175" t="s">
        <v>40</v>
      </c>
      <c r="N175" t="str">
        <f>PROPER(TRIM(M175))</f>
        <v>Phone</v>
      </c>
      <c r="O175">
        <v>191.91</v>
      </c>
      <c r="P175">
        <v>-2</v>
      </c>
      <c r="Q175">
        <f>IF(P175&lt;1, 1, P175)</f>
        <v>1</v>
      </c>
      <c r="R175">
        <v>5</v>
      </c>
      <c r="S175" t="str">
        <f>IF(OR(R175&lt;0,R175&gt;100),"invalid","Valid")</f>
        <v>Valid</v>
      </c>
      <c r="T175" t="s">
        <v>64</v>
      </c>
      <c r="U175" t="str">
        <f>PROPER(TRIM(T175))</f>
        <v>Transfer</v>
      </c>
      <c r="V175" t="s">
        <v>81</v>
      </c>
      <c r="W175" t="str">
        <f t="shared" si="4"/>
        <v>Ada</v>
      </c>
      <c r="X175" t="s">
        <v>82</v>
      </c>
      <c r="Z175" t="str">
        <f>IF(D175="", "Missing", "ok")</f>
        <v>ok</v>
      </c>
      <c r="AA175">
        <f t="shared" si="5"/>
        <v>182.31449999999998</v>
      </c>
    </row>
    <row r="176" spans="1:27" x14ac:dyDescent="0.25">
      <c r="A176" t="s">
        <v>553</v>
      </c>
      <c r="B176" s="1" t="s">
        <v>554</v>
      </c>
      <c r="C176" t="s">
        <v>555</v>
      </c>
      <c r="E176" t="str">
        <f>PROPER(TRIM(D176))</f>
        <v/>
      </c>
      <c r="F176" t="s">
        <v>20</v>
      </c>
      <c r="G176">
        <v>130</v>
      </c>
      <c r="H176" t="str">
        <f>IF(AND(G176&gt;18, G176&lt;65), "Valid", "Invalid")</f>
        <v>Invalid</v>
      </c>
      <c r="I176" t="s">
        <v>21</v>
      </c>
      <c r="J176" t="str">
        <f>PROPER(TRIM(I176))</f>
        <v>Lagos</v>
      </c>
      <c r="K176" t="s">
        <v>121</v>
      </c>
      <c r="L176" t="str">
        <f>PROPER(TRIM(K176))</f>
        <v>Beauty</v>
      </c>
      <c r="M176" t="s">
        <v>122</v>
      </c>
      <c r="N176" t="str">
        <f>PROPER(TRIM(M176))</f>
        <v>Cream</v>
      </c>
      <c r="O176">
        <v>379.48</v>
      </c>
      <c r="P176">
        <v>-2</v>
      </c>
      <c r="Q176">
        <f>IF(P176&lt;1, 1, P176)</f>
        <v>1</v>
      </c>
      <c r="R176">
        <v>15</v>
      </c>
      <c r="S176" t="str">
        <f>IF(OR(R176&lt;0,R176&gt;100),"invalid","Valid")</f>
        <v>Valid</v>
      </c>
      <c r="U176" t="str">
        <f>PROPER(TRIM(T176))</f>
        <v/>
      </c>
      <c r="V176" t="s">
        <v>41</v>
      </c>
      <c r="W176" t="str">
        <f t="shared" si="4"/>
        <v>Chi</v>
      </c>
      <c r="X176" t="s">
        <v>65</v>
      </c>
      <c r="Z176" t="str">
        <f>IF(D176="", "Missing", "ok")</f>
        <v>Missing</v>
      </c>
      <c r="AA176">
        <f t="shared" si="5"/>
        <v>322.55799999999999</v>
      </c>
    </row>
    <row r="177" spans="1:27" x14ac:dyDescent="0.25">
      <c r="A177" t="s">
        <v>556</v>
      </c>
      <c r="B177" s="1" t="s">
        <v>72</v>
      </c>
      <c r="C177" t="s">
        <v>557</v>
      </c>
      <c r="D177" t="s">
        <v>63</v>
      </c>
      <c r="E177" t="str">
        <f>PROPER(TRIM(D177))</f>
        <v>John</v>
      </c>
      <c r="F177" t="s">
        <v>46</v>
      </c>
      <c r="G177">
        <v>130</v>
      </c>
      <c r="H177" t="str">
        <f>IF(AND(G177&gt;18, G177&lt;65), "Valid", "Invalid")</f>
        <v>Invalid</v>
      </c>
      <c r="I177" t="s">
        <v>53</v>
      </c>
      <c r="J177" t="str">
        <f>PROPER(TRIM(I177))</f>
        <v>Lagos</v>
      </c>
      <c r="K177" t="s">
        <v>39</v>
      </c>
      <c r="L177" t="str">
        <f>PROPER(TRIM(K177))</f>
        <v>Electronics</v>
      </c>
      <c r="M177" t="s">
        <v>40</v>
      </c>
      <c r="N177" t="str">
        <f>PROPER(TRIM(M177))</f>
        <v>Phone</v>
      </c>
      <c r="O177">
        <v>252.91</v>
      </c>
      <c r="P177">
        <v>-2</v>
      </c>
      <c r="Q177">
        <f>IF(P177&lt;1, 1, P177)</f>
        <v>1</v>
      </c>
      <c r="R177">
        <v>5</v>
      </c>
      <c r="S177" t="str">
        <f>IF(OR(R177&lt;0,R177&gt;100),"invalid","Valid")</f>
        <v>Valid</v>
      </c>
      <c r="T177" t="s">
        <v>59</v>
      </c>
      <c r="U177" t="str">
        <f>PROPER(TRIM(T177))</f>
        <v>Mobile Money</v>
      </c>
      <c r="V177" t="s">
        <v>41</v>
      </c>
      <c r="W177" t="str">
        <f t="shared" si="4"/>
        <v>Chi</v>
      </c>
      <c r="X177" t="s">
        <v>82</v>
      </c>
      <c r="Y177">
        <v>1</v>
      </c>
      <c r="Z177" t="str">
        <f>IF(D177="", "Missing", "ok")</f>
        <v>ok</v>
      </c>
      <c r="AA177">
        <f t="shared" si="5"/>
        <v>240.2645</v>
      </c>
    </row>
    <row r="178" spans="1:27" x14ac:dyDescent="0.25">
      <c r="A178" t="s">
        <v>558</v>
      </c>
      <c r="B178" s="1" t="s">
        <v>559</v>
      </c>
      <c r="C178" t="s">
        <v>560</v>
      </c>
      <c r="E178" t="str">
        <f>PROPER(TRIM(D178))</f>
        <v/>
      </c>
      <c r="F178" t="s">
        <v>46</v>
      </c>
      <c r="G178">
        <v>60</v>
      </c>
      <c r="H178" t="str">
        <f>IF(AND(G178&gt;18, G178&lt;65), "Valid", "Invalid")</f>
        <v>Valid</v>
      </c>
      <c r="I178" t="s">
        <v>70</v>
      </c>
      <c r="J178" t="str">
        <f>PROPER(TRIM(I178))</f>
        <v>Abuja</v>
      </c>
      <c r="K178" t="s">
        <v>121</v>
      </c>
      <c r="L178" t="str">
        <f>PROPER(TRIM(K178))</f>
        <v>Beauty</v>
      </c>
      <c r="M178" t="s">
        <v>122</v>
      </c>
      <c r="N178" t="str">
        <f>PROPER(TRIM(M178))</f>
        <v>Cream</v>
      </c>
      <c r="O178">
        <v>140.94999999999999</v>
      </c>
      <c r="P178">
        <v>9</v>
      </c>
      <c r="Q178">
        <f>IF(P178&lt;1, 1, P178)</f>
        <v>9</v>
      </c>
      <c r="R178">
        <v>0</v>
      </c>
      <c r="S178" t="str">
        <f>IF(OR(R178&lt;0,R178&gt;100),"invalid","Valid")</f>
        <v>Valid</v>
      </c>
      <c r="T178" t="s">
        <v>24</v>
      </c>
      <c r="U178" t="str">
        <f>PROPER(TRIM(T178))</f>
        <v>Pos</v>
      </c>
      <c r="V178" t="s">
        <v>41</v>
      </c>
      <c r="W178" t="str">
        <f t="shared" si="4"/>
        <v>Chi</v>
      </c>
      <c r="X178" t="s">
        <v>33</v>
      </c>
      <c r="Y178">
        <v>2</v>
      </c>
      <c r="Z178" t="str">
        <f>IF(D178="", "Missing", "ok")</f>
        <v>Missing</v>
      </c>
      <c r="AA178">
        <f t="shared" si="5"/>
        <v>1268.55</v>
      </c>
    </row>
    <row r="179" spans="1:27" x14ac:dyDescent="0.25">
      <c r="A179" t="s">
        <v>561</v>
      </c>
      <c r="B179" s="1" t="s">
        <v>562</v>
      </c>
      <c r="C179" t="s">
        <v>563</v>
      </c>
      <c r="D179" t="s">
        <v>45</v>
      </c>
      <c r="E179" t="str">
        <f>PROPER(TRIM(D179))</f>
        <v>James</v>
      </c>
      <c r="F179" t="s">
        <v>20</v>
      </c>
      <c r="G179">
        <v>8</v>
      </c>
      <c r="H179" t="str">
        <f>IF(AND(G179&gt;18, G179&lt;65), "Valid", "Invalid")</f>
        <v>Invalid</v>
      </c>
      <c r="I179" t="s">
        <v>21</v>
      </c>
      <c r="J179" t="str">
        <f>PROPER(TRIM(I179))</f>
        <v>Lagos</v>
      </c>
      <c r="K179" t="s">
        <v>54</v>
      </c>
      <c r="L179" t="str">
        <f>PROPER(TRIM(K179))</f>
        <v>Home</v>
      </c>
      <c r="M179" t="s">
        <v>55</v>
      </c>
      <c r="N179" t="str">
        <f>PROPER(TRIM(M179))</f>
        <v>Chair</v>
      </c>
      <c r="O179">
        <v>409.81</v>
      </c>
      <c r="P179">
        <v>-2</v>
      </c>
      <c r="Q179">
        <f>IF(P179&lt;1, 1, P179)</f>
        <v>1</v>
      </c>
      <c r="R179">
        <v>10</v>
      </c>
      <c r="S179" t="str">
        <f>IF(OR(R179&lt;0,R179&gt;100),"invalid","Valid")</f>
        <v>Valid</v>
      </c>
      <c r="T179" t="s">
        <v>77</v>
      </c>
      <c r="U179" t="str">
        <f>PROPER(TRIM(T179))</f>
        <v>Cash</v>
      </c>
      <c r="V179" t="s">
        <v>81</v>
      </c>
      <c r="W179" t="str">
        <f t="shared" si="4"/>
        <v>Ada</v>
      </c>
      <c r="X179" t="s">
        <v>26</v>
      </c>
      <c r="Y179">
        <v>5</v>
      </c>
      <c r="Z179" t="str">
        <f>IF(D179="", "Missing", "ok")</f>
        <v>ok</v>
      </c>
      <c r="AA179">
        <f t="shared" si="5"/>
        <v>368.82900000000001</v>
      </c>
    </row>
    <row r="180" spans="1:27" x14ac:dyDescent="0.25">
      <c r="A180" t="s">
        <v>564</v>
      </c>
      <c r="B180" s="1" t="s">
        <v>565</v>
      </c>
      <c r="C180" t="s">
        <v>566</v>
      </c>
      <c r="D180" t="s">
        <v>19</v>
      </c>
      <c r="E180" t="str">
        <f>PROPER(TRIM(D180))</f>
        <v>Peter</v>
      </c>
      <c r="F180" t="s">
        <v>46</v>
      </c>
      <c r="G180">
        <v>25</v>
      </c>
      <c r="H180" t="str">
        <f>IF(AND(G180&gt;18, G180&lt;65), "Valid", "Invalid")</f>
        <v>Valid</v>
      </c>
      <c r="I180" t="s">
        <v>21</v>
      </c>
      <c r="J180" t="str">
        <f>PROPER(TRIM(I180))</f>
        <v>Lagos</v>
      </c>
      <c r="K180" t="s">
        <v>87</v>
      </c>
      <c r="L180" t="str">
        <f>PROPER(TRIM(K180))</f>
        <v>Groceris</v>
      </c>
      <c r="M180" t="s">
        <v>49</v>
      </c>
      <c r="N180" t="str">
        <f>PROPER(TRIM(M180))</f>
        <v>Rice</v>
      </c>
      <c r="O180">
        <v>187.05</v>
      </c>
      <c r="P180">
        <v>-2</v>
      </c>
      <c r="Q180">
        <f>IF(P180&lt;1, 1, P180)</f>
        <v>1</v>
      </c>
      <c r="R180">
        <v>10</v>
      </c>
      <c r="S180" t="str">
        <f>IF(OR(R180&lt;0,R180&gt;100),"invalid","Valid")</f>
        <v>Valid</v>
      </c>
      <c r="T180" t="s">
        <v>64</v>
      </c>
      <c r="U180" t="str">
        <f>PROPER(TRIM(T180))</f>
        <v>Transfer</v>
      </c>
      <c r="V180" t="s">
        <v>91</v>
      </c>
      <c r="W180" t="str">
        <f t="shared" si="4"/>
        <v>Ben</v>
      </c>
      <c r="X180" t="s">
        <v>82</v>
      </c>
      <c r="Y180">
        <v>2</v>
      </c>
      <c r="Z180" t="str">
        <f>IF(D180="", "Missing", "ok")</f>
        <v>ok</v>
      </c>
      <c r="AA180">
        <f t="shared" si="5"/>
        <v>168.34500000000003</v>
      </c>
    </row>
    <row r="181" spans="1:27" x14ac:dyDescent="0.25">
      <c r="A181" t="s">
        <v>567</v>
      </c>
      <c r="B181" s="1" t="s">
        <v>568</v>
      </c>
      <c r="C181" t="s">
        <v>569</v>
      </c>
      <c r="D181" t="s">
        <v>117</v>
      </c>
      <c r="E181" t="str">
        <f>PROPER(TRIM(D181))</f>
        <v>David</v>
      </c>
      <c r="F181" t="s">
        <v>20</v>
      </c>
      <c r="G181">
        <v>8</v>
      </c>
      <c r="H181" t="str">
        <f>IF(AND(G181&gt;18, G181&lt;65), "Valid", "Invalid")</f>
        <v>Invalid</v>
      </c>
      <c r="I181" t="s">
        <v>21</v>
      </c>
      <c r="J181" t="str">
        <f>PROPER(TRIM(I181))</f>
        <v>Lagos</v>
      </c>
      <c r="K181" t="s">
        <v>39</v>
      </c>
      <c r="L181" t="str">
        <f>PROPER(TRIM(K181))</f>
        <v>Electronics</v>
      </c>
      <c r="M181" t="s">
        <v>40</v>
      </c>
      <c r="N181" t="str">
        <f>PROPER(TRIM(M181))</f>
        <v>Phone</v>
      </c>
      <c r="O181">
        <v>189.11</v>
      </c>
      <c r="P181">
        <v>-2</v>
      </c>
      <c r="Q181">
        <f>IF(P181&lt;1, 1, P181)</f>
        <v>1</v>
      </c>
      <c r="R181">
        <v>120</v>
      </c>
      <c r="S181" t="str">
        <f>IF(OR(R181&lt;0,R181&gt;100),"invalid","Valid")</f>
        <v>invalid</v>
      </c>
      <c r="T181" t="s">
        <v>77</v>
      </c>
      <c r="U181" t="str">
        <f>PROPER(TRIM(T181))</f>
        <v>Cash</v>
      </c>
      <c r="V181" t="s">
        <v>81</v>
      </c>
      <c r="W181" t="str">
        <f t="shared" si="4"/>
        <v>Ada</v>
      </c>
      <c r="X181" t="s">
        <v>82</v>
      </c>
      <c r="Y181">
        <v>5</v>
      </c>
      <c r="Z181" t="str">
        <f>IF(D181="", "Missing", "ok")</f>
        <v>ok</v>
      </c>
      <c r="AA181">
        <f t="shared" si="5"/>
        <v>-37.821999999999996</v>
      </c>
    </row>
    <row r="182" spans="1:27" x14ac:dyDescent="0.25">
      <c r="A182" t="s">
        <v>570</v>
      </c>
      <c r="B182" s="1" t="s">
        <v>571</v>
      </c>
      <c r="C182" t="s">
        <v>572</v>
      </c>
      <c r="E182" t="str">
        <f>PROPER(TRIM(D182))</f>
        <v/>
      </c>
      <c r="F182" t="s">
        <v>46</v>
      </c>
      <c r="G182">
        <v>42</v>
      </c>
      <c r="H182" t="str">
        <f>IF(AND(G182&gt;18, G182&lt;65), "Valid", "Invalid")</f>
        <v>Valid</v>
      </c>
      <c r="I182" t="s">
        <v>70</v>
      </c>
      <c r="J182" t="str">
        <f>PROPER(TRIM(I182))</f>
        <v>Abuja</v>
      </c>
      <c r="K182" t="s">
        <v>22</v>
      </c>
      <c r="L182" t="str">
        <f>PROPER(TRIM(K182))</f>
        <v>Fashion</v>
      </c>
      <c r="M182" t="s">
        <v>23</v>
      </c>
      <c r="N182" t="str">
        <f>PROPER(TRIM(M182))</f>
        <v>Shirt</v>
      </c>
      <c r="O182">
        <v>207.67</v>
      </c>
      <c r="P182">
        <v>-2</v>
      </c>
      <c r="Q182">
        <f>IF(P182&lt;1, 1, P182)</f>
        <v>1</v>
      </c>
      <c r="R182">
        <v>-10</v>
      </c>
      <c r="S182" t="str">
        <f>IF(OR(R182&lt;0,R182&gt;100),"invalid","Valid")</f>
        <v>invalid</v>
      </c>
      <c r="T182" t="s">
        <v>77</v>
      </c>
      <c r="U182" t="str">
        <f>PROPER(TRIM(T182))</f>
        <v>Cash</v>
      </c>
      <c r="V182" t="s">
        <v>91</v>
      </c>
      <c r="W182" t="str">
        <f t="shared" si="4"/>
        <v>Ben</v>
      </c>
      <c r="X182" t="s">
        <v>82</v>
      </c>
      <c r="Y182">
        <v>1</v>
      </c>
      <c r="Z182" t="str">
        <f>IF(D182="", "Missing", "ok")</f>
        <v>Missing</v>
      </c>
      <c r="AA182">
        <f t="shared" si="5"/>
        <v>228.43700000000001</v>
      </c>
    </row>
    <row r="183" spans="1:27" x14ac:dyDescent="0.25">
      <c r="A183" t="s">
        <v>573</v>
      </c>
      <c r="B183" s="1" t="s">
        <v>574</v>
      </c>
      <c r="C183" t="s">
        <v>575</v>
      </c>
      <c r="D183" t="s">
        <v>69</v>
      </c>
      <c r="E183" t="str">
        <f>PROPER(TRIM(D183))</f>
        <v>Mary</v>
      </c>
      <c r="F183" t="s">
        <v>20</v>
      </c>
      <c r="G183">
        <v>130</v>
      </c>
      <c r="H183" t="str">
        <f>IF(AND(G183&gt;18, G183&lt;65), "Valid", "Invalid")</f>
        <v>Invalid</v>
      </c>
      <c r="I183" t="s">
        <v>86</v>
      </c>
      <c r="J183" t="str">
        <f>PROPER(TRIM(I183))</f>
        <v>Kano</v>
      </c>
      <c r="K183" t="s">
        <v>39</v>
      </c>
      <c r="L183" t="str">
        <f>PROPER(TRIM(K183))</f>
        <v>Electronics</v>
      </c>
      <c r="M183" t="s">
        <v>40</v>
      </c>
      <c r="N183" t="str">
        <f>PROPER(TRIM(M183))</f>
        <v>Phone</v>
      </c>
      <c r="O183">
        <v>152.19</v>
      </c>
      <c r="P183">
        <v>-2</v>
      </c>
      <c r="Q183">
        <f>IF(P183&lt;1, 1, P183)</f>
        <v>1</v>
      </c>
      <c r="R183">
        <v>0</v>
      </c>
      <c r="S183" t="str">
        <f>IF(OR(R183&lt;0,R183&gt;100),"invalid","Valid")</f>
        <v>Valid</v>
      </c>
      <c r="T183" t="s">
        <v>77</v>
      </c>
      <c r="U183" t="str">
        <f>PROPER(TRIM(T183))</f>
        <v>Cash</v>
      </c>
      <c r="V183" t="s">
        <v>25</v>
      </c>
      <c r="W183" t="str">
        <f t="shared" si="4"/>
        <v>Dan</v>
      </c>
      <c r="X183" t="s">
        <v>26</v>
      </c>
      <c r="Y183">
        <v>1</v>
      </c>
      <c r="Z183" t="str">
        <f>IF(D183="", "Missing", "ok")</f>
        <v>ok</v>
      </c>
      <c r="AA183">
        <f t="shared" si="5"/>
        <v>152.19</v>
      </c>
    </row>
    <row r="184" spans="1:27" x14ac:dyDescent="0.25">
      <c r="A184" t="s">
        <v>576</v>
      </c>
      <c r="B184" s="1" t="s">
        <v>147</v>
      </c>
      <c r="C184" t="s">
        <v>577</v>
      </c>
      <c r="D184" t="s">
        <v>117</v>
      </c>
      <c r="E184" t="str">
        <f>PROPER(TRIM(D184))</f>
        <v>David</v>
      </c>
      <c r="F184" t="s">
        <v>46</v>
      </c>
      <c r="G184">
        <v>130</v>
      </c>
      <c r="H184" t="str">
        <f>IF(AND(G184&gt;18, G184&lt;65), "Valid", "Invalid")</f>
        <v>Invalid</v>
      </c>
      <c r="I184" t="s">
        <v>70</v>
      </c>
      <c r="J184" t="str">
        <f>PROPER(TRIM(I184))</f>
        <v>Abuja</v>
      </c>
      <c r="K184" t="s">
        <v>22</v>
      </c>
      <c r="L184" t="str">
        <f>PROPER(TRIM(K184))</f>
        <v>Fashion</v>
      </c>
      <c r="M184" t="s">
        <v>23</v>
      </c>
      <c r="N184" t="str">
        <f>PROPER(TRIM(M184))</f>
        <v>Shirt</v>
      </c>
      <c r="O184">
        <v>455.38</v>
      </c>
      <c r="P184">
        <v>-2</v>
      </c>
      <c r="Q184">
        <f>IF(P184&lt;1, 1, P184)</f>
        <v>1</v>
      </c>
      <c r="R184">
        <v>0</v>
      </c>
      <c r="S184" t="str">
        <f>IF(OR(R184&lt;0,R184&gt;100),"invalid","Valid")</f>
        <v>Valid</v>
      </c>
      <c r="U184" t="str">
        <f>PROPER(TRIM(T184))</f>
        <v/>
      </c>
      <c r="V184" t="s">
        <v>41</v>
      </c>
      <c r="W184" t="str">
        <f t="shared" si="4"/>
        <v>Chi</v>
      </c>
      <c r="X184" t="s">
        <v>82</v>
      </c>
      <c r="Y184">
        <v>4</v>
      </c>
      <c r="Z184" t="str">
        <f>IF(D184="", "Missing", "ok")</f>
        <v>ok</v>
      </c>
      <c r="AA184">
        <f t="shared" si="5"/>
        <v>455.38</v>
      </c>
    </row>
    <row r="185" spans="1:27" x14ac:dyDescent="0.25">
      <c r="A185" t="s">
        <v>578</v>
      </c>
      <c r="B185" s="1" t="s">
        <v>400</v>
      </c>
      <c r="C185" t="s">
        <v>579</v>
      </c>
      <c r="D185" t="s">
        <v>117</v>
      </c>
      <c r="E185" t="str">
        <f>PROPER(TRIM(D185))</f>
        <v>David</v>
      </c>
      <c r="F185" t="s">
        <v>46</v>
      </c>
      <c r="G185">
        <v>18</v>
      </c>
      <c r="H185" t="str">
        <f>IF(AND(G185&gt;18, G185&lt;65), "Valid", "Invalid")</f>
        <v>Invalid</v>
      </c>
      <c r="I185" t="s">
        <v>47</v>
      </c>
      <c r="J185" t="str">
        <f>PROPER(TRIM(I185))</f>
        <v>Enugu</v>
      </c>
      <c r="K185" t="s">
        <v>87</v>
      </c>
      <c r="L185" t="str">
        <f>PROPER(TRIM(K185))</f>
        <v>Groceris</v>
      </c>
      <c r="M185" t="s">
        <v>49</v>
      </c>
      <c r="N185" t="str">
        <f>PROPER(TRIM(M185))</f>
        <v>Rice</v>
      </c>
      <c r="O185">
        <v>165.41</v>
      </c>
      <c r="P185">
        <v>3</v>
      </c>
      <c r="Q185">
        <f>IF(P185&lt;1, 1, P185)</f>
        <v>3</v>
      </c>
      <c r="R185">
        <v>15</v>
      </c>
      <c r="S185" t="str">
        <f>IF(OR(R185&lt;0,R185&gt;100),"invalid","Valid")</f>
        <v>Valid</v>
      </c>
      <c r="U185" t="str">
        <f>PROPER(TRIM(T185))</f>
        <v/>
      </c>
      <c r="V185" t="s">
        <v>25</v>
      </c>
      <c r="W185" t="str">
        <f t="shared" si="4"/>
        <v>Dan</v>
      </c>
      <c r="X185" t="s">
        <v>82</v>
      </c>
      <c r="Y185">
        <v>5</v>
      </c>
      <c r="Z185" t="str">
        <f>IF(D185="", "Missing", "ok")</f>
        <v>ok</v>
      </c>
      <c r="AA185">
        <f t="shared" si="5"/>
        <v>421.7955</v>
      </c>
    </row>
    <row r="186" spans="1:27" x14ac:dyDescent="0.25">
      <c r="A186" t="s">
        <v>580</v>
      </c>
      <c r="B186" s="1" t="s">
        <v>581</v>
      </c>
      <c r="C186" t="s">
        <v>582</v>
      </c>
      <c r="D186" t="s">
        <v>63</v>
      </c>
      <c r="E186" t="str">
        <f>PROPER(TRIM(D186))</f>
        <v>John</v>
      </c>
      <c r="F186" t="s">
        <v>46</v>
      </c>
      <c r="G186">
        <v>8</v>
      </c>
      <c r="H186" t="str">
        <f>IF(AND(G186&gt;18, G186&lt;65), "Valid", "Invalid")</f>
        <v>Invalid</v>
      </c>
      <c r="I186" t="s">
        <v>38</v>
      </c>
      <c r="J186" t="str">
        <f>PROPER(TRIM(I186))</f>
        <v>Ph</v>
      </c>
      <c r="K186" t="s">
        <v>31</v>
      </c>
      <c r="L186" t="str">
        <f>PROPER(TRIM(K186))</f>
        <v>Sports</v>
      </c>
      <c r="M186" t="s">
        <v>32</v>
      </c>
      <c r="N186" t="str">
        <f>PROPER(TRIM(M186))</f>
        <v>Ball</v>
      </c>
      <c r="O186">
        <v>464.09</v>
      </c>
      <c r="P186">
        <v>-2</v>
      </c>
      <c r="Q186">
        <f>IF(P186&lt;1, 1, P186)</f>
        <v>1</v>
      </c>
      <c r="R186">
        <v>5</v>
      </c>
      <c r="S186" t="str">
        <f>IF(OR(R186&lt;0,R186&gt;100),"invalid","Valid")</f>
        <v>Valid</v>
      </c>
      <c r="U186" t="str">
        <f>PROPER(TRIM(T186))</f>
        <v/>
      </c>
      <c r="V186" t="s">
        <v>81</v>
      </c>
      <c r="W186" t="str">
        <f t="shared" si="4"/>
        <v>Ada</v>
      </c>
      <c r="X186" t="s">
        <v>26</v>
      </c>
      <c r="Y186">
        <v>2</v>
      </c>
      <c r="Z186" t="str">
        <f>IF(D186="", "Missing", "ok")</f>
        <v>ok</v>
      </c>
      <c r="AA186">
        <f t="shared" si="5"/>
        <v>440.88549999999998</v>
      </c>
    </row>
    <row r="187" spans="1:27" x14ac:dyDescent="0.25">
      <c r="A187" t="s">
        <v>583</v>
      </c>
      <c r="B187" s="1" t="s">
        <v>584</v>
      </c>
      <c r="C187" t="s">
        <v>585</v>
      </c>
      <c r="D187" t="s">
        <v>63</v>
      </c>
      <c r="E187" t="str">
        <f>PROPER(TRIM(D187))</f>
        <v>John</v>
      </c>
      <c r="F187" t="s">
        <v>20</v>
      </c>
      <c r="G187">
        <v>8</v>
      </c>
      <c r="H187" t="str">
        <f>IF(AND(G187&gt;18, G187&lt;65), "Valid", "Invalid")</f>
        <v>Invalid</v>
      </c>
      <c r="I187" t="s">
        <v>38</v>
      </c>
      <c r="J187" t="str">
        <f>PROPER(TRIM(I187))</f>
        <v>Ph</v>
      </c>
      <c r="K187" t="s">
        <v>39</v>
      </c>
      <c r="L187" t="str">
        <f>PROPER(TRIM(K187))</f>
        <v>Electronics</v>
      </c>
      <c r="M187" t="s">
        <v>40</v>
      </c>
      <c r="N187" t="str">
        <f>PROPER(TRIM(M187))</f>
        <v>Phone</v>
      </c>
      <c r="O187">
        <v>336.04</v>
      </c>
      <c r="P187">
        <v>7</v>
      </c>
      <c r="Q187">
        <f>IF(P187&lt;1, 1, P187)</f>
        <v>7</v>
      </c>
      <c r="R187">
        <v>10</v>
      </c>
      <c r="S187" t="str">
        <f>IF(OR(R187&lt;0,R187&gt;100),"invalid","Valid")</f>
        <v>Valid</v>
      </c>
      <c r="U187" t="str">
        <f>PROPER(TRIM(T187))</f>
        <v/>
      </c>
      <c r="V187" t="s">
        <v>25</v>
      </c>
      <c r="W187" t="str">
        <f t="shared" si="4"/>
        <v>Dan</v>
      </c>
      <c r="X187" t="s">
        <v>82</v>
      </c>
      <c r="Y187">
        <v>2</v>
      </c>
      <c r="Z187" t="str">
        <f>IF(D187="", "Missing", "ok")</f>
        <v>ok</v>
      </c>
      <c r="AA187">
        <f t="shared" si="5"/>
        <v>2117.0520000000001</v>
      </c>
    </row>
    <row r="188" spans="1:27" x14ac:dyDescent="0.25">
      <c r="A188" t="s">
        <v>586</v>
      </c>
      <c r="B188" s="1" t="s">
        <v>587</v>
      </c>
      <c r="C188" t="s">
        <v>588</v>
      </c>
      <c r="D188" t="s">
        <v>19</v>
      </c>
      <c r="E188" t="str">
        <f>PROPER(TRIM(D188))</f>
        <v>Peter</v>
      </c>
      <c r="F188" t="s">
        <v>20</v>
      </c>
      <c r="G188">
        <v>56</v>
      </c>
      <c r="H188" t="str">
        <f>IF(AND(G188&gt;18, G188&lt;65), "Valid", "Invalid")</f>
        <v>Valid</v>
      </c>
      <c r="I188" t="s">
        <v>47</v>
      </c>
      <c r="J188" t="str">
        <f>PROPER(TRIM(I188))</f>
        <v>Enugu</v>
      </c>
      <c r="K188" t="s">
        <v>39</v>
      </c>
      <c r="L188" t="str">
        <f>PROPER(TRIM(K188))</f>
        <v>Electronics</v>
      </c>
      <c r="M188" t="s">
        <v>40</v>
      </c>
      <c r="N188" t="str">
        <f>PROPER(TRIM(M188))</f>
        <v>Phone</v>
      </c>
      <c r="O188">
        <v>312.10000000000002</v>
      </c>
      <c r="P188">
        <v>-2</v>
      </c>
      <c r="Q188">
        <f>IF(P188&lt;1, 1, P188)</f>
        <v>1</v>
      </c>
      <c r="R188">
        <v>0</v>
      </c>
      <c r="S188" t="str">
        <f>IF(OR(R188&lt;0,R188&gt;100),"invalid","Valid")</f>
        <v>Valid</v>
      </c>
      <c r="T188" t="s">
        <v>24</v>
      </c>
      <c r="U188" t="str">
        <f>PROPER(TRIM(T188))</f>
        <v>Pos</v>
      </c>
      <c r="V188" t="s">
        <v>81</v>
      </c>
      <c r="W188" t="str">
        <f t="shared" si="4"/>
        <v>Ada</v>
      </c>
      <c r="X188" t="s">
        <v>26</v>
      </c>
      <c r="Z188" t="str">
        <f>IF(D188="", "Missing", "ok")</f>
        <v>ok</v>
      </c>
      <c r="AA188">
        <f t="shared" si="5"/>
        <v>312.10000000000002</v>
      </c>
    </row>
    <row r="189" spans="1:27" x14ac:dyDescent="0.25">
      <c r="A189" t="s">
        <v>589</v>
      </c>
      <c r="B189" s="1" t="s">
        <v>590</v>
      </c>
      <c r="C189" t="s">
        <v>591</v>
      </c>
      <c r="D189" t="s">
        <v>69</v>
      </c>
      <c r="E189" t="str">
        <f>PROPER(TRIM(D189))</f>
        <v>Mary</v>
      </c>
      <c r="F189" t="s">
        <v>46</v>
      </c>
      <c r="G189">
        <v>27</v>
      </c>
      <c r="H189" t="str">
        <f>IF(AND(G189&gt;18, G189&lt;65), "Valid", "Invalid")</f>
        <v>Valid</v>
      </c>
      <c r="I189" t="s">
        <v>70</v>
      </c>
      <c r="J189" t="str">
        <f>PROPER(TRIM(I189))</f>
        <v>Abuja</v>
      </c>
      <c r="K189" t="s">
        <v>22</v>
      </c>
      <c r="L189" t="str">
        <f>PROPER(TRIM(K189))</f>
        <v>Fashion</v>
      </c>
      <c r="M189" t="s">
        <v>23</v>
      </c>
      <c r="N189" t="str">
        <f>PROPER(TRIM(M189))</f>
        <v>Shirt</v>
      </c>
      <c r="O189">
        <v>213.62</v>
      </c>
      <c r="P189">
        <v>3</v>
      </c>
      <c r="Q189">
        <f>IF(P189&lt;1, 1, P189)</f>
        <v>3</v>
      </c>
      <c r="R189">
        <v>15</v>
      </c>
      <c r="S189" t="str">
        <f>IF(OR(R189&lt;0,R189&gt;100),"invalid","Valid")</f>
        <v>Valid</v>
      </c>
      <c r="T189" t="s">
        <v>77</v>
      </c>
      <c r="U189" t="str">
        <f>PROPER(TRIM(T189))</f>
        <v>Cash</v>
      </c>
      <c r="V189" t="s">
        <v>81</v>
      </c>
      <c r="W189" t="str">
        <f t="shared" si="4"/>
        <v>Ada</v>
      </c>
      <c r="X189" t="s">
        <v>65</v>
      </c>
      <c r="Y189">
        <v>2</v>
      </c>
      <c r="Z189" t="str">
        <f>IF(D189="", "Missing", "ok")</f>
        <v>ok</v>
      </c>
      <c r="AA189">
        <f t="shared" si="5"/>
        <v>544.73099999999999</v>
      </c>
    </row>
    <row r="190" spans="1:27" x14ac:dyDescent="0.25">
      <c r="A190" t="s">
        <v>592</v>
      </c>
      <c r="B190" s="1" t="s">
        <v>593</v>
      </c>
      <c r="C190" t="s">
        <v>594</v>
      </c>
      <c r="D190" t="s">
        <v>117</v>
      </c>
      <c r="E190" t="str">
        <f>PROPER(TRIM(D190))</f>
        <v>David</v>
      </c>
      <c r="F190" t="s">
        <v>20</v>
      </c>
      <c r="G190">
        <v>130</v>
      </c>
      <c r="H190" t="str">
        <f>IF(AND(G190&gt;18, G190&lt;65), "Valid", "Invalid")</f>
        <v>Invalid</v>
      </c>
      <c r="I190" t="s">
        <v>86</v>
      </c>
      <c r="J190" t="str">
        <f>PROPER(TRIM(I190))</f>
        <v>Kano</v>
      </c>
      <c r="K190" t="s">
        <v>54</v>
      </c>
      <c r="L190" t="str">
        <f>PROPER(TRIM(K190))</f>
        <v>Home</v>
      </c>
      <c r="M190" t="s">
        <v>55</v>
      </c>
      <c r="N190" t="str">
        <f>PROPER(TRIM(M190))</f>
        <v>Chair</v>
      </c>
      <c r="O190">
        <v>97.2</v>
      </c>
      <c r="P190">
        <v>10</v>
      </c>
      <c r="Q190">
        <f>IF(P190&lt;1, 1, P190)</f>
        <v>10</v>
      </c>
      <c r="R190">
        <v>10</v>
      </c>
      <c r="S190" t="str">
        <f>IF(OR(R190&lt;0,R190&gt;100),"invalid","Valid")</f>
        <v>Valid</v>
      </c>
      <c r="T190" t="s">
        <v>77</v>
      </c>
      <c r="U190" t="str">
        <f>PROPER(TRIM(T190))</f>
        <v>Cash</v>
      </c>
      <c r="V190" t="s">
        <v>91</v>
      </c>
      <c r="W190" t="str">
        <f t="shared" si="4"/>
        <v>Ben</v>
      </c>
      <c r="X190" t="s">
        <v>82</v>
      </c>
      <c r="Y190">
        <v>4</v>
      </c>
      <c r="Z190" t="str">
        <f>IF(D190="", "Missing", "ok")</f>
        <v>ok</v>
      </c>
      <c r="AA190">
        <f t="shared" si="5"/>
        <v>874.80000000000007</v>
      </c>
    </row>
    <row r="191" spans="1:27" x14ac:dyDescent="0.25">
      <c r="A191" t="s">
        <v>595</v>
      </c>
      <c r="B191" s="1" t="s">
        <v>596</v>
      </c>
      <c r="C191" t="s">
        <v>597</v>
      </c>
      <c r="D191" t="s">
        <v>117</v>
      </c>
      <c r="E191" t="str">
        <f>PROPER(TRIM(D191))</f>
        <v>David</v>
      </c>
      <c r="F191" t="s">
        <v>46</v>
      </c>
      <c r="G191">
        <v>130</v>
      </c>
      <c r="H191" t="str">
        <f>IF(AND(G191&gt;18, G191&lt;65), "Valid", "Invalid")</f>
        <v>Invalid</v>
      </c>
      <c r="I191" t="s">
        <v>86</v>
      </c>
      <c r="J191" t="str">
        <f>PROPER(TRIM(I191))</f>
        <v>Kano</v>
      </c>
      <c r="K191" t="s">
        <v>22</v>
      </c>
      <c r="L191" t="str">
        <f>PROPER(TRIM(K191))</f>
        <v>Fashion</v>
      </c>
      <c r="M191" t="s">
        <v>23</v>
      </c>
      <c r="N191" t="str">
        <f>PROPER(TRIM(M191))</f>
        <v>Shirt</v>
      </c>
      <c r="O191">
        <v>487.19</v>
      </c>
      <c r="P191">
        <v>-2</v>
      </c>
      <c r="Q191">
        <f>IF(P191&lt;1, 1, P191)</f>
        <v>1</v>
      </c>
      <c r="R191">
        <v>15</v>
      </c>
      <c r="S191" t="str">
        <f>IF(OR(R191&lt;0,R191&gt;100),"invalid","Valid")</f>
        <v>Valid</v>
      </c>
      <c r="T191" t="s">
        <v>24</v>
      </c>
      <c r="U191" t="str">
        <f>PROPER(TRIM(T191))</f>
        <v>Pos</v>
      </c>
      <c r="V191" t="s">
        <v>81</v>
      </c>
      <c r="W191" t="str">
        <f t="shared" si="4"/>
        <v>Ada</v>
      </c>
      <c r="X191" t="s">
        <v>82</v>
      </c>
      <c r="Y191">
        <v>1</v>
      </c>
      <c r="Z191" t="str">
        <f>IF(D191="", "Missing", "ok")</f>
        <v>ok</v>
      </c>
      <c r="AA191">
        <f t="shared" si="5"/>
        <v>414.11149999999998</v>
      </c>
    </row>
    <row r="192" spans="1:27" x14ac:dyDescent="0.25">
      <c r="A192" t="s">
        <v>598</v>
      </c>
      <c r="B192" s="1" t="s">
        <v>587</v>
      </c>
      <c r="C192" t="s">
        <v>599</v>
      </c>
      <c r="D192" t="s">
        <v>37</v>
      </c>
      <c r="E192" t="str">
        <f>PROPER(TRIM(D192))</f>
        <v>Aisha</v>
      </c>
      <c r="F192" t="s">
        <v>46</v>
      </c>
      <c r="G192">
        <v>8</v>
      </c>
      <c r="H192" t="str">
        <f>IF(AND(G192&gt;18, G192&lt;65), "Valid", "Invalid")</f>
        <v>Invalid</v>
      </c>
      <c r="I192" t="s">
        <v>53</v>
      </c>
      <c r="J192" t="str">
        <f>PROPER(TRIM(I192))</f>
        <v>Lagos</v>
      </c>
      <c r="K192" t="s">
        <v>54</v>
      </c>
      <c r="L192" t="str">
        <f>PROPER(TRIM(K192))</f>
        <v>Home</v>
      </c>
      <c r="M192" t="s">
        <v>55</v>
      </c>
      <c r="N192" t="str">
        <f>PROPER(TRIM(M192))</f>
        <v>Chair</v>
      </c>
      <c r="O192">
        <v>194.33</v>
      </c>
      <c r="P192">
        <v>-2</v>
      </c>
      <c r="Q192">
        <f>IF(P192&lt;1, 1, P192)</f>
        <v>1</v>
      </c>
      <c r="R192">
        <v>0</v>
      </c>
      <c r="S192" t="str">
        <f>IF(OR(R192&lt;0,R192&gt;100),"invalid","Valid")</f>
        <v>Valid</v>
      </c>
      <c r="T192" t="s">
        <v>24</v>
      </c>
      <c r="U192" t="str">
        <f>PROPER(TRIM(T192))</f>
        <v>Pos</v>
      </c>
      <c r="V192" t="s">
        <v>91</v>
      </c>
      <c r="W192" t="str">
        <f t="shared" si="4"/>
        <v>Ben</v>
      </c>
      <c r="X192" t="s">
        <v>65</v>
      </c>
      <c r="Y192">
        <v>5</v>
      </c>
      <c r="Z192" t="str">
        <f>IF(D192="", "Missing", "ok")</f>
        <v>ok</v>
      </c>
      <c r="AA192">
        <f t="shared" si="5"/>
        <v>194.33</v>
      </c>
    </row>
    <row r="193" spans="1:27" x14ac:dyDescent="0.25">
      <c r="A193" t="s">
        <v>600</v>
      </c>
      <c r="B193" s="1" t="s">
        <v>601</v>
      </c>
      <c r="C193" t="s">
        <v>602</v>
      </c>
      <c r="E193" t="str">
        <f>PROPER(TRIM(D193))</f>
        <v/>
      </c>
      <c r="F193" t="s">
        <v>20</v>
      </c>
      <c r="G193">
        <v>25</v>
      </c>
      <c r="H193" t="str">
        <f>IF(AND(G193&gt;18, G193&lt;65), "Valid", "Invalid")</f>
        <v>Valid</v>
      </c>
      <c r="I193" t="s">
        <v>53</v>
      </c>
      <c r="J193" t="str">
        <f>PROPER(TRIM(I193))</f>
        <v>Lagos</v>
      </c>
      <c r="K193" t="s">
        <v>22</v>
      </c>
      <c r="L193" t="str">
        <f>PROPER(TRIM(K193))</f>
        <v>Fashion</v>
      </c>
      <c r="M193" t="s">
        <v>23</v>
      </c>
      <c r="N193" t="str">
        <f>PROPER(TRIM(M193))</f>
        <v>Shirt</v>
      </c>
      <c r="O193">
        <v>180.8</v>
      </c>
      <c r="P193">
        <v>6</v>
      </c>
      <c r="Q193">
        <f>IF(P193&lt;1, 1, P193)</f>
        <v>6</v>
      </c>
      <c r="R193">
        <v>120</v>
      </c>
      <c r="S193" t="str">
        <f>IF(OR(R193&lt;0,R193&gt;100),"invalid","Valid")</f>
        <v>invalid</v>
      </c>
      <c r="T193" t="s">
        <v>59</v>
      </c>
      <c r="U193" t="str">
        <f>PROPER(TRIM(T193))</f>
        <v>Mobile Money</v>
      </c>
      <c r="V193" t="s">
        <v>91</v>
      </c>
      <c r="W193" t="str">
        <f t="shared" si="4"/>
        <v>Ben</v>
      </c>
      <c r="X193" t="s">
        <v>33</v>
      </c>
      <c r="Y193">
        <v>3</v>
      </c>
      <c r="Z193" t="str">
        <f>IF(D193="", "Missing", "ok")</f>
        <v>Missing</v>
      </c>
      <c r="AA193">
        <f t="shared" si="5"/>
        <v>-216.95999999999998</v>
      </c>
    </row>
    <row r="194" spans="1:27" x14ac:dyDescent="0.25">
      <c r="A194" t="s">
        <v>603</v>
      </c>
      <c r="B194" s="1" t="s">
        <v>604</v>
      </c>
      <c r="C194" t="s">
        <v>605</v>
      </c>
      <c r="D194" t="s">
        <v>63</v>
      </c>
      <c r="E194" t="str">
        <f>PROPER(TRIM(D194))</f>
        <v>John</v>
      </c>
      <c r="F194" t="s">
        <v>20</v>
      </c>
      <c r="G194">
        <v>130</v>
      </c>
      <c r="H194" t="str">
        <f>IF(AND(G194&gt;18, G194&lt;65), "Valid", "Invalid")</f>
        <v>Invalid</v>
      </c>
      <c r="I194" t="s">
        <v>21</v>
      </c>
      <c r="J194" t="str">
        <f>PROPER(TRIM(I194))</f>
        <v>Lagos</v>
      </c>
      <c r="K194" t="s">
        <v>31</v>
      </c>
      <c r="L194" t="str">
        <f>PROPER(TRIM(K194))</f>
        <v>Sports</v>
      </c>
      <c r="M194" t="s">
        <v>32</v>
      </c>
      <c r="N194" t="str">
        <f>PROPER(TRIM(M194))</f>
        <v>Ball</v>
      </c>
      <c r="O194">
        <v>367.76</v>
      </c>
      <c r="P194">
        <v>-2</v>
      </c>
      <c r="Q194">
        <f>IF(P194&lt;1, 1, P194)</f>
        <v>1</v>
      </c>
      <c r="R194">
        <v>15</v>
      </c>
      <c r="S194" t="str">
        <f>IF(OR(R194&lt;0,R194&gt;100),"invalid","Valid")</f>
        <v>Valid</v>
      </c>
      <c r="T194" t="s">
        <v>59</v>
      </c>
      <c r="U194" t="str">
        <f>PROPER(TRIM(T194))</f>
        <v>Mobile Money</v>
      </c>
      <c r="V194" t="s">
        <v>41</v>
      </c>
      <c r="W194" t="str">
        <f t="shared" ref="W194:W257" si="6">PROPER(TRIM(V194))</f>
        <v>Chi</v>
      </c>
      <c r="X194" t="s">
        <v>33</v>
      </c>
      <c r="Y194">
        <v>1</v>
      </c>
      <c r="Z194" t="str">
        <f>IF(D194="", "Missing", "ok")</f>
        <v>ok</v>
      </c>
      <c r="AA194">
        <f t="shared" si="5"/>
        <v>312.596</v>
      </c>
    </row>
    <row r="195" spans="1:27" x14ac:dyDescent="0.25">
      <c r="A195" t="s">
        <v>606</v>
      </c>
      <c r="B195" s="1" t="s">
        <v>607</v>
      </c>
      <c r="C195" t="s">
        <v>608</v>
      </c>
      <c r="D195" t="s">
        <v>45</v>
      </c>
      <c r="E195" t="str">
        <f>PROPER(TRIM(D195))</f>
        <v>James</v>
      </c>
      <c r="F195" t="s">
        <v>20</v>
      </c>
      <c r="G195">
        <v>8</v>
      </c>
      <c r="H195" t="str">
        <f>IF(AND(G195&gt;18, G195&lt;65), "Valid", "Invalid")</f>
        <v>Invalid</v>
      </c>
      <c r="I195" t="s">
        <v>53</v>
      </c>
      <c r="J195" t="str">
        <f>PROPER(TRIM(I195))</f>
        <v>Lagos</v>
      </c>
      <c r="K195" t="s">
        <v>39</v>
      </c>
      <c r="L195" t="str">
        <f>PROPER(TRIM(K195))</f>
        <v>Electronics</v>
      </c>
      <c r="M195" t="s">
        <v>40</v>
      </c>
      <c r="N195" t="str">
        <f>PROPER(TRIM(M195))</f>
        <v>Phone</v>
      </c>
      <c r="O195">
        <v>88.67</v>
      </c>
      <c r="P195">
        <v>8</v>
      </c>
      <c r="Q195">
        <f>IF(P195&lt;1, 1, P195)</f>
        <v>8</v>
      </c>
      <c r="R195">
        <v>10</v>
      </c>
      <c r="S195" t="str">
        <f>IF(OR(R195&lt;0,R195&gt;100),"invalid","Valid")</f>
        <v>Valid</v>
      </c>
      <c r="U195" t="str">
        <f>PROPER(TRIM(T195))</f>
        <v/>
      </c>
      <c r="V195" t="s">
        <v>91</v>
      </c>
      <c r="W195" t="str">
        <f t="shared" si="6"/>
        <v>Ben</v>
      </c>
      <c r="X195" t="s">
        <v>33</v>
      </c>
      <c r="Y195">
        <v>5</v>
      </c>
      <c r="Z195" t="str">
        <f>IF(D195="", "Missing", "ok")</f>
        <v>ok</v>
      </c>
      <c r="AA195">
        <f t="shared" ref="AA195:AA258" si="7">(O195*Q195)*(1-R195/100)</f>
        <v>638.42399999999998</v>
      </c>
    </row>
    <row r="196" spans="1:27" x14ac:dyDescent="0.25">
      <c r="A196" t="s">
        <v>609</v>
      </c>
      <c r="B196" s="1" t="s">
        <v>610</v>
      </c>
      <c r="C196" t="s">
        <v>611</v>
      </c>
      <c r="D196" t="s">
        <v>19</v>
      </c>
      <c r="E196" t="str">
        <f>PROPER(TRIM(D196))</f>
        <v>Peter</v>
      </c>
      <c r="F196" t="s">
        <v>20</v>
      </c>
      <c r="G196">
        <v>130</v>
      </c>
      <c r="H196" t="str">
        <f>IF(AND(G196&gt;18, G196&lt;65), "Valid", "Invalid")</f>
        <v>Invalid</v>
      </c>
      <c r="I196" t="s">
        <v>86</v>
      </c>
      <c r="J196" t="str">
        <f>PROPER(TRIM(I196))</f>
        <v>Kano</v>
      </c>
      <c r="K196" t="s">
        <v>39</v>
      </c>
      <c r="L196" t="str">
        <f>PROPER(TRIM(K196))</f>
        <v>Electronics</v>
      </c>
      <c r="M196" t="s">
        <v>40</v>
      </c>
      <c r="N196" t="str">
        <f>PROPER(TRIM(M196))</f>
        <v>Phone</v>
      </c>
      <c r="O196">
        <v>163.12</v>
      </c>
      <c r="P196">
        <v>-2</v>
      </c>
      <c r="Q196">
        <f>IF(P196&lt;1, 1, P196)</f>
        <v>1</v>
      </c>
      <c r="R196">
        <v>10</v>
      </c>
      <c r="S196" t="str">
        <f>IF(OR(R196&lt;0,R196&gt;100),"invalid","Valid")</f>
        <v>Valid</v>
      </c>
      <c r="T196" t="s">
        <v>77</v>
      </c>
      <c r="U196" t="str">
        <f>PROPER(TRIM(T196))</f>
        <v>Cash</v>
      </c>
      <c r="V196" t="s">
        <v>41</v>
      </c>
      <c r="W196" t="str">
        <f t="shared" si="6"/>
        <v>Chi</v>
      </c>
      <c r="X196" t="s">
        <v>26</v>
      </c>
      <c r="Y196">
        <v>4</v>
      </c>
      <c r="Z196" t="str">
        <f>IF(D196="", "Missing", "ok")</f>
        <v>ok</v>
      </c>
      <c r="AA196">
        <f t="shared" si="7"/>
        <v>146.80800000000002</v>
      </c>
    </row>
    <row r="197" spans="1:27" x14ac:dyDescent="0.25">
      <c r="A197" t="s">
        <v>612</v>
      </c>
      <c r="B197" s="1" t="s">
        <v>613</v>
      </c>
      <c r="C197" t="s">
        <v>614</v>
      </c>
      <c r="D197" t="s">
        <v>45</v>
      </c>
      <c r="E197" t="str">
        <f>PROPER(TRIM(D197))</f>
        <v>James</v>
      </c>
      <c r="F197" t="s">
        <v>46</v>
      </c>
      <c r="G197">
        <v>34</v>
      </c>
      <c r="H197" t="str">
        <f>IF(AND(G197&gt;18, G197&lt;65), "Valid", "Invalid")</f>
        <v>Valid</v>
      </c>
      <c r="I197" t="s">
        <v>30</v>
      </c>
      <c r="J197" t="str">
        <f>PROPER(TRIM(I197))</f>
        <v>Lagos</v>
      </c>
      <c r="K197" t="s">
        <v>22</v>
      </c>
      <c r="L197" t="str">
        <f>PROPER(TRIM(K197))</f>
        <v>Fashion</v>
      </c>
      <c r="M197" t="s">
        <v>23</v>
      </c>
      <c r="N197" t="str">
        <f>PROPER(TRIM(M197))</f>
        <v>Shirt</v>
      </c>
      <c r="O197">
        <v>349.52</v>
      </c>
      <c r="P197">
        <v>-2</v>
      </c>
      <c r="Q197">
        <f>IF(P197&lt;1, 1, P197)</f>
        <v>1</v>
      </c>
      <c r="R197">
        <v>-10</v>
      </c>
      <c r="S197" t="str">
        <f>IF(OR(R197&lt;0,R197&gt;100),"invalid","Valid")</f>
        <v>invalid</v>
      </c>
      <c r="U197" t="str">
        <f>PROPER(TRIM(T197))</f>
        <v/>
      </c>
      <c r="V197" t="s">
        <v>81</v>
      </c>
      <c r="W197" t="str">
        <f t="shared" si="6"/>
        <v>Ada</v>
      </c>
      <c r="X197" t="s">
        <v>26</v>
      </c>
      <c r="Z197" t="str">
        <f>IF(D197="", "Missing", "ok")</f>
        <v>ok</v>
      </c>
      <c r="AA197">
        <f t="shared" si="7"/>
        <v>384.47200000000004</v>
      </c>
    </row>
    <row r="198" spans="1:27" x14ac:dyDescent="0.25">
      <c r="A198" t="s">
        <v>615</v>
      </c>
      <c r="B198" s="1" t="s">
        <v>285</v>
      </c>
      <c r="C198" t="s">
        <v>616</v>
      </c>
      <c r="D198" t="s">
        <v>117</v>
      </c>
      <c r="E198" t="str">
        <f>PROPER(TRIM(D198))</f>
        <v>David</v>
      </c>
      <c r="F198" t="s">
        <v>20</v>
      </c>
      <c r="G198">
        <v>29</v>
      </c>
      <c r="H198" t="str">
        <f>IF(AND(G198&gt;18, G198&lt;65), "Valid", "Invalid")</f>
        <v>Valid</v>
      </c>
      <c r="I198" t="s">
        <v>47</v>
      </c>
      <c r="J198" t="str">
        <f>PROPER(TRIM(I198))</f>
        <v>Enugu</v>
      </c>
      <c r="K198" t="s">
        <v>48</v>
      </c>
      <c r="L198" t="str">
        <f>PROPER(TRIM(K198))</f>
        <v>Groceries</v>
      </c>
      <c r="M198" t="s">
        <v>49</v>
      </c>
      <c r="N198" t="str">
        <f>PROPER(TRIM(M198))</f>
        <v>Rice</v>
      </c>
      <c r="O198">
        <v>291.16000000000003</v>
      </c>
      <c r="P198">
        <v>-2</v>
      </c>
      <c r="Q198">
        <f>IF(P198&lt;1, 1, P198)</f>
        <v>1</v>
      </c>
      <c r="R198">
        <v>15</v>
      </c>
      <c r="S198" t="str">
        <f>IF(OR(R198&lt;0,R198&gt;100),"invalid","Valid")</f>
        <v>Valid</v>
      </c>
      <c r="T198" t="s">
        <v>24</v>
      </c>
      <c r="U198" t="str">
        <f>PROPER(TRIM(T198))</f>
        <v>Pos</v>
      </c>
      <c r="V198" t="s">
        <v>91</v>
      </c>
      <c r="W198" t="str">
        <f t="shared" si="6"/>
        <v>Ben</v>
      </c>
      <c r="X198" t="s">
        <v>33</v>
      </c>
      <c r="Y198">
        <v>2</v>
      </c>
      <c r="Z198" t="str">
        <f>IF(D198="", "Missing", "ok")</f>
        <v>ok</v>
      </c>
      <c r="AA198">
        <f t="shared" si="7"/>
        <v>247.48600000000002</v>
      </c>
    </row>
    <row r="199" spans="1:27" x14ac:dyDescent="0.25">
      <c r="A199" t="s">
        <v>617</v>
      </c>
      <c r="B199" s="1" t="s">
        <v>618</v>
      </c>
      <c r="C199" t="s">
        <v>619</v>
      </c>
      <c r="D199" t="s">
        <v>63</v>
      </c>
      <c r="E199" t="str">
        <f>PROPER(TRIM(D199))</f>
        <v>John</v>
      </c>
      <c r="F199" t="s">
        <v>46</v>
      </c>
      <c r="G199">
        <v>8</v>
      </c>
      <c r="H199" t="str">
        <f>IF(AND(G199&gt;18, G199&lt;65), "Valid", "Invalid")</f>
        <v>Invalid</v>
      </c>
      <c r="I199" t="s">
        <v>30</v>
      </c>
      <c r="J199" t="str">
        <f>PROPER(TRIM(I199))</f>
        <v>Lagos</v>
      </c>
      <c r="K199" t="s">
        <v>87</v>
      </c>
      <c r="L199" t="str">
        <f>PROPER(TRIM(K199))</f>
        <v>Groceris</v>
      </c>
      <c r="M199" t="s">
        <v>49</v>
      </c>
      <c r="N199" t="str">
        <f>PROPER(TRIM(M199))</f>
        <v>Rice</v>
      </c>
      <c r="O199">
        <v>167.71</v>
      </c>
      <c r="P199">
        <v>-2</v>
      </c>
      <c r="Q199">
        <f>IF(P199&lt;1, 1, P199)</f>
        <v>1</v>
      </c>
      <c r="R199">
        <v>0</v>
      </c>
      <c r="S199" t="str">
        <f>IF(OR(R199&lt;0,R199&gt;100),"invalid","Valid")</f>
        <v>Valid</v>
      </c>
      <c r="T199" t="s">
        <v>24</v>
      </c>
      <c r="U199" t="str">
        <f>PROPER(TRIM(T199))</f>
        <v>Pos</v>
      </c>
      <c r="V199" t="s">
        <v>81</v>
      </c>
      <c r="W199" t="str">
        <f t="shared" si="6"/>
        <v>Ada</v>
      </c>
      <c r="X199" t="s">
        <v>33</v>
      </c>
      <c r="Y199">
        <v>4</v>
      </c>
      <c r="Z199" t="str">
        <f>IF(D199="", "Missing", "ok")</f>
        <v>ok</v>
      </c>
      <c r="AA199">
        <f t="shared" si="7"/>
        <v>167.71</v>
      </c>
    </row>
    <row r="200" spans="1:27" x14ac:dyDescent="0.25">
      <c r="A200" t="s">
        <v>620</v>
      </c>
      <c r="B200" s="1" t="s">
        <v>360</v>
      </c>
      <c r="C200" t="s">
        <v>621</v>
      </c>
      <c r="E200" t="str">
        <f>PROPER(TRIM(D200))</f>
        <v/>
      </c>
      <c r="F200" t="s">
        <v>20</v>
      </c>
      <c r="G200">
        <v>8</v>
      </c>
      <c r="H200" t="str">
        <f>IF(AND(G200&gt;18, G200&lt;65), "Valid", "Invalid")</f>
        <v>Invalid</v>
      </c>
      <c r="I200" t="s">
        <v>70</v>
      </c>
      <c r="J200" t="str">
        <f>PROPER(TRIM(I200))</f>
        <v>Abuja</v>
      </c>
      <c r="K200" t="s">
        <v>22</v>
      </c>
      <c r="L200" t="str">
        <f>PROPER(TRIM(K200))</f>
        <v>Fashion</v>
      </c>
      <c r="M200" t="s">
        <v>23</v>
      </c>
      <c r="N200" t="str">
        <f>PROPER(TRIM(M200))</f>
        <v>Shirt</v>
      </c>
      <c r="O200">
        <v>197.34</v>
      </c>
      <c r="P200">
        <v>-2</v>
      </c>
      <c r="Q200">
        <f>IF(P200&lt;1, 1, P200)</f>
        <v>1</v>
      </c>
      <c r="R200">
        <v>15</v>
      </c>
      <c r="S200" t="str">
        <f>IF(OR(R200&lt;0,R200&gt;100),"invalid","Valid")</f>
        <v>Valid</v>
      </c>
      <c r="T200" t="s">
        <v>77</v>
      </c>
      <c r="U200" t="str">
        <f>PROPER(TRIM(T200))</f>
        <v>Cash</v>
      </c>
      <c r="V200" t="s">
        <v>25</v>
      </c>
      <c r="W200" t="str">
        <f t="shared" si="6"/>
        <v>Dan</v>
      </c>
      <c r="X200" t="s">
        <v>33</v>
      </c>
      <c r="Z200" t="str">
        <f>IF(D200="", "Missing", "ok")</f>
        <v>Missing</v>
      </c>
      <c r="AA200">
        <f t="shared" si="7"/>
        <v>167.739</v>
      </c>
    </row>
    <row r="201" spans="1:27" x14ac:dyDescent="0.25">
      <c r="A201" t="s">
        <v>622</v>
      </c>
      <c r="B201" s="1" t="s">
        <v>246</v>
      </c>
      <c r="C201" t="s">
        <v>623</v>
      </c>
      <c r="E201" t="str">
        <f>PROPER(TRIM(D201))</f>
        <v/>
      </c>
      <c r="F201" t="s">
        <v>20</v>
      </c>
      <c r="G201">
        <v>130</v>
      </c>
      <c r="H201" t="str">
        <f>IF(AND(G201&gt;18, G201&lt;65), "Valid", "Invalid")</f>
        <v>Invalid</v>
      </c>
      <c r="I201" t="s">
        <v>38</v>
      </c>
      <c r="J201" t="str">
        <f>PROPER(TRIM(I201))</f>
        <v>Ph</v>
      </c>
      <c r="K201" t="s">
        <v>87</v>
      </c>
      <c r="L201" t="str">
        <f>PROPER(TRIM(K201))</f>
        <v>Groceris</v>
      </c>
      <c r="M201" t="s">
        <v>49</v>
      </c>
      <c r="N201" t="str">
        <f>PROPER(TRIM(M201))</f>
        <v>Rice</v>
      </c>
      <c r="O201">
        <v>100.18</v>
      </c>
      <c r="P201">
        <v>8</v>
      </c>
      <c r="Q201">
        <f>IF(P201&lt;1, 1, P201)</f>
        <v>8</v>
      </c>
      <c r="R201">
        <v>5</v>
      </c>
      <c r="S201" t="str">
        <f>IF(OR(R201&lt;0,R201&gt;100),"invalid","Valid")</f>
        <v>Valid</v>
      </c>
      <c r="T201" t="s">
        <v>64</v>
      </c>
      <c r="U201" t="str">
        <f>PROPER(TRIM(T201))</f>
        <v>Transfer</v>
      </c>
      <c r="V201" t="s">
        <v>41</v>
      </c>
      <c r="W201" t="str">
        <f t="shared" si="6"/>
        <v>Chi</v>
      </c>
      <c r="X201" t="s">
        <v>33</v>
      </c>
      <c r="Z201" t="str">
        <f>IF(D201="", "Missing", "ok")</f>
        <v>Missing</v>
      </c>
      <c r="AA201">
        <f t="shared" si="7"/>
        <v>761.36800000000005</v>
      </c>
    </row>
    <row r="202" spans="1:27" x14ac:dyDescent="0.25">
      <c r="A202" t="s">
        <v>624</v>
      </c>
      <c r="B202" s="1" t="s">
        <v>625</v>
      </c>
      <c r="C202" t="s">
        <v>626</v>
      </c>
      <c r="D202" t="s">
        <v>69</v>
      </c>
      <c r="E202" t="str">
        <f>PROPER(TRIM(D202))</f>
        <v>Mary</v>
      </c>
      <c r="F202" t="s">
        <v>20</v>
      </c>
      <c r="G202">
        <v>8</v>
      </c>
      <c r="H202" t="str">
        <f>IF(AND(G202&gt;18, G202&lt;65), "Valid", "Invalid")</f>
        <v>Invalid</v>
      </c>
      <c r="I202" t="s">
        <v>53</v>
      </c>
      <c r="J202" t="str">
        <f>PROPER(TRIM(I202))</f>
        <v>Lagos</v>
      </c>
      <c r="K202" t="s">
        <v>87</v>
      </c>
      <c r="L202" t="str">
        <f>PROPER(TRIM(K202))</f>
        <v>Groceris</v>
      </c>
      <c r="M202" t="s">
        <v>49</v>
      </c>
      <c r="N202" t="str">
        <f>PROPER(TRIM(M202))</f>
        <v>Rice</v>
      </c>
      <c r="O202">
        <v>481.94</v>
      </c>
      <c r="P202">
        <v>-2</v>
      </c>
      <c r="Q202">
        <f>IF(P202&lt;1, 1, P202)</f>
        <v>1</v>
      </c>
      <c r="R202">
        <v>-10</v>
      </c>
      <c r="S202" t="str">
        <f>IF(OR(R202&lt;0,R202&gt;100),"invalid","Valid")</f>
        <v>invalid</v>
      </c>
      <c r="T202" t="s">
        <v>64</v>
      </c>
      <c r="U202" t="str">
        <f>PROPER(TRIM(T202))</f>
        <v>Transfer</v>
      </c>
      <c r="V202" t="s">
        <v>91</v>
      </c>
      <c r="W202" t="str">
        <f t="shared" si="6"/>
        <v>Ben</v>
      </c>
      <c r="X202" t="s">
        <v>33</v>
      </c>
      <c r="Y202">
        <v>5</v>
      </c>
      <c r="Z202" t="str">
        <f>IF(D202="", "Missing", "ok")</f>
        <v>ok</v>
      </c>
      <c r="AA202">
        <f t="shared" si="7"/>
        <v>530.13400000000001</v>
      </c>
    </row>
    <row r="203" spans="1:27" x14ac:dyDescent="0.25">
      <c r="A203" t="s">
        <v>627</v>
      </c>
      <c r="B203" s="1" t="s">
        <v>628</v>
      </c>
      <c r="C203" t="s">
        <v>629</v>
      </c>
      <c r="D203" t="s">
        <v>45</v>
      </c>
      <c r="E203" t="str">
        <f>PROPER(TRIM(D203))</f>
        <v>James</v>
      </c>
      <c r="F203" t="s">
        <v>46</v>
      </c>
      <c r="G203">
        <v>58</v>
      </c>
      <c r="H203" t="str">
        <f>IF(AND(G203&gt;18, G203&lt;65), "Valid", "Invalid")</f>
        <v>Valid</v>
      </c>
      <c r="I203" t="s">
        <v>53</v>
      </c>
      <c r="J203" t="str">
        <f>PROPER(TRIM(I203))</f>
        <v>Lagos</v>
      </c>
      <c r="K203" t="s">
        <v>31</v>
      </c>
      <c r="L203" t="str">
        <f>PROPER(TRIM(K203))</f>
        <v>Sports</v>
      </c>
      <c r="M203" t="s">
        <v>32</v>
      </c>
      <c r="N203" t="str">
        <f>PROPER(TRIM(M203))</f>
        <v>Ball</v>
      </c>
      <c r="O203">
        <v>157.81</v>
      </c>
      <c r="P203">
        <v>-2</v>
      </c>
      <c r="Q203">
        <f>IF(P203&lt;1, 1, P203)</f>
        <v>1</v>
      </c>
      <c r="R203">
        <v>0</v>
      </c>
      <c r="S203" t="str">
        <f>IF(OR(R203&lt;0,R203&gt;100),"invalid","Valid")</f>
        <v>Valid</v>
      </c>
      <c r="T203" t="s">
        <v>24</v>
      </c>
      <c r="U203" t="str">
        <f>PROPER(TRIM(T203))</f>
        <v>Pos</v>
      </c>
      <c r="V203" t="s">
        <v>81</v>
      </c>
      <c r="W203" t="str">
        <f t="shared" si="6"/>
        <v>Ada</v>
      </c>
      <c r="X203" t="s">
        <v>82</v>
      </c>
      <c r="Y203">
        <v>3</v>
      </c>
      <c r="Z203" t="str">
        <f>IF(D203="", "Missing", "ok")</f>
        <v>ok</v>
      </c>
      <c r="AA203">
        <f t="shared" si="7"/>
        <v>157.81</v>
      </c>
    </row>
    <row r="204" spans="1:27" x14ac:dyDescent="0.25">
      <c r="A204" t="s">
        <v>630</v>
      </c>
      <c r="B204" s="1" t="s">
        <v>631</v>
      </c>
      <c r="C204" t="s">
        <v>632</v>
      </c>
      <c r="E204" t="str">
        <f>PROPER(TRIM(D204))</f>
        <v/>
      </c>
      <c r="F204" t="s">
        <v>20</v>
      </c>
      <c r="G204">
        <v>8</v>
      </c>
      <c r="H204" t="str">
        <f>IF(AND(G204&gt;18, G204&lt;65), "Valid", "Invalid")</f>
        <v>Invalid</v>
      </c>
      <c r="I204" t="s">
        <v>38</v>
      </c>
      <c r="J204" t="str">
        <f>PROPER(TRIM(I204))</f>
        <v>Ph</v>
      </c>
      <c r="K204" t="s">
        <v>87</v>
      </c>
      <c r="L204" t="str">
        <f>PROPER(TRIM(K204))</f>
        <v>Groceris</v>
      </c>
      <c r="M204" t="s">
        <v>49</v>
      </c>
      <c r="N204" t="str">
        <f>PROPER(TRIM(M204))</f>
        <v>Rice</v>
      </c>
      <c r="O204">
        <v>151.04</v>
      </c>
      <c r="P204">
        <v>10</v>
      </c>
      <c r="Q204">
        <f>IF(P204&lt;1, 1, P204)</f>
        <v>10</v>
      </c>
      <c r="R204">
        <v>0</v>
      </c>
      <c r="S204" t="str">
        <f>IF(OR(R204&lt;0,R204&gt;100),"invalid","Valid")</f>
        <v>Valid</v>
      </c>
      <c r="T204" t="s">
        <v>24</v>
      </c>
      <c r="U204" t="str">
        <f>PROPER(TRIM(T204))</f>
        <v>Pos</v>
      </c>
      <c r="V204" t="s">
        <v>41</v>
      </c>
      <c r="W204" t="str">
        <f t="shared" si="6"/>
        <v>Chi</v>
      </c>
      <c r="X204" t="s">
        <v>33</v>
      </c>
      <c r="Y204">
        <v>1</v>
      </c>
      <c r="Z204" t="str">
        <f>IF(D204="", "Missing", "ok")</f>
        <v>Missing</v>
      </c>
      <c r="AA204">
        <f t="shared" si="7"/>
        <v>1510.3999999999999</v>
      </c>
    </row>
    <row r="205" spans="1:27" x14ac:dyDescent="0.25">
      <c r="A205" t="s">
        <v>633</v>
      </c>
      <c r="B205" s="1" t="s">
        <v>303</v>
      </c>
      <c r="C205" t="s">
        <v>634</v>
      </c>
      <c r="D205" t="s">
        <v>117</v>
      </c>
      <c r="E205" t="str">
        <f>PROPER(TRIM(D205))</f>
        <v>David</v>
      </c>
      <c r="F205" t="s">
        <v>46</v>
      </c>
      <c r="G205">
        <v>58</v>
      </c>
      <c r="H205" t="str">
        <f>IF(AND(G205&gt;18, G205&lt;65), "Valid", "Invalid")</f>
        <v>Valid</v>
      </c>
      <c r="I205" t="s">
        <v>86</v>
      </c>
      <c r="J205" t="str">
        <f>PROPER(TRIM(I205))</f>
        <v>Kano</v>
      </c>
      <c r="K205" t="s">
        <v>54</v>
      </c>
      <c r="L205" t="str">
        <f>PROPER(TRIM(K205))</f>
        <v>Home</v>
      </c>
      <c r="M205" t="s">
        <v>55</v>
      </c>
      <c r="N205" t="str">
        <f>PROPER(TRIM(M205))</f>
        <v>Chair</v>
      </c>
      <c r="O205">
        <v>473.97</v>
      </c>
      <c r="P205">
        <v>-2</v>
      </c>
      <c r="Q205">
        <f>IF(P205&lt;1, 1, P205)</f>
        <v>1</v>
      </c>
      <c r="R205">
        <v>5</v>
      </c>
      <c r="S205" t="str">
        <f>IF(OR(R205&lt;0,R205&gt;100),"invalid","Valid")</f>
        <v>Valid</v>
      </c>
      <c r="T205" t="s">
        <v>24</v>
      </c>
      <c r="U205" t="str">
        <f>PROPER(TRIM(T205))</f>
        <v>Pos</v>
      </c>
      <c r="V205" t="s">
        <v>91</v>
      </c>
      <c r="W205" t="str">
        <f t="shared" si="6"/>
        <v>Ben</v>
      </c>
      <c r="X205" t="s">
        <v>33</v>
      </c>
      <c r="Y205">
        <v>1</v>
      </c>
      <c r="Z205" t="str">
        <f>IF(D205="", "Missing", "ok")</f>
        <v>ok</v>
      </c>
      <c r="AA205">
        <f t="shared" si="7"/>
        <v>450.2715</v>
      </c>
    </row>
    <row r="206" spans="1:27" x14ac:dyDescent="0.25">
      <c r="A206" t="s">
        <v>635</v>
      </c>
      <c r="B206" s="1" t="s">
        <v>427</v>
      </c>
      <c r="C206" t="s">
        <v>636</v>
      </c>
      <c r="D206" t="s">
        <v>101</v>
      </c>
      <c r="E206" t="str">
        <f>PROPER(TRIM(D206))</f>
        <v>Grace</v>
      </c>
      <c r="F206" t="s">
        <v>20</v>
      </c>
      <c r="G206">
        <v>130</v>
      </c>
      <c r="H206" t="str">
        <f>IF(AND(G206&gt;18, G206&lt;65), "Valid", "Invalid")</f>
        <v>Invalid</v>
      </c>
      <c r="I206" t="s">
        <v>30</v>
      </c>
      <c r="J206" t="str">
        <f>PROPER(TRIM(I206))</f>
        <v>Lagos</v>
      </c>
      <c r="K206" t="s">
        <v>31</v>
      </c>
      <c r="L206" t="str">
        <f>PROPER(TRIM(K206))</f>
        <v>Sports</v>
      </c>
      <c r="M206" t="s">
        <v>32</v>
      </c>
      <c r="N206" t="str">
        <f>PROPER(TRIM(M206))</f>
        <v>Ball</v>
      </c>
      <c r="O206">
        <v>323.41000000000003</v>
      </c>
      <c r="P206">
        <v>-2</v>
      </c>
      <c r="Q206">
        <f>IF(P206&lt;1, 1, P206)</f>
        <v>1</v>
      </c>
      <c r="R206">
        <v>0</v>
      </c>
      <c r="S206" t="str">
        <f>IF(OR(R206&lt;0,R206&gt;100),"invalid","Valid")</f>
        <v>Valid</v>
      </c>
      <c r="T206" t="s">
        <v>77</v>
      </c>
      <c r="U206" t="str">
        <f>PROPER(TRIM(T206))</f>
        <v>Cash</v>
      </c>
      <c r="V206" t="s">
        <v>25</v>
      </c>
      <c r="W206" t="str">
        <f t="shared" si="6"/>
        <v>Dan</v>
      </c>
      <c r="X206" t="s">
        <v>26</v>
      </c>
      <c r="Y206">
        <v>1</v>
      </c>
      <c r="Z206" t="str">
        <f>IF(D206="", "Missing", "ok")</f>
        <v>ok</v>
      </c>
      <c r="AA206">
        <f t="shared" si="7"/>
        <v>323.41000000000003</v>
      </c>
    </row>
    <row r="207" spans="1:27" x14ac:dyDescent="0.25">
      <c r="A207" t="s">
        <v>637</v>
      </c>
      <c r="B207" s="1" t="s">
        <v>638</v>
      </c>
      <c r="C207" t="s">
        <v>639</v>
      </c>
      <c r="D207" t="s">
        <v>19</v>
      </c>
      <c r="E207" t="str">
        <f>PROPER(TRIM(D207))</f>
        <v>Peter</v>
      </c>
      <c r="F207" t="s">
        <v>20</v>
      </c>
      <c r="G207">
        <v>8</v>
      </c>
      <c r="H207" t="str">
        <f>IF(AND(G207&gt;18, G207&lt;65), "Valid", "Invalid")</f>
        <v>Invalid</v>
      </c>
      <c r="I207" t="s">
        <v>30</v>
      </c>
      <c r="J207" t="str">
        <f>PROPER(TRIM(I207))</f>
        <v>Lagos</v>
      </c>
      <c r="K207" t="s">
        <v>87</v>
      </c>
      <c r="L207" t="str">
        <f>PROPER(TRIM(K207))</f>
        <v>Groceris</v>
      </c>
      <c r="M207" t="s">
        <v>49</v>
      </c>
      <c r="N207" t="str">
        <f>PROPER(TRIM(M207))</f>
        <v>Rice</v>
      </c>
      <c r="O207">
        <v>25.2</v>
      </c>
      <c r="P207">
        <v>8</v>
      </c>
      <c r="Q207">
        <f>IF(P207&lt;1, 1, P207)</f>
        <v>8</v>
      </c>
      <c r="R207">
        <v>-10</v>
      </c>
      <c r="S207" t="str">
        <f>IF(OR(R207&lt;0,R207&gt;100),"invalid","Valid")</f>
        <v>invalid</v>
      </c>
      <c r="U207" t="str">
        <f>PROPER(TRIM(T207))</f>
        <v/>
      </c>
      <c r="V207" t="s">
        <v>91</v>
      </c>
      <c r="W207" t="str">
        <f t="shared" si="6"/>
        <v>Ben</v>
      </c>
      <c r="X207" t="s">
        <v>65</v>
      </c>
      <c r="Y207">
        <v>4</v>
      </c>
      <c r="Z207" t="str">
        <f>IF(D207="", "Missing", "ok")</f>
        <v>ok</v>
      </c>
      <c r="AA207">
        <f t="shared" si="7"/>
        <v>221.76000000000002</v>
      </c>
    </row>
    <row r="208" spans="1:27" x14ac:dyDescent="0.25">
      <c r="A208" t="s">
        <v>640</v>
      </c>
      <c r="B208" s="1" t="s">
        <v>641</v>
      </c>
      <c r="C208" t="s">
        <v>642</v>
      </c>
      <c r="D208" t="s">
        <v>19</v>
      </c>
      <c r="E208" t="str">
        <f>PROPER(TRIM(D208))</f>
        <v>Peter</v>
      </c>
      <c r="F208" t="s">
        <v>20</v>
      </c>
      <c r="G208">
        <v>8</v>
      </c>
      <c r="H208" t="str">
        <f>IF(AND(G208&gt;18, G208&lt;65), "Valid", "Invalid")</f>
        <v>Invalid</v>
      </c>
      <c r="I208" t="s">
        <v>38</v>
      </c>
      <c r="J208" t="str">
        <f>PROPER(TRIM(I208))</f>
        <v>Ph</v>
      </c>
      <c r="K208" t="s">
        <v>39</v>
      </c>
      <c r="L208" t="str">
        <f>PROPER(TRIM(K208))</f>
        <v>Electronics</v>
      </c>
      <c r="M208" t="s">
        <v>40</v>
      </c>
      <c r="N208" t="str">
        <f>PROPER(TRIM(M208))</f>
        <v>Phone</v>
      </c>
      <c r="O208">
        <v>463.62</v>
      </c>
      <c r="P208">
        <v>6</v>
      </c>
      <c r="Q208">
        <f>IF(P208&lt;1, 1, P208)</f>
        <v>6</v>
      </c>
      <c r="R208">
        <v>0</v>
      </c>
      <c r="S208" t="str">
        <f>IF(OR(R208&lt;0,R208&gt;100),"invalid","Valid")</f>
        <v>Valid</v>
      </c>
      <c r="T208" t="s">
        <v>59</v>
      </c>
      <c r="U208" t="str">
        <f>PROPER(TRIM(T208))</f>
        <v>Mobile Money</v>
      </c>
      <c r="V208" t="s">
        <v>41</v>
      </c>
      <c r="W208" t="str">
        <f t="shared" si="6"/>
        <v>Chi</v>
      </c>
      <c r="X208" t="s">
        <v>82</v>
      </c>
      <c r="Y208">
        <v>3</v>
      </c>
      <c r="Z208" t="str">
        <f>IF(D208="", "Missing", "ok")</f>
        <v>ok</v>
      </c>
      <c r="AA208">
        <f t="shared" si="7"/>
        <v>2781.7200000000003</v>
      </c>
    </row>
    <row r="209" spans="1:27" x14ac:dyDescent="0.25">
      <c r="A209" t="s">
        <v>643</v>
      </c>
      <c r="B209" s="1" t="s">
        <v>644</v>
      </c>
      <c r="C209" t="s">
        <v>645</v>
      </c>
      <c r="D209" t="s">
        <v>19</v>
      </c>
      <c r="E209" t="str">
        <f>PROPER(TRIM(D209))</f>
        <v>Peter</v>
      </c>
      <c r="F209" t="s">
        <v>46</v>
      </c>
      <c r="G209">
        <v>22</v>
      </c>
      <c r="H209" t="str">
        <f>IF(AND(G209&gt;18, G209&lt;65), "Valid", "Invalid")</f>
        <v>Valid</v>
      </c>
      <c r="I209" t="s">
        <v>30</v>
      </c>
      <c r="J209" t="str">
        <f>PROPER(TRIM(I209))</f>
        <v>Lagos</v>
      </c>
      <c r="K209" t="s">
        <v>22</v>
      </c>
      <c r="L209" t="str">
        <f>PROPER(TRIM(K209))</f>
        <v>Fashion</v>
      </c>
      <c r="M209" t="s">
        <v>23</v>
      </c>
      <c r="N209" t="str">
        <f>PROPER(TRIM(M209))</f>
        <v>Shirt</v>
      </c>
      <c r="O209">
        <v>320.36</v>
      </c>
      <c r="P209">
        <v>3</v>
      </c>
      <c r="Q209">
        <f>IF(P209&lt;1, 1, P209)</f>
        <v>3</v>
      </c>
      <c r="R209">
        <v>10</v>
      </c>
      <c r="S209" t="str">
        <f>IF(OR(R209&lt;0,R209&gt;100),"invalid","Valid")</f>
        <v>Valid</v>
      </c>
      <c r="T209" t="s">
        <v>24</v>
      </c>
      <c r="U209" t="str">
        <f>PROPER(TRIM(T209))</f>
        <v>Pos</v>
      </c>
      <c r="V209" t="s">
        <v>25</v>
      </c>
      <c r="W209" t="str">
        <f t="shared" si="6"/>
        <v>Dan</v>
      </c>
      <c r="X209" t="s">
        <v>33</v>
      </c>
      <c r="Y209">
        <v>1</v>
      </c>
      <c r="Z209" t="str">
        <f>IF(D209="", "Missing", "ok")</f>
        <v>ok</v>
      </c>
      <c r="AA209">
        <f t="shared" si="7"/>
        <v>864.97200000000009</v>
      </c>
    </row>
    <row r="210" spans="1:27" x14ac:dyDescent="0.25">
      <c r="A210" t="s">
        <v>646</v>
      </c>
      <c r="B210" s="1" t="s">
        <v>647</v>
      </c>
      <c r="C210" t="s">
        <v>648</v>
      </c>
      <c r="E210" t="str">
        <f>PROPER(TRIM(D210))</f>
        <v/>
      </c>
      <c r="F210" t="s">
        <v>46</v>
      </c>
      <c r="G210">
        <v>61</v>
      </c>
      <c r="H210" t="str">
        <f>IF(AND(G210&gt;18, G210&lt;65), "Valid", "Invalid")</f>
        <v>Valid</v>
      </c>
      <c r="I210" t="s">
        <v>70</v>
      </c>
      <c r="J210" t="str">
        <f>PROPER(TRIM(I210))</f>
        <v>Abuja</v>
      </c>
      <c r="K210" t="s">
        <v>22</v>
      </c>
      <c r="L210" t="str">
        <f>PROPER(TRIM(K210))</f>
        <v>Fashion</v>
      </c>
      <c r="M210" t="s">
        <v>23</v>
      </c>
      <c r="N210" t="str">
        <f>PROPER(TRIM(M210))</f>
        <v>Shirt</v>
      </c>
      <c r="O210">
        <v>53.98</v>
      </c>
      <c r="P210">
        <v>-2</v>
      </c>
      <c r="Q210">
        <f>IF(P210&lt;1, 1, P210)</f>
        <v>1</v>
      </c>
      <c r="R210">
        <v>-10</v>
      </c>
      <c r="S210" t="str">
        <f>IF(OR(R210&lt;0,R210&gt;100),"invalid","Valid")</f>
        <v>invalid</v>
      </c>
      <c r="T210" t="s">
        <v>77</v>
      </c>
      <c r="U210" t="str">
        <f>PROPER(TRIM(T210))</f>
        <v>Cash</v>
      </c>
      <c r="V210" t="s">
        <v>81</v>
      </c>
      <c r="W210" t="str">
        <f t="shared" si="6"/>
        <v>Ada</v>
      </c>
      <c r="X210" t="s">
        <v>33</v>
      </c>
      <c r="Y210">
        <v>5</v>
      </c>
      <c r="Z210" t="str">
        <f>IF(D210="", "Missing", "ok")</f>
        <v>Missing</v>
      </c>
      <c r="AA210">
        <f t="shared" si="7"/>
        <v>59.378</v>
      </c>
    </row>
    <row r="211" spans="1:27" x14ac:dyDescent="0.25">
      <c r="A211" t="s">
        <v>649</v>
      </c>
      <c r="B211" s="1" t="s">
        <v>650</v>
      </c>
      <c r="C211" t="s">
        <v>651</v>
      </c>
      <c r="E211" t="str">
        <f>PROPER(TRIM(D211))</f>
        <v/>
      </c>
      <c r="F211" t="s">
        <v>46</v>
      </c>
      <c r="G211">
        <v>130</v>
      </c>
      <c r="H211" t="str">
        <f>IF(AND(G211&gt;18, G211&lt;65), "Valid", "Invalid")</f>
        <v>Invalid</v>
      </c>
      <c r="I211" t="s">
        <v>86</v>
      </c>
      <c r="J211" t="str">
        <f>PROPER(TRIM(I211))</f>
        <v>Kano</v>
      </c>
      <c r="K211" t="s">
        <v>22</v>
      </c>
      <c r="L211" t="str">
        <f>PROPER(TRIM(K211))</f>
        <v>Fashion</v>
      </c>
      <c r="M211" t="s">
        <v>23</v>
      </c>
      <c r="N211" t="str">
        <f>PROPER(TRIM(M211))</f>
        <v>Shirt</v>
      </c>
      <c r="O211">
        <v>240.46</v>
      </c>
      <c r="P211">
        <v>1</v>
      </c>
      <c r="Q211">
        <f>IF(P211&lt;1, 1, P211)</f>
        <v>1</v>
      </c>
      <c r="R211">
        <v>-10</v>
      </c>
      <c r="S211" t="str">
        <f>IF(OR(R211&lt;0,R211&gt;100),"invalid","Valid")</f>
        <v>invalid</v>
      </c>
      <c r="U211" t="str">
        <f>PROPER(TRIM(T211))</f>
        <v/>
      </c>
      <c r="V211" t="s">
        <v>41</v>
      </c>
      <c r="W211" t="str">
        <f t="shared" si="6"/>
        <v>Chi</v>
      </c>
      <c r="X211" t="s">
        <v>26</v>
      </c>
      <c r="Z211" t="str">
        <f>IF(D211="", "Missing", "ok")</f>
        <v>Missing</v>
      </c>
      <c r="AA211">
        <f t="shared" si="7"/>
        <v>264.50600000000003</v>
      </c>
    </row>
    <row r="212" spans="1:27" x14ac:dyDescent="0.25">
      <c r="A212" t="s">
        <v>652</v>
      </c>
      <c r="B212" s="1" t="s">
        <v>653</v>
      </c>
      <c r="C212" t="s">
        <v>654</v>
      </c>
      <c r="E212" t="str">
        <f>PROPER(TRIM(D212))</f>
        <v/>
      </c>
      <c r="F212" t="s">
        <v>20</v>
      </c>
      <c r="G212">
        <v>61</v>
      </c>
      <c r="H212" t="str">
        <f>IF(AND(G212&gt;18, G212&lt;65), "Valid", "Invalid")</f>
        <v>Valid</v>
      </c>
      <c r="I212" t="s">
        <v>21</v>
      </c>
      <c r="J212" t="str">
        <f>PROPER(TRIM(I212))</f>
        <v>Lagos</v>
      </c>
      <c r="K212" t="s">
        <v>121</v>
      </c>
      <c r="L212" t="str">
        <f>PROPER(TRIM(K212))</f>
        <v>Beauty</v>
      </c>
      <c r="M212" t="s">
        <v>122</v>
      </c>
      <c r="N212" t="str">
        <f>PROPER(TRIM(M212))</f>
        <v>Cream</v>
      </c>
      <c r="O212">
        <v>432.18</v>
      </c>
      <c r="P212">
        <v>-2</v>
      </c>
      <c r="Q212">
        <f>IF(P212&lt;1, 1, P212)</f>
        <v>1</v>
      </c>
      <c r="R212">
        <v>120</v>
      </c>
      <c r="S212" t="str">
        <f>IF(OR(R212&lt;0,R212&gt;100),"invalid","Valid")</f>
        <v>invalid</v>
      </c>
      <c r="T212" t="s">
        <v>59</v>
      </c>
      <c r="U212" t="str">
        <f>PROPER(TRIM(T212))</f>
        <v>Mobile Money</v>
      </c>
      <c r="V212" t="s">
        <v>41</v>
      </c>
      <c r="W212" t="str">
        <f t="shared" si="6"/>
        <v>Chi</v>
      </c>
      <c r="X212" t="s">
        <v>65</v>
      </c>
      <c r="Y212">
        <v>5</v>
      </c>
      <c r="Z212" t="str">
        <f>IF(D212="", "Missing", "ok")</f>
        <v>Missing</v>
      </c>
      <c r="AA212">
        <f t="shared" si="7"/>
        <v>-86.435999999999979</v>
      </c>
    </row>
    <row r="213" spans="1:27" x14ac:dyDescent="0.25">
      <c r="A213" t="s">
        <v>655</v>
      </c>
      <c r="B213" s="1" t="s">
        <v>656</v>
      </c>
      <c r="C213" t="s">
        <v>657</v>
      </c>
      <c r="D213" t="s">
        <v>37</v>
      </c>
      <c r="E213" t="str">
        <f>PROPER(TRIM(D213))</f>
        <v>Aisha</v>
      </c>
      <c r="F213" t="s">
        <v>20</v>
      </c>
      <c r="G213">
        <v>130</v>
      </c>
      <c r="H213" t="str">
        <f>IF(AND(G213&gt;18, G213&lt;65), "Valid", "Invalid")</f>
        <v>Invalid</v>
      </c>
      <c r="I213" t="s">
        <v>21</v>
      </c>
      <c r="J213" t="str">
        <f>PROPER(TRIM(I213))</f>
        <v>Lagos</v>
      </c>
      <c r="K213" t="s">
        <v>54</v>
      </c>
      <c r="L213" t="str">
        <f>PROPER(TRIM(K213))</f>
        <v>Home</v>
      </c>
      <c r="M213" t="s">
        <v>55</v>
      </c>
      <c r="N213" t="str">
        <f>PROPER(TRIM(M213))</f>
        <v>Chair</v>
      </c>
      <c r="O213">
        <v>31.49</v>
      </c>
      <c r="P213">
        <v>4</v>
      </c>
      <c r="Q213">
        <f>IF(P213&lt;1, 1, P213)</f>
        <v>4</v>
      </c>
      <c r="R213">
        <v>0</v>
      </c>
      <c r="S213" t="str">
        <f>IF(OR(R213&lt;0,R213&gt;100),"invalid","Valid")</f>
        <v>Valid</v>
      </c>
      <c r="T213" t="s">
        <v>64</v>
      </c>
      <c r="U213" t="str">
        <f>PROPER(TRIM(T213))</f>
        <v>Transfer</v>
      </c>
      <c r="V213" t="s">
        <v>91</v>
      </c>
      <c r="W213" t="str">
        <f t="shared" si="6"/>
        <v>Ben</v>
      </c>
      <c r="X213" t="s">
        <v>65</v>
      </c>
      <c r="Z213" t="str">
        <f>IF(D213="", "Missing", "ok")</f>
        <v>ok</v>
      </c>
      <c r="AA213">
        <f t="shared" si="7"/>
        <v>125.96</v>
      </c>
    </row>
    <row r="214" spans="1:27" x14ac:dyDescent="0.25">
      <c r="A214" t="s">
        <v>658</v>
      </c>
      <c r="B214" s="1" t="s">
        <v>659</v>
      </c>
      <c r="C214" t="s">
        <v>660</v>
      </c>
      <c r="D214" t="s">
        <v>101</v>
      </c>
      <c r="E214" t="str">
        <f>PROPER(TRIM(D214))</f>
        <v>Grace</v>
      </c>
      <c r="F214" t="s">
        <v>46</v>
      </c>
      <c r="G214">
        <v>8</v>
      </c>
      <c r="H214" t="str">
        <f>IF(AND(G214&gt;18, G214&lt;65), "Valid", "Invalid")</f>
        <v>Invalid</v>
      </c>
      <c r="I214" t="s">
        <v>21</v>
      </c>
      <c r="J214" t="str">
        <f>PROPER(TRIM(I214))</f>
        <v>Lagos</v>
      </c>
      <c r="K214" t="s">
        <v>39</v>
      </c>
      <c r="L214" t="str">
        <f>PROPER(TRIM(K214))</f>
        <v>Electronics</v>
      </c>
      <c r="M214" t="s">
        <v>40</v>
      </c>
      <c r="N214" t="str">
        <f>PROPER(TRIM(M214))</f>
        <v>Phone</v>
      </c>
      <c r="O214">
        <v>160.16</v>
      </c>
      <c r="P214">
        <v>10</v>
      </c>
      <c r="Q214">
        <f>IF(P214&lt;1, 1, P214)</f>
        <v>10</v>
      </c>
      <c r="R214">
        <v>120</v>
      </c>
      <c r="S214" t="str">
        <f>IF(OR(R214&lt;0,R214&gt;100),"invalid","Valid")</f>
        <v>invalid</v>
      </c>
      <c r="U214" t="str">
        <f>PROPER(TRIM(T214))</f>
        <v/>
      </c>
      <c r="V214" t="s">
        <v>91</v>
      </c>
      <c r="W214" t="str">
        <f t="shared" si="6"/>
        <v>Ben</v>
      </c>
      <c r="X214" t="s">
        <v>82</v>
      </c>
      <c r="Y214">
        <v>2</v>
      </c>
      <c r="Z214" t="str">
        <f>IF(D214="", "Missing", "ok")</f>
        <v>ok</v>
      </c>
      <c r="AA214">
        <f t="shared" si="7"/>
        <v>-320.31999999999994</v>
      </c>
    </row>
    <row r="215" spans="1:27" x14ac:dyDescent="0.25">
      <c r="A215" t="s">
        <v>661</v>
      </c>
      <c r="B215" s="1" t="s">
        <v>662</v>
      </c>
      <c r="C215" t="s">
        <v>663</v>
      </c>
      <c r="D215" t="s">
        <v>101</v>
      </c>
      <c r="E215" t="str">
        <f>PROPER(TRIM(D215))</f>
        <v>Grace</v>
      </c>
      <c r="F215" t="s">
        <v>20</v>
      </c>
      <c r="G215">
        <v>130</v>
      </c>
      <c r="H215" t="str">
        <f>IF(AND(G215&gt;18, G215&lt;65), "Valid", "Invalid")</f>
        <v>Invalid</v>
      </c>
      <c r="I215" t="s">
        <v>53</v>
      </c>
      <c r="J215" t="str">
        <f>PROPER(TRIM(I215))</f>
        <v>Lagos</v>
      </c>
      <c r="K215" t="s">
        <v>48</v>
      </c>
      <c r="L215" t="str">
        <f>PROPER(TRIM(K215))</f>
        <v>Groceries</v>
      </c>
      <c r="M215" t="s">
        <v>49</v>
      </c>
      <c r="N215" t="str">
        <f>PROPER(TRIM(M215))</f>
        <v>Rice</v>
      </c>
      <c r="O215">
        <v>318.8</v>
      </c>
      <c r="P215">
        <v>-2</v>
      </c>
      <c r="Q215">
        <f>IF(P215&lt;1, 1, P215)</f>
        <v>1</v>
      </c>
      <c r="R215">
        <v>15</v>
      </c>
      <c r="S215" t="str">
        <f>IF(OR(R215&lt;0,R215&gt;100),"invalid","Valid")</f>
        <v>Valid</v>
      </c>
      <c r="T215" t="s">
        <v>59</v>
      </c>
      <c r="U215" t="str">
        <f>PROPER(TRIM(T215))</f>
        <v>Mobile Money</v>
      </c>
      <c r="V215" t="s">
        <v>25</v>
      </c>
      <c r="W215" t="str">
        <f t="shared" si="6"/>
        <v>Dan</v>
      </c>
      <c r="X215" t="s">
        <v>82</v>
      </c>
      <c r="Y215">
        <v>1</v>
      </c>
      <c r="Z215" t="str">
        <f>IF(D215="", "Missing", "ok")</f>
        <v>ok</v>
      </c>
      <c r="AA215">
        <f t="shared" si="7"/>
        <v>270.98</v>
      </c>
    </row>
    <row r="216" spans="1:27" x14ac:dyDescent="0.25">
      <c r="A216" t="s">
        <v>664</v>
      </c>
      <c r="B216" s="1" t="s">
        <v>665</v>
      </c>
      <c r="C216" t="s">
        <v>666</v>
      </c>
      <c r="E216" t="str">
        <f>PROPER(TRIM(D216))</f>
        <v/>
      </c>
      <c r="F216" t="s">
        <v>20</v>
      </c>
      <c r="G216">
        <v>8</v>
      </c>
      <c r="H216" t="str">
        <f>IF(AND(G216&gt;18, G216&lt;65), "Valid", "Invalid")</f>
        <v>Invalid</v>
      </c>
      <c r="I216" t="s">
        <v>70</v>
      </c>
      <c r="J216" t="str">
        <f>PROPER(TRIM(I216))</f>
        <v>Abuja</v>
      </c>
      <c r="K216" t="s">
        <v>87</v>
      </c>
      <c r="L216" t="str">
        <f>PROPER(TRIM(K216))</f>
        <v>Groceris</v>
      </c>
      <c r="M216" t="s">
        <v>49</v>
      </c>
      <c r="N216" t="str">
        <f>PROPER(TRIM(M216))</f>
        <v>Rice</v>
      </c>
      <c r="O216">
        <v>452.68</v>
      </c>
      <c r="P216">
        <v>6</v>
      </c>
      <c r="Q216">
        <f>IF(P216&lt;1, 1, P216)</f>
        <v>6</v>
      </c>
      <c r="R216">
        <v>15</v>
      </c>
      <c r="S216" t="str">
        <f>IF(OR(R216&lt;0,R216&gt;100),"invalid","Valid")</f>
        <v>Valid</v>
      </c>
      <c r="T216" t="s">
        <v>64</v>
      </c>
      <c r="U216" t="str">
        <f>PROPER(TRIM(T216))</f>
        <v>Transfer</v>
      </c>
      <c r="V216" t="s">
        <v>81</v>
      </c>
      <c r="W216" t="str">
        <f t="shared" si="6"/>
        <v>Ada</v>
      </c>
      <c r="X216" t="s">
        <v>82</v>
      </c>
      <c r="Y216">
        <v>3</v>
      </c>
      <c r="Z216" t="str">
        <f>IF(D216="", "Missing", "ok")</f>
        <v>Missing</v>
      </c>
      <c r="AA216">
        <f t="shared" si="7"/>
        <v>2308.6679999999997</v>
      </c>
    </row>
    <row r="217" spans="1:27" x14ac:dyDescent="0.25">
      <c r="A217" t="s">
        <v>667</v>
      </c>
      <c r="B217" s="1" t="s">
        <v>668</v>
      </c>
      <c r="C217" t="s">
        <v>669</v>
      </c>
      <c r="D217" t="s">
        <v>45</v>
      </c>
      <c r="E217" t="str">
        <f>PROPER(TRIM(D217))</f>
        <v>James</v>
      </c>
      <c r="F217" t="s">
        <v>46</v>
      </c>
      <c r="G217">
        <v>8</v>
      </c>
      <c r="H217" t="str">
        <f>IF(AND(G217&gt;18, G217&lt;65), "Valid", "Invalid")</f>
        <v>Invalid</v>
      </c>
      <c r="I217" t="s">
        <v>30</v>
      </c>
      <c r="J217" t="str">
        <f>PROPER(TRIM(I217))</f>
        <v>Lagos</v>
      </c>
      <c r="K217" t="s">
        <v>22</v>
      </c>
      <c r="L217" t="str">
        <f>PROPER(TRIM(K217))</f>
        <v>Fashion</v>
      </c>
      <c r="M217" t="s">
        <v>23</v>
      </c>
      <c r="N217" t="str">
        <f>PROPER(TRIM(M217))</f>
        <v>Shirt</v>
      </c>
      <c r="O217">
        <v>148.74</v>
      </c>
      <c r="P217">
        <v>7</v>
      </c>
      <c r="Q217">
        <f>IF(P217&lt;1, 1, P217)</f>
        <v>7</v>
      </c>
      <c r="R217">
        <v>0</v>
      </c>
      <c r="S217" t="str">
        <f>IF(OR(R217&lt;0,R217&gt;100),"invalid","Valid")</f>
        <v>Valid</v>
      </c>
      <c r="T217" t="s">
        <v>24</v>
      </c>
      <c r="U217" t="str">
        <f>PROPER(TRIM(T217))</f>
        <v>Pos</v>
      </c>
      <c r="V217" t="s">
        <v>81</v>
      </c>
      <c r="W217" t="str">
        <f t="shared" si="6"/>
        <v>Ada</v>
      </c>
      <c r="X217" t="s">
        <v>82</v>
      </c>
      <c r="Y217">
        <v>4</v>
      </c>
      <c r="Z217" t="str">
        <f>IF(D217="", "Missing", "ok")</f>
        <v>ok</v>
      </c>
      <c r="AA217">
        <f t="shared" si="7"/>
        <v>1041.18</v>
      </c>
    </row>
    <row r="218" spans="1:27" x14ac:dyDescent="0.25">
      <c r="A218" t="s">
        <v>670</v>
      </c>
      <c r="B218" s="1" t="s">
        <v>671</v>
      </c>
      <c r="C218" t="s">
        <v>672</v>
      </c>
      <c r="D218" t="s">
        <v>101</v>
      </c>
      <c r="E218" t="str">
        <f>PROPER(TRIM(D218))</f>
        <v>Grace</v>
      </c>
      <c r="F218" t="s">
        <v>20</v>
      </c>
      <c r="G218">
        <v>43</v>
      </c>
      <c r="H218" t="str">
        <f>IF(AND(G218&gt;18, G218&lt;65), "Valid", "Invalid")</f>
        <v>Valid</v>
      </c>
      <c r="I218" t="s">
        <v>70</v>
      </c>
      <c r="J218" t="str">
        <f>PROPER(TRIM(I218))</f>
        <v>Abuja</v>
      </c>
      <c r="K218" t="s">
        <v>87</v>
      </c>
      <c r="L218" t="str">
        <f>PROPER(TRIM(K218))</f>
        <v>Groceris</v>
      </c>
      <c r="M218" t="s">
        <v>49</v>
      </c>
      <c r="N218" t="str">
        <f>PROPER(TRIM(M218))</f>
        <v>Rice</v>
      </c>
      <c r="O218">
        <v>367.69</v>
      </c>
      <c r="P218">
        <v>7</v>
      </c>
      <c r="Q218">
        <f>IF(P218&lt;1, 1, P218)</f>
        <v>7</v>
      </c>
      <c r="R218">
        <v>5</v>
      </c>
      <c r="S218" t="str">
        <f>IF(OR(R218&lt;0,R218&gt;100),"invalid","Valid")</f>
        <v>Valid</v>
      </c>
      <c r="T218" t="s">
        <v>59</v>
      </c>
      <c r="U218" t="str">
        <f>PROPER(TRIM(T218))</f>
        <v>Mobile Money</v>
      </c>
      <c r="V218" t="s">
        <v>41</v>
      </c>
      <c r="W218" t="str">
        <f t="shared" si="6"/>
        <v>Chi</v>
      </c>
      <c r="X218" t="s">
        <v>82</v>
      </c>
      <c r="Z218" t="str">
        <f>IF(D218="", "Missing", "ok")</f>
        <v>ok</v>
      </c>
      <c r="AA218">
        <f t="shared" si="7"/>
        <v>2445.1385</v>
      </c>
    </row>
    <row r="219" spans="1:27" x14ac:dyDescent="0.25">
      <c r="A219" t="s">
        <v>673</v>
      </c>
      <c r="B219" s="1" t="s">
        <v>674</v>
      </c>
      <c r="C219" t="s">
        <v>675</v>
      </c>
      <c r="D219" t="s">
        <v>101</v>
      </c>
      <c r="E219" t="str">
        <f>PROPER(TRIM(D219))</f>
        <v>Grace</v>
      </c>
      <c r="F219" t="s">
        <v>46</v>
      </c>
      <c r="G219">
        <v>37</v>
      </c>
      <c r="H219" t="str">
        <f>IF(AND(G219&gt;18, G219&lt;65), "Valid", "Invalid")</f>
        <v>Valid</v>
      </c>
      <c r="I219" t="s">
        <v>30</v>
      </c>
      <c r="J219" t="str">
        <f>PROPER(TRIM(I219))</f>
        <v>Lagos</v>
      </c>
      <c r="K219" t="s">
        <v>22</v>
      </c>
      <c r="L219" t="str">
        <f>PROPER(TRIM(K219))</f>
        <v>Fashion</v>
      </c>
      <c r="M219" t="s">
        <v>23</v>
      </c>
      <c r="N219" t="str">
        <f>PROPER(TRIM(M219))</f>
        <v>Shirt</v>
      </c>
      <c r="O219">
        <v>140.03</v>
      </c>
      <c r="P219">
        <v>10</v>
      </c>
      <c r="Q219">
        <f>IF(P219&lt;1, 1, P219)</f>
        <v>10</v>
      </c>
      <c r="R219">
        <v>10</v>
      </c>
      <c r="S219" t="str">
        <f>IF(OR(R219&lt;0,R219&gt;100),"invalid","Valid")</f>
        <v>Valid</v>
      </c>
      <c r="T219" t="s">
        <v>77</v>
      </c>
      <c r="U219" t="str">
        <f>PROPER(TRIM(T219))</f>
        <v>Cash</v>
      </c>
      <c r="V219" t="s">
        <v>25</v>
      </c>
      <c r="W219" t="str">
        <f t="shared" si="6"/>
        <v>Dan</v>
      </c>
      <c r="X219" t="s">
        <v>82</v>
      </c>
      <c r="Y219">
        <v>1</v>
      </c>
      <c r="Z219" t="str">
        <f>IF(D219="", "Missing", "ok")</f>
        <v>ok</v>
      </c>
      <c r="AA219">
        <f t="shared" si="7"/>
        <v>1260.27</v>
      </c>
    </row>
    <row r="220" spans="1:27" x14ac:dyDescent="0.25">
      <c r="A220" t="s">
        <v>676</v>
      </c>
      <c r="B220" s="1" t="s">
        <v>677</v>
      </c>
      <c r="C220" t="s">
        <v>678</v>
      </c>
      <c r="D220" t="s">
        <v>117</v>
      </c>
      <c r="E220" t="str">
        <f>PROPER(TRIM(D220))</f>
        <v>David</v>
      </c>
      <c r="F220" t="s">
        <v>20</v>
      </c>
      <c r="G220">
        <v>8</v>
      </c>
      <c r="H220" t="str">
        <f>IF(AND(G220&gt;18, G220&lt;65), "Valid", "Invalid")</f>
        <v>Invalid</v>
      </c>
      <c r="I220" t="s">
        <v>53</v>
      </c>
      <c r="J220" t="str">
        <f>PROPER(TRIM(I220))</f>
        <v>Lagos</v>
      </c>
      <c r="K220" t="s">
        <v>22</v>
      </c>
      <c r="L220" t="str">
        <f>PROPER(TRIM(K220))</f>
        <v>Fashion</v>
      </c>
      <c r="M220" t="s">
        <v>23</v>
      </c>
      <c r="N220" t="str">
        <f>PROPER(TRIM(M220))</f>
        <v>Shirt</v>
      </c>
      <c r="O220">
        <v>230.26</v>
      </c>
      <c r="P220">
        <v>10</v>
      </c>
      <c r="Q220">
        <f>IF(P220&lt;1, 1, P220)</f>
        <v>10</v>
      </c>
      <c r="R220">
        <v>15</v>
      </c>
      <c r="S220" t="str">
        <f>IF(OR(R220&lt;0,R220&gt;100),"invalid","Valid")</f>
        <v>Valid</v>
      </c>
      <c r="T220" t="s">
        <v>24</v>
      </c>
      <c r="U220" t="str">
        <f>PROPER(TRIM(T220))</f>
        <v>Pos</v>
      </c>
      <c r="V220" t="s">
        <v>25</v>
      </c>
      <c r="W220" t="str">
        <f t="shared" si="6"/>
        <v>Dan</v>
      </c>
      <c r="X220" t="s">
        <v>65</v>
      </c>
      <c r="Y220">
        <v>2</v>
      </c>
      <c r="Z220" t="str">
        <f>IF(D220="", "Missing", "ok")</f>
        <v>ok</v>
      </c>
      <c r="AA220">
        <f t="shared" si="7"/>
        <v>1957.2099999999998</v>
      </c>
    </row>
    <row r="221" spans="1:27" x14ac:dyDescent="0.25">
      <c r="A221" t="s">
        <v>679</v>
      </c>
      <c r="B221" s="1" t="s">
        <v>164</v>
      </c>
      <c r="C221" t="s">
        <v>680</v>
      </c>
      <c r="D221" t="s">
        <v>63</v>
      </c>
      <c r="E221" t="str">
        <f>PROPER(TRIM(D221))</f>
        <v>John</v>
      </c>
      <c r="F221" t="s">
        <v>20</v>
      </c>
      <c r="G221">
        <v>8</v>
      </c>
      <c r="H221" t="str">
        <f>IF(AND(G221&gt;18, G221&lt;65), "Valid", "Invalid")</f>
        <v>Invalid</v>
      </c>
      <c r="I221" t="s">
        <v>86</v>
      </c>
      <c r="J221" t="str">
        <f>PROPER(TRIM(I221))</f>
        <v>Kano</v>
      </c>
      <c r="K221" t="s">
        <v>48</v>
      </c>
      <c r="L221" t="str">
        <f>PROPER(TRIM(K221))</f>
        <v>Groceries</v>
      </c>
      <c r="M221" t="s">
        <v>49</v>
      </c>
      <c r="N221" t="str">
        <f>PROPER(TRIM(M221))</f>
        <v>Rice</v>
      </c>
      <c r="O221">
        <v>363.68</v>
      </c>
      <c r="P221">
        <v>-2</v>
      </c>
      <c r="Q221">
        <f>IF(P221&lt;1, 1, P221)</f>
        <v>1</v>
      </c>
      <c r="R221">
        <v>5</v>
      </c>
      <c r="S221" t="str">
        <f>IF(OR(R221&lt;0,R221&gt;100),"invalid","Valid")</f>
        <v>Valid</v>
      </c>
      <c r="T221" t="s">
        <v>77</v>
      </c>
      <c r="U221" t="str">
        <f>PROPER(TRIM(T221))</f>
        <v>Cash</v>
      </c>
      <c r="V221" t="s">
        <v>41</v>
      </c>
      <c r="W221" t="str">
        <f t="shared" si="6"/>
        <v>Chi</v>
      </c>
      <c r="X221" t="s">
        <v>82</v>
      </c>
      <c r="Y221">
        <v>4</v>
      </c>
      <c r="Z221" t="str">
        <f>IF(D221="", "Missing", "ok")</f>
        <v>ok</v>
      </c>
      <c r="AA221">
        <f t="shared" si="7"/>
        <v>345.49599999999998</v>
      </c>
    </row>
    <row r="222" spans="1:27" x14ac:dyDescent="0.25">
      <c r="A222" t="s">
        <v>681</v>
      </c>
      <c r="B222" s="1" t="s">
        <v>682</v>
      </c>
      <c r="C222" t="s">
        <v>683</v>
      </c>
      <c r="D222" t="s">
        <v>63</v>
      </c>
      <c r="E222" t="str">
        <f>PROPER(TRIM(D222))</f>
        <v>John</v>
      </c>
      <c r="F222" t="s">
        <v>46</v>
      </c>
      <c r="G222">
        <v>130</v>
      </c>
      <c r="H222" t="str">
        <f>IF(AND(G222&gt;18, G222&lt;65), "Valid", "Invalid")</f>
        <v>Invalid</v>
      </c>
      <c r="I222" t="s">
        <v>86</v>
      </c>
      <c r="J222" t="str">
        <f>PROPER(TRIM(I222))</f>
        <v>Kano</v>
      </c>
      <c r="K222" t="s">
        <v>54</v>
      </c>
      <c r="L222" t="str">
        <f>PROPER(TRIM(K222))</f>
        <v>Home</v>
      </c>
      <c r="M222" t="s">
        <v>55</v>
      </c>
      <c r="N222" t="str">
        <f>PROPER(TRIM(M222))</f>
        <v>Chair</v>
      </c>
      <c r="O222">
        <v>157.32</v>
      </c>
      <c r="P222">
        <v>-2</v>
      </c>
      <c r="Q222">
        <f>IF(P222&lt;1, 1, P222)</f>
        <v>1</v>
      </c>
      <c r="R222">
        <v>10</v>
      </c>
      <c r="S222" t="str">
        <f>IF(OR(R222&lt;0,R222&gt;100),"invalid","Valid")</f>
        <v>Valid</v>
      </c>
      <c r="T222" t="s">
        <v>77</v>
      </c>
      <c r="U222" t="str">
        <f>PROPER(TRIM(T222))</f>
        <v>Cash</v>
      </c>
      <c r="V222" t="s">
        <v>81</v>
      </c>
      <c r="W222" t="str">
        <f t="shared" si="6"/>
        <v>Ada</v>
      </c>
      <c r="X222" t="s">
        <v>26</v>
      </c>
      <c r="Y222">
        <v>5</v>
      </c>
      <c r="Z222" t="str">
        <f>IF(D222="", "Missing", "ok")</f>
        <v>ok</v>
      </c>
      <c r="AA222">
        <f t="shared" si="7"/>
        <v>141.58799999999999</v>
      </c>
    </row>
    <row r="223" spans="1:27" x14ac:dyDescent="0.25">
      <c r="A223" t="s">
        <v>684</v>
      </c>
      <c r="B223" s="1" t="s">
        <v>467</v>
      </c>
      <c r="C223" t="s">
        <v>685</v>
      </c>
      <c r="D223" t="s">
        <v>45</v>
      </c>
      <c r="E223" t="str">
        <f>PROPER(TRIM(D223))</f>
        <v>James</v>
      </c>
      <c r="F223" t="s">
        <v>46</v>
      </c>
      <c r="G223">
        <v>130</v>
      </c>
      <c r="H223" t="str">
        <f>IF(AND(G223&gt;18, G223&lt;65), "Valid", "Invalid")</f>
        <v>Invalid</v>
      </c>
      <c r="I223" t="s">
        <v>53</v>
      </c>
      <c r="J223" t="str">
        <f>PROPER(TRIM(I223))</f>
        <v>Lagos</v>
      </c>
      <c r="K223" t="s">
        <v>48</v>
      </c>
      <c r="L223" t="str">
        <f>PROPER(TRIM(K223))</f>
        <v>Groceries</v>
      </c>
      <c r="M223" t="s">
        <v>49</v>
      </c>
      <c r="N223" t="str">
        <f>PROPER(TRIM(M223))</f>
        <v>Rice</v>
      </c>
      <c r="O223">
        <v>304.22000000000003</v>
      </c>
      <c r="P223">
        <v>7</v>
      </c>
      <c r="Q223">
        <f>IF(P223&lt;1, 1, P223)</f>
        <v>7</v>
      </c>
      <c r="R223">
        <v>120</v>
      </c>
      <c r="S223" t="str">
        <f>IF(OR(R223&lt;0,R223&gt;100),"invalid","Valid")</f>
        <v>invalid</v>
      </c>
      <c r="T223" t="s">
        <v>59</v>
      </c>
      <c r="U223" t="str">
        <f>PROPER(TRIM(T223))</f>
        <v>Mobile Money</v>
      </c>
      <c r="V223" t="s">
        <v>41</v>
      </c>
      <c r="W223" t="str">
        <f t="shared" si="6"/>
        <v>Chi</v>
      </c>
      <c r="X223" t="s">
        <v>82</v>
      </c>
      <c r="Z223" t="str">
        <f>IF(D223="", "Missing", "ok")</f>
        <v>ok</v>
      </c>
      <c r="AA223">
        <f t="shared" si="7"/>
        <v>-425.9079999999999</v>
      </c>
    </row>
    <row r="224" spans="1:27" x14ac:dyDescent="0.25">
      <c r="A224" t="s">
        <v>686</v>
      </c>
      <c r="B224" s="1" t="s">
        <v>687</v>
      </c>
      <c r="C224" t="s">
        <v>688</v>
      </c>
      <c r="D224" t="s">
        <v>69</v>
      </c>
      <c r="E224" t="str">
        <f>PROPER(TRIM(D224))</f>
        <v>Mary</v>
      </c>
      <c r="F224" t="s">
        <v>46</v>
      </c>
      <c r="G224">
        <v>130</v>
      </c>
      <c r="H224" t="str">
        <f>IF(AND(G224&gt;18, G224&lt;65), "Valid", "Invalid")</f>
        <v>Invalid</v>
      </c>
      <c r="I224" t="s">
        <v>38</v>
      </c>
      <c r="J224" t="str">
        <f>PROPER(TRIM(I224))</f>
        <v>Ph</v>
      </c>
      <c r="K224" t="s">
        <v>39</v>
      </c>
      <c r="L224" t="str">
        <f>PROPER(TRIM(K224))</f>
        <v>Electronics</v>
      </c>
      <c r="M224" t="s">
        <v>40</v>
      </c>
      <c r="N224" t="str">
        <f>PROPER(TRIM(M224))</f>
        <v>Phone</v>
      </c>
      <c r="O224">
        <v>415.65</v>
      </c>
      <c r="P224">
        <v>-2</v>
      </c>
      <c r="Q224">
        <f>IF(P224&lt;1, 1, P224)</f>
        <v>1</v>
      </c>
      <c r="R224">
        <v>5</v>
      </c>
      <c r="S224" t="str">
        <f>IF(OR(R224&lt;0,R224&gt;100),"invalid","Valid")</f>
        <v>Valid</v>
      </c>
      <c r="T224" t="s">
        <v>24</v>
      </c>
      <c r="U224" t="str">
        <f>PROPER(TRIM(T224))</f>
        <v>Pos</v>
      </c>
      <c r="V224" t="s">
        <v>81</v>
      </c>
      <c r="W224" t="str">
        <f t="shared" si="6"/>
        <v>Ada</v>
      </c>
      <c r="X224" t="s">
        <v>65</v>
      </c>
      <c r="Y224">
        <v>5</v>
      </c>
      <c r="Z224" t="str">
        <f>IF(D224="", "Missing", "ok")</f>
        <v>ok</v>
      </c>
      <c r="AA224">
        <f t="shared" si="7"/>
        <v>394.86749999999995</v>
      </c>
    </row>
    <row r="225" spans="1:27" x14ac:dyDescent="0.25">
      <c r="A225" t="s">
        <v>689</v>
      </c>
      <c r="B225" s="1" t="s">
        <v>158</v>
      </c>
      <c r="C225" t="s">
        <v>690</v>
      </c>
      <c r="D225" t="s">
        <v>63</v>
      </c>
      <c r="E225" t="str">
        <f>PROPER(TRIM(D225))</f>
        <v>John</v>
      </c>
      <c r="F225" t="s">
        <v>46</v>
      </c>
      <c r="G225">
        <v>47</v>
      </c>
      <c r="H225" t="str">
        <f>IF(AND(G225&gt;18, G225&lt;65), "Valid", "Invalid")</f>
        <v>Valid</v>
      </c>
      <c r="I225" t="s">
        <v>21</v>
      </c>
      <c r="J225" t="str">
        <f>PROPER(TRIM(I225))</f>
        <v>Lagos</v>
      </c>
      <c r="K225" t="s">
        <v>54</v>
      </c>
      <c r="L225" t="str">
        <f>PROPER(TRIM(K225))</f>
        <v>Home</v>
      </c>
      <c r="M225" t="s">
        <v>55</v>
      </c>
      <c r="N225" t="str">
        <f>PROPER(TRIM(M225))</f>
        <v>Chair</v>
      </c>
      <c r="O225">
        <v>149.13999999999999</v>
      </c>
      <c r="P225">
        <v>-2</v>
      </c>
      <c r="Q225">
        <f>IF(P225&lt;1, 1, P225)</f>
        <v>1</v>
      </c>
      <c r="R225">
        <v>15</v>
      </c>
      <c r="S225" t="str">
        <f>IF(OR(R225&lt;0,R225&gt;100),"invalid","Valid")</f>
        <v>Valid</v>
      </c>
      <c r="T225" t="s">
        <v>59</v>
      </c>
      <c r="U225" t="str">
        <f>PROPER(TRIM(T225))</f>
        <v>Mobile Money</v>
      </c>
      <c r="V225" t="s">
        <v>25</v>
      </c>
      <c r="W225" t="str">
        <f t="shared" si="6"/>
        <v>Dan</v>
      </c>
      <c r="X225" t="s">
        <v>26</v>
      </c>
      <c r="Y225">
        <v>3</v>
      </c>
      <c r="Z225" t="str">
        <f>IF(D225="", "Missing", "ok")</f>
        <v>ok</v>
      </c>
      <c r="AA225">
        <f t="shared" si="7"/>
        <v>126.76899999999999</v>
      </c>
    </row>
    <row r="226" spans="1:27" x14ac:dyDescent="0.25">
      <c r="A226" t="s">
        <v>691</v>
      </c>
      <c r="B226" s="1" t="s">
        <v>692</v>
      </c>
      <c r="C226" t="s">
        <v>693</v>
      </c>
      <c r="D226" t="s">
        <v>117</v>
      </c>
      <c r="E226" t="str">
        <f>PROPER(TRIM(D226))</f>
        <v>David</v>
      </c>
      <c r="F226" t="s">
        <v>46</v>
      </c>
      <c r="G226">
        <v>130</v>
      </c>
      <c r="H226" t="str">
        <f>IF(AND(G226&gt;18, G226&lt;65), "Valid", "Invalid")</f>
        <v>Invalid</v>
      </c>
      <c r="I226" t="s">
        <v>30</v>
      </c>
      <c r="J226" t="str">
        <f>PROPER(TRIM(I226))</f>
        <v>Lagos</v>
      </c>
      <c r="K226" t="s">
        <v>39</v>
      </c>
      <c r="L226" t="str">
        <f>PROPER(TRIM(K226))</f>
        <v>Electronics</v>
      </c>
      <c r="M226" t="s">
        <v>40</v>
      </c>
      <c r="N226" t="str">
        <f>PROPER(TRIM(M226))</f>
        <v>Phone</v>
      </c>
      <c r="O226">
        <v>383.69</v>
      </c>
      <c r="P226">
        <v>6</v>
      </c>
      <c r="Q226">
        <f>IF(P226&lt;1, 1, P226)</f>
        <v>6</v>
      </c>
      <c r="R226">
        <v>15</v>
      </c>
      <c r="S226" t="str">
        <f>IF(OR(R226&lt;0,R226&gt;100),"invalid","Valid")</f>
        <v>Valid</v>
      </c>
      <c r="T226" t="s">
        <v>24</v>
      </c>
      <c r="U226" t="str">
        <f>PROPER(TRIM(T226))</f>
        <v>Pos</v>
      </c>
      <c r="V226" t="s">
        <v>91</v>
      </c>
      <c r="W226" t="str">
        <f t="shared" si="6"/>
        <v>Ben</v>
      </c>
      <c r="X226" t="s">
        <v>82</v>
      </c>
      <c r="Y226">
        <v>4</v>
      </c>
      <c r="Z226" t="str">
        <f>IF(D226="", "Missing", "ok")</f>
        <v>ok</v>
      </c>
      <c r="AA226">
        <f t="shared" si="7"/>
        <v>1956.8189999999997</v>
      </c>
    </row>
    <row r="227" spans="1:27" x14ac:dyDescent="0.25">
      <c r="A227" t="s">
        <v>694</v>
      </c>
      <c r="B227" s="1" t="s">
        <v>695</v>
      </c>
      <c r="C227" t="s">
        <v>696</v>
      </c>
      <c r="D227" t="s">
        <v>63</v>
      </c>
      <c r="E227" t="str">
        <f>PROPER(TRIM(D227))</f>
        <v>John</v>
      </c>
      <c r="F227" t="s">
        <v>20</v>
      </c>
      <c r="G227">
        <v>8</v>
      </c>
      <c r="H227" t="str">
        <f>IF(AND(G227&gt;18, G227&lt;65), "Valid", "Invalid")</f>
        <v>Invalid</v>
      </c>
      <c r="I227" t="s">
        <v>53</v>
      </c>
      <c r="J227" t="str">
        <f>PROPER(TRIM(I227))</f>
        <v>Lagos</v>
      </c>
      <c r="K227" t="s">
        <v>87</v>
      </c>
      <c r="L227" t="str">
        <f>PROPER(TRIM(K227))</f>
        <v>Groceris</v>
      </c>
      <c r="M227" t="s">
        <v>49</v>
      </c>
      <c r="N227" t="str">
        <f>PROPER(TRIM(M227))</f>
        <v>Rice</v>
      </c>
      <c r="O227">
        <v>449.22</v>
      </c>
      <c r="P227">
        <v>-2</v>
      </c>
      <c r="Q227">
        <f>IF(P227&lt;1, 1, P227)</f>
        <v>1</v>
      </c>
      <c r="R227">
        <v>0</v>
      </c>
      <c r="S227" t="str">
        <f>IF(OR(R227&lt;0,R227&gt;100),"invalid","Valid")</f>
        <v>Valid</v>
      </c>
      <c r="T227" t="s">
        <v>64</v>
      </c>
      <c r="U227" t="str">
        <f>PROPER(TRIM(T227))</f>
        <v>Transfer</v>
      </c>
      <c r="V227" t="s">
        <v>81</v>
      </c>
      <c r="W227" t="str">
        <f t="shared" si="6"/>
        <v>Ada</v>
      </c>
      <c r="X227" t="s">
        <v>33</v>
      </c>
      <c r="Y227">
        <v>4</v>
      </c>
      <c r="Z227" t="str">
        <f>IF(D227="", "Missing", "ok")</f>
        <v>ok</v>
      </c>
      <c r="AA227">
        <f t="shared" si="7"/>
        <v>449.22</v>
      </c>
    </row>
    <row r="228" spans="1:27" x14ac:dyDescent="0.25">
      <c r="A228" t="s">
        <v>697</v>
      </c>
      <c r="B228" s="1" t="s">
        <v>698</v>
      </c>
      <c r="C228" t="s">
        <v>699</v>
      </c>
      <c r="D228" t="s">
        <v>37</v>
      </c>
      <c r="E228" t="str">
        <f>PROPER(TRIM(D228))</f>
        <v>Aisha</v>
      </c>
      <c r="F228" t="s">
        <v>46</v>
      </c>
      <c r="G228">
        <v>22</v>
      </c>
      <c r="H228" t="str">
        <f>IF(AND(G228&gt;18, G228&lt;65), "Valid", "Invalid")</f>
        <v>Valid</v>
      </c>
      <c r="I228" t="s">
        <v>53</v>
      </c>
      <c r="J228" t="str">
        <f>PROPER(TRIM(I228))</f>
        <v>Lagos</v>
      </c>
      <c r="K228" t="s">
        <v>22</v>
      </c>
      <c r="L228" t="str">
        <f>PROPER(TRIM(K228))</f>
        <v>Fashion</v>
      </c>
      <c r="M228" t="s">
        <v>23</v>
      </c>
      <c r="N228" t="str">
        <f>PROPER(TRIM(M228))</f>
        <v>Shirt</v>
      </c>
      <c r="O228">
        <v>409.08</v>
      </c>
      <c r="P228">
        <v>-2</v>
      </c>
      <c r="Q228">
        <f>IF(P228&lt;1, 1, P228)</f>
        <v>1</v>
      </c>
      <c r="R228">
        <v>15</v>
      </c>
      <c r="S228" t="str">
        <f>IF(OR(R228&lt;0,R228&gt;100),"invalid","Valid")</f>
        <v>Valid</v>
      </c>
      <c r="T228" t="s">
        <v>77</v>
      </c>
      <c r="U228" t="str">
        <f>PROPER(TRIM(T228))</f>
        <v>Cash</v>
      </c>
      <c r="V228" t="s">
        <v>91</v>
      </c>
      <c r="W228" t="str">
        <f t="shared" si="6"/>
        <v>Ben</v>
      </c>
      <c r="X228" t="s">
        <v>82</v>
      </c>
      <c r="Y228">
        <v>5</v>
      </c>
      <c r="Z228" t="str">
        <f>IF(D228="", "Missing", "ok")</f>
        <v>ok</v>
      </c>
      <c r="AA228">
        <f t="shared" si="7"/>
        <v>347.71799999999996</v>
      </c>
    </row>
    <row r="229" spans="1:27" x14ac:dyDescent="0.25">
      <c r="A229" t="s">
        <v>700</v>
      </c>
      <c r="B229" s="1" t="s">
        <v>294</v>
      </c>
      <c r="C229" t="s">
        <v>701</v>
      </c>
      <c r="D229" t="s">
        <v>69</v>
      </c>
      <c r="E229" t="str">
        <f>PROPER(TRIM(D229))</f>
        <v>Mary</v>
      </c>
      <c r="F229" t="s">
        <v>46</v>
      </c>
      <c r="G229">
        <v>61</v>
      </c>
      <c r="H229" t="str">
        <f>IF(AND(G229&gt;18, G229&lt;65), "Valid", "Invalid")</f>
        <v>Valid</v>
      </c>
      <c r="I229" t="s">
        <v>53</v>
      </c>
      <c r="J229" t="str">
        <f>PROPER(TRIM(I229))</f>
        <v>Lagos</v>
      </c>
      <c r="K229" t="s">
        <v>22</v>
      </c>
      <c r="L229" t="str">
        <f>PROPER(TRIM(K229))</f>
        <v>Fashion</v>
      </c>
      <c r="M229" t="s">
        <v>23</v>
      </c>
      <c r="N229" t="str">
        <f>PROPER(TRIM(M229))</f>
        <v>Shirt</v>
      </c>
      <c r="O229">
        <v>220.85</v>
      </c>
      <c r="P229">
        <v>9</v>
      </c>
      <c r="Q229">
        <f>IF(P229&lt;1, 1, P229)</f>
        <v>9</v>
      </c>
      <c r="R229">
        <v>5</v>
      </c>
      <c r="S229" t="str">
        <f>IF(OR(R229&lt;0,R229&gt;100),"invalid","Valid")</f>
        <v>Valid</v>
      </c>
      <c r="T229" t="s">
        <v>24</v>
      </c>
      <c r="U229" t="str">
        <f>PROPER(TRIM(T229))</f>
        <v>Pos</v>
      </c>
      <c r="V229" t="s">
        <v>91</v>
      </c>
      <c r="W229" t="str">
        <f t="shared" si="6"/>
        <v>Ben</v>
      </c>
      <c r="X229" t="s">
        <v>82</v>
      </c>
      <c r="Y229">
        <v>5</v>
      </c>
      <c r="Z229" t="str">
        <f>IF(D229="", "Missing", "ok")</f>
        <v>ok</v>
      </c>
      <c r="AA229">
        <f t="shared" si="7"/>
        <v>1888.2674999999997</v>
      </c>
    </row>
    <row r="230" spans="1:27" x14ac:dyDescent="0.25">
      <c r="A230" t="s">
        <v>702</v>
      </c>
      <c r="B230" s="1" t="s">
        <v>703</v>
      </c>
      <c r="C230" t="s">
        <v>704</v>
      </c>
      <c r="D230" t="s">
        <v>117</v>
      </c>
      <c r="E230" t="str">
        <f>PROPER(TRIM(D230))</f>
        <v>David</v>
      </c>
      <c r="F230" t="s">
        <v>46</v>
      </c>
      <c r="G230">
        <v>8</v>
      </c>
      <c r="H230" t="str">
        <f>IF(AND(G230&gt;18, G230&lt;65), "Valid", "Invalid")</f>
        <v>Invalid</v>
      </c>
      <c r="I230" t="s">
        <v>70</v>
      </c>
      <c r="J230" t="str">
        <f>PROPER(TRIM(I230))</f>
        <v>Abuja</v>
      </c>
      <c r="K230" t="s">
        <v>48</v>
      </c>
      <c r="L230" t="str">
        <f>PROPER(TRIM(K230))</f>
        <v>Groceries</v>
      </c>
      <c r="M230" t="s">
        <v>49</v>
      </c>
      <c r="N230" t="str">
        <f>PROPER(TRIM(M230))</f>
        <v>Rice</v>
      </c>
      <c r="O230">
        <v>56.27</v>
      </c>
      <c r="P230">
        <v>10</v>
      </c>
      <c r="Q230">
        <f>IF(P230&lt;1, 1, P230)</f>
        <v>10</v>
      </c>
      <c r="R230">
        <v>0</v>
      </c>
      <c r="S230" t="str">
        <f>IF(OR(R230&lt;0,R230&gt;100),"invalid","Valid")</f>
        <v>Valid</v>
      </c>
      <c r="T230" t="s">
        <v>59</v>
      </c>
      <c r="U230" t="str">
        <f>PROPER(TRIM(T230))</f>
        <v>Mobile Money</v>
      </c>
      <c r="V230" t="s">
        <v>91</v>
      </c>
      <c r="W230" t="str">
        <f t="shared" si="6"/>
        <v>Ben</v>
      </c>
      <c r="X230" t="s">
        <v>65</v>
      </c>
      <c r="Y230">
        <v>3</v>
      </c>
      <c r="Z230" t="str">
        <f>IF(D230="", "Missing", "ok")</f>
        <v>ok</v>
      </c>
      <c r="AA230">
        <f t="shared" si="7"/>
        <v>562.70000000000005</v>
      </c>
    </row>
    <row r="231" spans="1:27" x14ac:dyDescent="0.25">
      <c r="A231" t="s">
        <v>705</v>
      </c>
      <c r="B231" s="1" t="s">
        <v>258</v>
      </c>
      <c r="C231" t="s">
        <v>706</v>
      </c>
      <c r="D231" t="s">
        <v>101</v>
      </c>
      <c r="E231" t="str">
        <f>PROPER(TRIM(D231))</f>
        <v>Grace</v>
      </c>
      <c r="F231" t="s">
        <v>46</v>
      </c>
      <c r="G231">
        <v>22</v>
      </c>
      <c r="H231" t="str">
        <f>IF(AND(G231&gt;18, G231&lt;65), "Valid", "Invalid")</f>
        <v>Valid</v>
      </c>
      <c r="I231" t="s">
        <v>70</v>
      </c>
      <c r="J231" t="str">
        <f>PROPER(TRIM(I231))</f>
        <v>Abuja</v>
      </c>
      <c r="K231" t="s">
        <v>22</v>
      </c>
      <c r="L231" t="str">
        <f>PROPER(TRIM(K231))</f>
        <v>Fashion</v>
      </c>
      <c r="M231" t="s">
        <v>23</v>
      </c>
      <c r="N231" t="str">
        <f>PROPER(TRIM(M231))</f>
        <v>Shirt</v>
      </c>
      <c r="O231">
        <v>497.24</v>
      </c>
      <c r="P231">
        <v>-2</v>
      </c>
      <c r="Q231">
        <f>IF(P231&lt;1, 1, P231)</f>
        <v>1</v>
      </c>
      <c r="R231">
        <v>0</v>
      </c>
      <c r="S231" t="str">
        <f>IF(OR(R231&lt;0,R231&gt;100),"invalid","Valid")</f>
        <v>Valid</v>
      </c>
      <c r="T231" t="s">
        <v>64</v>
      </c>
      <c r="U231" t="str">
        <f>PROPER(TRIM(T231))</f>
        <v>Transfer</v>
      </c>
      <c r="V231" t="s">
        <v>81</v>
      </c>
      <c r="W231" t="str">
        <f t="shared" si="6"/>
        <v>Ada</v>
      </c>
      <c r="X231" t="s">
        <v>65</v>
      </c>
      <c r="Y231">
        <v>4</v>
      </c>
      <c r="Z231" t="str">
        <f>IF(D231="", "Missing", "ok")</f>
        <v>ok</v>
      </c>
      <c r="AA231">
        <f t="shared" si="7"/>
        <v>497.24</v>
      </c>
    </row>
    <row r="232" spans="1:27" x14ac:dyDescent="0.25">
      <c r="A232" t="s">
        <v>707</v>
      </c>
      <c r="B232" s="1" t="s">
        <v>708</v>
      </c>
      <c r="C232" t="s">
        <v>709</v>
      </c>
      <c r="D232" t="s">
        <v>37</v>
      </c>
      <c r="E232" t="str">
        <f>PROPER(TRIM(D232))</f>
        <v>Aisha</v>
      </c>
      <c r="F232" t="s">
        <v>20</v>
      </c>
      <c r="G232">
        <v>56</v>
      </c>
      <c r="H232" t="str">
        <f>IF(AND(G232&gt;18, G232&lt;65), "Valid", "Invalid")</f>
        <v>Valid</v>
      </c>
      <c r="I232" t="s">
        <v>86</v>
      </c>
      <c r="J232" t="str">
        <f>PROPER(TRIM(I232))</f>
        <v>Kano</v>
      </c>
      <c r="K232" t="s">
        <v>54</v>
      </c>
      <c r="L232" t="str">
        <f>PROPER(TRIM(K232))</f>
        <v>Home</v>
      </c>
      <c r="M232" t="s">
        <v>55</v>
      </c>
      <c r="N232" t="str">
        <f>PROPER(TRIM(M232))</f>
        <v>Chair</v>
      </c>
      <c r="O232">
        <v>243.22</v>
      </c>
      <c r="P232">
        <v>3</v>
      </c>
      <c r="Q232">
        <f>IF(P232&lt;1, 1, P232)</f>
        <v>3</v>
      </c>
      <c r="R232">
        <v>-10</v>
      </c>
      <c r="S232" t="str">
        <f>IF(OR(R232&lt;0,R232&gt;100),"invalid","Valid")</f>
        <v>invalid</v>
      </c>
      <c r="T232" t="s">
        <v>77</v>
      </c>
      <c r="U232" t="str">
        <f>PROPER(TRIM(T232))</f>
        <v>Cash</v>
      </c>
      <c r="V232" t="s">
        <v>81</v>
      </c>
      <c r="W232" t="str">
        <f t="shared" si="6"/>
        <v>Ada</v>
      </c>
      <c r="X232" t="s">
        <v>82</v>
      </c>
      <c r="Y232">
        <v>2</v>
      </c>
      <c r="Z232" t="str">
        <f>IF(D232="", "Missing", "ok")</f>
        <v>ok</v>
      </c>
      <c r="AA232">
        <f t="shared" si="7"/>
        <v>802.62599999999998</v>
      </c>
    </row>
    <row r="233" spans="1:27" x14ac:dyDescent="0.25">
      <c r="A233" t="s">
        <v>710</v>
      </c>
      <c r="B233" s="1" t="s">
        <v>711</v>
      </c>
      <c r="C233" t="s">
        <v>712</v>
      </c>
      <c r="D233" t="s">
        <v>63</v>
      </c>
      <c r="E233" t="str">
        <f>PROPER(TRIM(D233))</f>
        <v>John</v>
      </c>
      <c r="F233" t="s">
        <v>20</v>
      </c>
      <c r="G233">
        <v>8</v>
      </c>
      <c r="H233" t="str">
        <f>IF(AND(G233&gt;18, G233&lt;65), "Valid", "Invalid")</f>
        <v>Invalid</v>
      </c>
      <c r="I233" t="s">
        <v>38</v>
      </c>
      <c r="J233" t="str">
        <f>PROPER(TRIM(I233))</f>
        <v>Ph</v>
      </c>
      <c r="K233" t="s">
        <v>39</v>
      </c>
      <c r="L233" t="str">
        <f>PROPER(TRIM(K233))</f>
        <v>Electronics</v>
      </c>
      <c r="M233" t="s">
        <v>40</v>
      </c>
      <c r="N233" t="str">
        <f>PROPER(TRIM(M233))</f>
        <v>Phone</v>
      </c>
      <c r="O233">
        <v>391</v>
      </c>
      <c r="P233">
        <v>5</v>
      </c>
      <c r="Q233">
        <f>IF(P233&lt;1, 1, P233)</f>
        <v>5</v>
      </c>
      <c r="R233">
        <v>15</v>
      </c>
      <c r="S233" t="str">
        <f>IF(OR(R233&lt;0,R233&gt;100),"invalid","Valid")</f>
        <v>Valid</v>
      </c>
      <c r="U233" t="str">
        <f>PROPER(TRIM(T233))</f>
        <v/>
      </c>
      <c r="V233" t="s">
        <v>91</v>
      </c>
      <c r="W233" t="str">
        <f t="shared" si="6"/>
        <v>Ben</v>
      </c>
      <c r="X233" t="s">
        <v>26</v>
      </c>
      <c r="Y233">
        <v>4</v>
      </c>
      <c r="Z233" t="str">
        <f>IF(D233="", "Missing", "ok")</f>
        <v>ok</v>
      </c>
      <c r="AA233">
        <f t="shared" si="7"/>
        <v>1661.75</v>
      </c>
    </row>
    <row r="234" spans="1:27" x14ac:dyDescent="0.25">
      <c r="A234" t="s">
        <v>713</v>
      </c>
      <c r="B234" s="1" t="s">
        <v>641</v>
      </c>
      <c r="C234" t="s">
        <v>714</v>
      </c>
      <c r="D234" t="s">
        <v>101</v>
      </c>
      <c r="E234" t="str">
        <f>PROPER(TRIM(D234))</f>
        <v>Grace</v>
      </c>
      <c r="F234" t="s">
        <v>46</v>
      </c>
      <c r="G234">
        <v>8</v>
      </c>
      <c r="H234" t="str">
        <f>IF(AND(G234&gt;18, G234&lt;65), "Valid", "Invalid")</f>
        <v>Invalid</v>
      </c>
      <c r="I234" t="s">
        <v>38</v>
      </c>
      <c r="J234" t="str">
        <f>PROPER(TRIM(I234))</f>
        <v>Ph</v>
      </c>
      <c r="K234" t="s">
        <v>39</v>
      </c>
      <c r="L234" t="str">
        <f>PROPER(TRIM(K234))</f>
        <v>Electronics</v>
      </c>
      <c r="M234" t="s">
        <v>40</v>
      </c>
      <c r="N234" t="str">
        <f>PROPER(TRIM(M234))</f>
        <v>Phone</v>
      </c>
      <c r="O234">
        <v>471.86</v>
      </c>
      <c r="P234">
        <v>10</v>
      </c>
      <c r="Q234">
        <f>IF(P234&lt;1, 1, P234)</f>
        <v>10</v>
      </c>
      <c r="R234">
        <v>15</v>
      </c>
      <c r="S234" t="str">
        <f>IF(OR(R234&lt;0,R234&gt;100),"invalid","Valid")</f>
        <v>Valid</v>
      </c>
      <c r="U234" t="str">
        <f>PROPER(TRIM(T234))</f>
        <v/>
      </c>
      <c r="V234" t="s">
        <v>25</v>
      </c>
      <c r="W234" t="str">
        <f t="shared" si="6"/>
        <v>Dan</v>
      </c>
      <c r="X234" t="s">
        <v>33</v>
      </c>
      <c r="Y234">
        <v>3</v>
      </c>
      <c r="Z234" t="str">
        <f>IF(D234="", "Missing", "ok")</f>
        <v>ok</v>
      </c>
      <c r="AA234">
        <f t="shared" si="7"/>
        <v>4010.8100000000004</v>
      </c>
    </row>
    <row r="235" spans="1:27" x14ac:dyDescent="0.25">
      <c r="A235" t="s">
        <v>715</v>
      </c>
      <c r="B235" s="1" t="s">
        <v>235</v>
      </c>
      <c r="C235" t="s">
        <v>539</v>
      </c>
      <c r="D235" t="s">
        <v>117</v>
      </c>
      <c r="E235" t="str">
        <f>PROPER(TRIM(D235))</f>
        <v>David</v>
      </c>
      <c r="F235" t="s">
        <v>46</v>
      </c>
      <c r="G235">
        <v>8</v>
      </c>
      <c r="H235" t="str">
        <f>IF(AND(G235&gt;18, G235&lt;65), "Valid", "Invalid")</f>
        <v>Invalid</v>
      </c>
      <c r="I235" t="s">
        <v>38</v>
      </c>
      <c r="J235" t="str">
        <f>PROPER(TRIM(I235))</f>
        <v>Ph</v>
      </c>
      <c r="K235" t="s">
        <v>54</v>
      </c>
      <c r="L235" t="str">
        <f>PROPER(TRIM(K235))</f>
        <v>Home</v>
      </c>
      <c r="M235" t="s">
        <v>55</v>
      </c>
      <c r="N235" t="str">
        <f>PROPER(TRIM(M235))</f>
        <v>Chair</v>
      </c>
      <c r="O235">
        <v>56.21</v>
      </c>
      <c r="P235">
        <v>-2</v>
      </c>
      <c r="Q235">
        <f>IF(P235&lt;1, 1, P235)</f>
        <v>1</v>
      </c>
      <c r="R235">
        <v>0</v>
      </c>
      <c r="S235" t="str">
        <f>IF(OR(R235&lt;0,R235&gt;100),"invalid","Valid")</f>
        <v>Valid</v>
      </c>
      <c r="U235" t="str">
        <f>PROPER(TRIM(T235))</f>
        <v/>
      </c>
      <c r="V235" t="s">
        <v>41</v>
      </c>
      <c r="W235" t="str">
        <f t="shared" si="6"/>
        <v>Chi</v>
      </c>
      <c r="X235" t="s">
        <v>65</v>
      </c>
      <c r="Y235">
        <v>2</v>
      </c>
      <c r="Z235" t="str">
        <f>IF(D235="", "Missing", "ok")</f>
        <v>ok</v>
      </c>
      <c r="AA235">
        <f t="shared" si="7"/>
        <v>56.21</v>
      </c>
    </row>
    <row r="236" spans="1:27" x14ac:dyDescent="0.25">
      <c r="A236" t="s">
        <v>716</v>
      </c>
      <c r="B236" s="1" t="s">
        <v>51</v>
      </c>
      <c r="C236" t="s">
        <v>717</v>
      </c>
      <c r="D236" t="s">
        <v>117</v>
      </c>
      <c r="E236" t="str">
        <f>PROPER(TRIM(D236))</f>
        <v>David</v>
      </c>
      <c r="F236" t="s">
        <v>46</v>
      </c>
      <c r="G236">
        <v>130</v>
      </c>
      <c r="H236" t="str">
        <f>IF(AND(G236&gt;18, G236&lt;65), "Valid", "Invalid")</f>
        <v>Invalid</v>
      </c>
      <c r="I236" t="s">
        <v>86</v>
      </c>
      <c r="J236" t="str">
        <f>PROPER(TRIM(I236))</f>
        <v>Kano</v>
      </c>
      <c r="K236" t="s">
        <v>54</v>
      </c>
      <c r="L236" t="str">
        <f>PROPER(TRIM(K236))</f>
        <v>Home</v>
      </c>
      <c r="M236" t="s">
        <v>55</v>
      </c>
      <c r="N236" t="str">
        <f>PROPER(TRIM(M236))</f>
        <v>Chair</v>
      </c>
      <c r="O236">
        <v>104.55</v>
      </c>
      <c r="P236">
        <v>10</v>
      </c>
      <c r="Q236">
        <f>IF(P236&lt;1, 1, P236)</f>
        <v>10</v>
      </c>
      <c r="R236">
        <v>-10</v>
      </c>
      <c r="S236" t="str">
        <f>IF(OR(R236&lt;0,R236&gt;100),"invalid","Valid")</f>
        <v>invalid</v>
      </c>
      <c r="U236" t="str">
        <f>PROPER(TRIM(T236))</f>
        <v/>
      </c>
      <c r="V236" t="s">
        <v>25</v>
      </c>
      <c r="W236" t="str">
        <f t="shared" si="6"/>
        <v>Dan</v>
      </c>
      <c r="X236" t="s">
        <v>33</v>
      </c>
      <c r="Y236">
        <v>2</v>
      </c>
      <c r="Z236" t="str">
        <f>IF(D236="", "Missing", "ok")</f>
        <v>ok</v>
      </c>
      <c r="AA236">
        <f t="shared" si="7"/>
        <v>1150.0500000000002</v>
      </c>
    </row>
    <row r="237" spans="1:27" x14ac:dyDescent="0.25">
      <c r="A237" t="s">
        <v>718</v>
      </c>
      <c r="B237" s="1" t="s">
        <v>719</v>
      </c>
      <c r="C237" t="s">
        <v>720</v>
      </c>
      <c r="D237" t="s">
        <v>101</v>
      </c>
      <c r="E237" t="str">
        <f>PROPER(TRIM(D237))</f>
        <v>Grace</v>
      </c>
      <c r="F237" t="s">
        <v>20</v>
      </c>
      <c r="G237">
        <v>8</v>
      </c>
      <c r="H237" t="str">
        <f>IF(AND(G237&gt;18, G237&lt;65), "Valid", "Invalid")</f>
        <v>Invalid</v>
      </c>
      <c r="I237" t="s">
        <v>30</v>
      </c>
      <c r="J237" t="str">
        <f>PROPER(TRIM(I237))</f>
        <v>Lagos</v>
      </c>
      <c r="K237" t="s">
        <v>87</v>
      </c>
      <c r="L237" t="str">
        <f>PROPER(TRIM(K237))</f>
        <v>Groceris</v>
      </c>
      <c r="M237" t="s">
        <v>49</v>
      </c>
      <c r="N237" t="str">
        <f>PROPER(TRIM(M237))</f>
        <v>Rice</v>
      </c>
      <c r="O237">
        <v>63.29</v>
      </c>
      <c r="P237">
        <v>9</v>
      </c>
      <c r="Q237">
        <f>IF(P237&lt;1, 1, P237)</f>
        <v>9</v>
      </c>
      <c r="R237">
        <v>10</v>
      </c>
      <c r="S237" t="str">
        <f>IF(OR(R237&lt;0,R237&gt;100),"invalid","Valid")</f>
        <v>Valid</v>
      </c>
      <c r="T237" t="s">
        <v>59</v>
      </c>
      <c r="U237" t="str">
        <f>PROPER(TRIM(T237))</f>
        <v>Mobile Money</v>
      </c>
      <c r="V237" t="s">
        <v>91</v>
      </c>
      <c r="W237" t="str">
        <f t="shared" si="6"/>
        <v>Ben</v>
      </c>
      <c r="X237" t="s">
        <v>26</v>
      </c>
      <c r="Y237">
        <v>1</v>
      </c>
      <c r="Z237" t="str">
        <f>IF(D237="", "Missing", "ok")</f>
        <v>ok</v>
      </c>
      <c r="AA237">
        <f t="shared" si="7"/>
        <v>512.649</v>
      </c>
    </row>
    <row r="238" spans="1:27" x14ac:dyDescent="0.25">
      <c r="A238" t="s">
        <v>721</v>
      </c>
      <c r="B238" s="1" t="s">
        <v>722</v>
      </c>
      <c r="C238" t="s">
        <v>723</v>
      </c>
      <c r="D238" t="s">
        <v>19</v>
      </c>
      <c r="E238" t="str">
        <f>PROPER(TRIM(D238))</f>
        <v>Peter</v>
      </c>
      <c r="F238" t="s">
        <v>20</v>
      </c>
      <c r="G238">
        <v>50</v>
      </c>
      <c r="H238" t="str">
        <f>IF(AND(G238&gt;18, G238&lt;65), "Valid", "Invalid")</f>
        <v>Valid</v>
      </c>
      <c r="I238" t="s">
        <v>86</v>
      </c>
      <c r="J238" t="str">
        <f>PROPER(TRIM(I238))</f>
        <v>Kano</v>
      </c>
      <c r="K238" t="s">
        <v>39</v>
      </c>
      <c r="L238" t="str">
        <f>PROPER(TRIM(K238))</f>
        <v>Electronics</v>
      </c>
      <c r="M238" t="s">
        <v>40</v>
      </c>
      <c r="N238" t="str">
        <f>PROPER(TRIM(M238))</f>
        <v>Phone</v>
      </c>
      <c r="O238">
        <v>437.51</v>
      </c>
      <c r="P238">
        <v>-2</v>
      </c>
      <c r="Q238">
        <f>IF(P238&lt;1, 1, P238)</f>
        <v>1</v>
      </c>
      <c r="R238">
        <v>5</v>
      </c>
      <c r="S238" t="str">
        <f>IF(OR(R238&lt;0,R238&gt;100),"invalid","Valid")</f>
        <v>Valid</v>
      </c>
      <c r="T238" t="s">
        <v>59</v>
      </c>
      <c r="U238" t="str">
        <f>PROPER(TRIM(T238))</f>
        <v>Mobile Money</v>
      </c>
      <c r="V238" t="s">
        <v>81</v>
      </c>
      <c r="W238" t="str">
        <f t="shared" si="6"/>
        <v>Ada</v>
      </c>
      <c r="X238" t="s">
        <v>33</v>
      </c>
      <c r="Z238" t="str">
        <f>IF(D238="", "Missing", "ok")</f>
        <v>ok</v>
      </c>
      <c r="AA238">
        <f t="shared" si="7"/>
        <v>415.63449999999995</v>
      </c>
    </row>
    <row r="239" spans="1:27" x14ac:dyDescent="0.25">
      <c r="A239" t="s">
        <v>724</v>
      </c>
      <c r="B239" s="1" t="s">
        <v>725</v>
      </c>
      <c r="C239" t="s">
        <v>726</v>
      </c>
      <c r="D239" t="s">
        <v>45</v>
      </c>
      <c r="E239" t="str">
        <f>PROPER(TRIM(D239))</f>
        <v>James</v>
      </c>
      <c r="F239" t="s">
        <v>46</v>
      </c>
      <c r="G239">
        <v>51</v>
      </c>
      <c r="H239" t="str">
        <f>IF(AND(G239&gt;18, G239&lt;65), "Valid", "Invalid")</f>
        <v>Valid</v>
      </c>
      <c r="I239" t="s">
        <v>30</v>
      </c>
      <c r="J239" t="str">
        <f>PROPER(TRIM(I239))</f>
        <v>Lagos</v>
      </c>
      <c r="K239" t="s">
        <v>22</v>
      </c>
      <c r="L239" t="str">
        <f>PROPER(TRIM(K239))</f>
        <v>Fashion</v>
      </c>
      <c r="M239" t="s">
        <v>23</v>
      </c>
      <c r="N239" t="str">
        <f>PROPER(TRIM(M239))</f>
        <v>Shirt</v>
      </c>
      <c r="O239">
        <v>197.02</v>
      </c>
      <c r="P239">
        <v>6</v>
      </c>
      <c r="Q239">
        <f>IF(P239&lt;1, 1, P239)</f>
        <v>6</v>
      </c>
      <c r="R239">
        <v>120</v>
      </c>
      <c r="S239" t="str">
        <f>IF(OR(R239&lt;0,R239&gt;100),"invalid","Valid")</f>
        <v>invalid</v>
      </c>
      <c r="T239" t="s">
        <v>77</v>
      </c>
      <c r="U239" t="str">
        <f>PROPER(TRIM(T239))</f>
        <v>Cash</v>
      </c>
      <c r="V239" t="s">
        <v>25</v>
      </c>
      <c r="W239" t="str">
        <f t="shared" si="6"/>
        <v>Dan</v>
      </c>
      <c r="X239" t="s">
        <v>65</v>
      </c>
      <c r="Y239">
        <v>4</v>
      </c>
      <c r="Z239" t="str">
        <f>IF(D239="", "Missing", "ok")</f>
        <v>ok</v>
      </c>
      <c r="AA239">
        <f t="shared" si="7"/>
        <v>-236.42399999999998</v>
      </c>
    </row>
    <row r="240" spans="1:27" x14ac:dyDescent="0.25">
      <c r="A240" t="s">
        <v>727</v>
      </c>
      <c r="B240" s="1" t="s">
        <v>728</v>
      </c>
      <c r="C240" t="s">
        <v>729</v>
      </c>
      <c r="E240" t="str">
        <f>PROPER(TRIM(D240))</f>
        <v/>
      </c>
      <c r="F240" t="s">
        <v>20</v>
      </c>
      <c r="G240">
        <v>59</v>
      </c>
      <c r="H240" t="str">
        <f>IF(AND(G240&gt;18, G240&lt;65), "Valid", "Invalid")</f>
        <v>Valid</v>
      </c>
      <c r="I240" t="s">
        <v>86</v>
      </c>
      <c r="J240" t="str">
        <f>PROPER(TRIM(I240))</f>
        <v>Kano</v>
      </c>
      <c r="K240" t="s">
        <v>54</v>
      </c>
      <c r="L240" t="str">
        <f>PROPER(TRIM(K240))</f>
        <v>Home</v>
      </c>
      <c r="M240" t="s">
        <v>55</v>
      </c>
      <c r="N240" t="str">
        <f>PROPER(TRIM(M240))</f>
        <v>Chair</v>
      </c>
      <c r="O240">
        <v>228.79</v>
      </c>
      <c r="P240">
        <v>4</v>
      </c>
      <c r="Q240">
        <f>IF(P240&lt;1, 1, P240)</f>
        <v>4</v>
      </c>
      <c r="R240">
        <v>15</v>
      </c>
      <c r="S240" t="str">
        <f>IF(OR(R240&lt;0,R240&gt;100),"invalid","Valid")</f>
        <v>Valid</v>
      </c>
      <c r="U240" t="str">
        <f>PROPER(TRIM(T240))</f>
        <v/>
      </c>
      <c r="V240" t="s">
        <v>81</v>
      </c>
      <c r="W240" t="str">
        <f t="shared" si="6"/>
        <v>Ada</v>
      </c>
      <c r="X240" t="s">
        <v>82</v>
      </c>
      <c r="Y240">
        <v>5</v>
      </c>
      <c r="Z240" t="str">
        <f>IF(D240="", "Missing", "ok")</f>
        <v>Missing</v>
      </c>
      <c r="AA240">
        <f t="shared" si="7"/>
        <v>777.88599999999997</v>
      </c>
    </row>
    <row r="241" spans="1:27" x14ac:dyDescent="0.25">
      <c r="A241" t="s">
        <v>730</v>
      </c>
      <c r="B241" s="1" t="s">
        <v>267</v>
      </c>
      <c r="C241" t="s">
        <v>731</v>
      </c>
      <c r="D241" t="s">
        <v>101</v>
      </c>
      <c r="E241" t="str">
        <f>PROPER(TRIM(D241))</f>
        <v>Grace</v>
      </c>
      <c r="F241" t="s">
        <v>20</v>
      </c>
      <c r="G241">
        <v>55</v>
      </c>
      <c r="H241" t="str">
        <f>IF(AND(G241&gt;18, G241&lt;65), "Valid", "Invalid")</f>
        <v>Valid</v>
      </c>
      <c r="I241" t="s">
        <v>53</v>
      </c>
      <c r="J241" t="str">
        <f>PROPER(TRIM(I241))</f>
        <v>Lagos</v>
      </c>
      <c r="K241" t="s">
        <v>39</v>
      </c>
      <c r="L241" t="str">
        <f>PROPER(TRIM(K241))</f>
        <v>Electronics</v>
      </c>
      <c r="M241" t="s">
        <v>40</v>
      </c>
      <c r="N241" t="str">
        <f>PROPER(TRIM(M241))</f>
        <v>Phone</v>
      </c>
      <c r="O241">
        <v>220.66</v>
      </c>
      <c r="P241">
        <v>-2</v>
      </c>
      <c r="Q241">
        <f>IF(P241&lt;1, 1, P241)</f>
        <v>1</v>
      </c>
      <c r="R241">
        <v>5</v>
      </c>
      <c r="S241" t="str">
        <f>IF(OR(R241&lt;0,R241&gt;100),"invalid","Valid")</f>
        <v>Valid</v>
      </c>
      <c r="T241" t="s">
        <v>59</v>
      </c>
      <c r="U241" t="str">
        <f>PROPER(TRIM(T241))</f>
        <v>Mobile Money</v>
      </c>
      <c r="V241" t="s">
        <v>81</v>
      </c>
      <c r="W241" t="str">
        <f t="shared" si="6"/>
        <v>Ada</v>
      </c>
      <c r="X241" t="s">
        <v>26</v>
      </c>
      <c r="Y241">
        <v>2</v>
      </c>
      <c r="Z241" t="str">
        <f>IF(D241="", "Missing", "ok")</f>
        <v>ok</v>
      </c>
      <c r="AA241">
        <f t="shared" si="7"/>
        <v>209.62699999999998</v>
      </c>
    </row>
    <row r="242" spans="1:27" x14ac:dyDescent="0.25">
      <c r="A242" t="s">
        <v>732</v>
      </c>
      <c r="B242" s="1" t="s">
        <v>733</v>
      </c>
      <c r="C242" t="s">
        <v>734</v>
      </c>
      <c r="D242" t="s">
        <v>37</v>
      </c>
      <c r="E242" t="str">
        <f>PROPER(TRIM(D242))</f>
        <v>Aisha</v>
      </c>
      <c r="F242" t="s">
        <v>20</v>
      </c>
      <c r="G242">
        <v>8</v>
      </c>
      <c r="H242" t="str">
        <f>IF(AND(G242&gt;18, G242&lt;65), "Valid", "Invalid")</f>
        <v>Invalid</v>
      </c>
      <c r="I242" t="s">
        <v>30</v>
      </c>
      <c r="J242" t="str">
        <f>PROPER(TRIM(I242))</f>
        <v>Lagos</v>
      </c>
      <c r="K242" t="s">
        <v>22</v>
      </c>
      <c r="L242" t="str">
        <f>PROPER(TRIM(K242))</f>
        <v>Fashion</v>
      </c>
      <c r="M242" t="s">
        <v>23</v>
      </c>
      <c r="N242" t="str">
        <f>PROPER(TRIM(M242))</f>
        <v>Shirt</v>
      </c>
      <c r="O242">
        <v>364.31</v>
      </c>
      <c r="P242">
        <v>-2</v>
      </c>
      <c r="Q242">
        <f>IF(P242&lt;1, 1, P242)</f>
        <v>1</v>
      </c>
      <c r="R242">
        <v>0</v>
      </c>
      <c r="S242" t="str">
        <f>IF(OR(R242&lt;0,R242&gt;100),"invalid","Valid")</f>
        <v>Valid</v>
      </c>
      <c r="T242" t="s">
        <v>59</v>
      </c>
      <c r="U242" t="str">
        <f>PROPER(TRIM(T242))</f>
        <v>Mobile Money</v>
      </c>
      <c r="V242" t="s">
        <v>41</v>
      </c>
      <c r="W242" t="str">
        <f t="shared" si="6"/>
        <v>Chi</v>
      </c>
      <c r="X242" t="s">
        <v>26</v>
      </c>
      <c r="Y242">
        <v>1</v>
      </c>
      <c r="Z242" t="str">
        <f>IF(D242="", "Missing", "ok")</f>
        <v>ok</v>
      </c>
      <c r="AA242">
        <f t="shared" si="7"/>
        <v>364.31</v>
      </c>
    </row>
    <row r="243" spans="1:27" x14ac:dyDescent="0.25">
      <c r="A243" t="s">
        <v>735</v>
      </c>
      <c r="B243" s="1" t="s">
        <v>736</v>
      </c>
      <c r="C243" t="s">
        <v>737</v>
      </c>
      <c r="D243" t="s">
        <v>69</v>
      </c>
      <c r="E243" t="str">
        <f>PROPER(TRIM(D243))</f>
        <v>Mary</v>
      </c>
      <c r="F243" t="s">
        <v>20</v>
      </c>
      <c r="G243">
        <v>44</v>
      </c>
      <c r="H243" t="str">
        <f>IF(AND(G243&gt;18, G243&lt;65), "Valid", "Invalid")</f>
        <v>Valid</v>
      </c>
      <c r="I243" t="s">
        <v>70</v>
      </c>
      <c r="J243" t="str">
        <f>PROPER(TRIM(I243))</f>
        <v>Abuja</v>
      </c>
      <c r="K243" t="s">
        <v>87</v>
      </c>
      <c r="L243" t="str">
        <f>PROPER(TRIM(K243))</f>
        <v>Groceris</v>
      </c>
      <c r="M243" t="s">
        <v>49</v>
      </c>
      <c r="N243" t="str">
        <f>PROPER(TRIM(M243))</f>
        <v>Rice</v>
      </c>
      <c r="O243">
        <v>347.88</v>
      </c>
      <c r="P243">
        <v>6</v>
      </c>
      <c r="Q243">
        <f>IF(P243&lt;1, 1, P243)</f>
        <v>6</v>
      </c>
      <c r="R243">
        <v>15</v>
      </c>
      <c r="S243" t="str">
        <f>IF(OR(R243&lt;0,R243&gt;100),"invalid","Valid")</f>
        <v>Valid</v>
      </c>
      <c r="U243" t="str">
        <f>PROPER(TRIM(T243))</f>
        <v/>
      </c>
      <c r="V243" t="s">
        <v>41</v>
      </c>
      <c r="W243" t="str">
        <f t="shared" si="6"/>
        <v>Chi</v>
      </c>
      <c r="X243" t="s">
        <v>65</v>
      </c>
      <c r="Y243">
        <v>3</v>
      </c>
      <c r="Z243" t="str">
        <f>IF(D243="", "Missing", "ok")</f>
        <v>ok</v>
      </c>
      <c r="AA243">
        <f t="shared" si="7"/>
        <v>1774.1879999999996</v>
      </c>
    </row>
    <row r="244" spans="1:27" x14ac:dyDescent="0.25">
      <c r="A244" t="s">
        <v>738</v>
      </c>
      <c r="B244" s="1" t="s">
        <v>309</v>
      </c>
      <c r="C244" t="s">
        <v>739</v>
      </c>
      <c r="E244" t="str">
        <f>PROPER(TRIM(D244))</f>
        <v/>
      </c>
      <c r="F244" t="s">
        <v>46</v>
      </c>
      <c r="G244">
        <v>8</v>
      </c>
      <c r="H244" t="str">
        <f>IF(AND(G244&gt;18, G244&lt;65), "Valid", "Invalid")</f>
        <v>Invalid</v>
      </c>
      <c r="I244" t="s">
        <v>21</v>
      </c>
      <c r="J244" t="str">
        <f>PROPER(TRIM(I244))</f>
        <v>Lagos</v>
      </c>
      <c r="K244" t="s">
        <v>31</v>
      </c>
      <c r="L244" t="str">
        <f>PROPER(TRIM(K244))</f>
        <v>Sports</v>
      </c>
      <c r="M244" t="s">
        <v>32</v>
      </c>
      <c r="N244" t="str">
        <f>PROPER(TRIM(M244))</f>
        <v>Ball</v>
      </c>
      <c r="O244">
        <v>171.06</v>
      </c>
      <c r="P244">
        <v>5</v>
      </c>
      <c r="Q244">
        <f>IF(P244&lt;1, 1, P244)</f>
        <v>5</v>
      </c>
      <c r="R244">
        <v>120</v>
      </c>
      <c r="S244" t="str">
        <f>IF(OR(R244&lt;0,R244&gt;100),"invalid","Valid")</f>
        <v>invalid</v>
      </c>
      <c r="T244" t="s">
        <v>64</v>
      </c>
      <c r="U244" t="str">
        <f>PROPER(TRIM(T244))</f>
        <v>Transfer</v>
      </c>
      <c r="V244" t="s">
        <v>41</v>
      </c>
      <c r="W244" t="str">
        <f t="shared" si="6"/>
        <v>Chi</v>
      </c>
      <c r="X244" t="s">
        <v>65</v>
      </c>
      <c r="Y244">
        <v>1</v>
      </c>
      <c r="Z244" t="str">
        <f>IF(D244="", "Missing", "ok")</f>
        <v>Missing</v>
      </c>
      <c r="AA244">
        <f t="shared" si="7"/>
        <v>-171.05999999999995</v>
      </c>
    </row>
    <row r="245" spans="1:27" x14ac:dyDescent="0.25">
      <c r="A245" t="s">
        <v>740</v>
      </c>
      <c r="B245" s="1" t="s">
        <v>741</v>
      </c>
      <c r="C245" t="s">
        <v>742</v>
      </c>
      <c r="D245" t="s">
        <v>19</v>
      </c>
      <c r="E245" t="str">
        <f>PROPER(TRIM(D245))</f>
        <v>Peter</v>
      </c>
      <c r="F245" t="s">
        <v>46</v>
      </c>
      <c r="G245">
        <v>130</v>
      </c>
      <c r="H245" t="str">
        <f>IF(AND(G245&gt;18, G245&lt;65), "Valid", "Invalid")</f>
        <v>Invalid</v>
      </c>
      <c r="I245" t="s">
        <v>47</v>
      </c>
      <c r="J245" t="str">
        <f>PROPER(TRIM(I245))</f>
        <v>Enugu</v>
      </c>
      <c r="K245" t="s">
        <v>87</v>
      </c>
      <c r="L245" t="str">
        <f>PROPER(TRIM(K245))</f>
        <v>Groceris</v>
      </c>
      <c r="M245" t="s">
        <v>49</v>
      </c>
      <c r="N245" t="str">
        <f>PROPER(TRIM(M245))</f>
        <v>Rice</v>
      </c>
      <c r="O245">
        <v>454.71</v>
      </c>
      <c r="P245">
        <v>-2</v>
      </c>
      <c r="Q245">
        <f>IF(P245&lt;1, 1, P245)</f>
        <v>1</v>
      </c>
      <c r="R245">
        <v>10</v>
      </c>
      <c r="S245" t="str">
        <f>IF(OR(R245&lt;0,R245&gt;100),"invalid","Valid")</f>
        <v>Valid</v>
      </c>
      <c r="T245" t="s">
        <v>59</v>
      </c>
      <c r="U245" t="str">
        <f>PROPER(TRIM(T245))</f>
        <v>Mobile Money</v>
      </c>
      <c r="V245" t="s">
        <v>41</v>
      </c>
      <c r="W245" t="str">
        <f t="shared" si="6"/>
        <v>Chi</v>
      </c>
      <c r="X245" t="s">
        <v>33</v>
      </c>
      <c r="Y245">
        <v>2</v>
      </c>
      <c r="Z245" t="str">
        <f>IF(D245="", "Missing", "ok")</f>
        <v>ok</v>
      </c>
      <c r="AA245">
        <f t="shared" si="7"/>
        <v>409.23899999999998</v>
      </c>
    </row>
    <row r="246" spans="1:27" x14ac:dyDescent="0.25">
      <c r="A246" t="s">
        <v>743</v>
      </c>
      <c r="B246" s="1" t="s">
        <v>744</v>
      </c>
      <c r="C246" t="s">
        <v>745</v>
      </c>
      <c r="D246" t="s">
        <v>69</v>
      </c>
      <c r="E246" t="str">
        <f>PROPER(TRIM(D246))</f>
        <v>Mary</v>
      </c>
      <c r="F246" t="s">
        <v>20</v>
      </c>
      <c r="G246">
        <v>130</v>
      </c>
      <c r="H246" t="str">
        <f>IF(AND(G246&gt;18, G246&lt;65), "Valid", "Invalid")</f>
        <v>Invalid</v>
      </c>
      <c r="I246" t="s">
        <v>38</v>
      </c>
      <c r="J246" t="str">
        <f>PROPER(TRIM(I246))</f>
        <v>Ph</v>
      </c>
      <c r="K246" t="s">
        <v>87</v>
      </c>
      <c r="L246" t="str">
        <f>PROPER(TRIM(K246))</f>
        <v>Groceris</v>
      </c>
      <c r="M246" t="s">
        <v>49</v>
      </c>
      <c r="N246" t="str">
        <f>PROPER(TRIM(M246))</f>
        <v>Rice</v>
      </c>
      <c r="O246">
        <v>77.11</v>
      </c>
      <c r="P246">
        <v>-2</v>
      </c>
      <c r="Q246">
        <f>IF(P246&lt;1, 1, P246)</f>
        <v>1</v>
      </c>
      <c r="R246">
        <v>10</v>
      </c>
      <c r="S246" t="str">
        <f>IF(OR(R246&lt;0,R246&gt;100),"invalid","Valid")</f>
        <v>Valid</v>
      </c>
      <c r="T246" t="s">
        <v>59</v>
      </c>
      <c r="U246" t="str">
        <f>PROPER(TRIM(T246))</f>
        <v>Mobile Money</v>
      </c>
      <c r="V246" t="s">
        <v>41</v>
      </c>
      <c r="W246" t="str">
        <f t="shared" si="6"/>
        <v>Chi</v>
      </c>
      <c r="X246" t="s">
        <v>65</v>
      </c>
      <c r="Z246" t="str">
        <f>IF(D246="", "Missing", "ok")</f>
        <v>ok</v>
      </c>
      <c r="AA246">
        <f t="shared" si="7"/>
        <v>69.399000000000001</v>
      </c>
    </row>
    <row r="247" spans="1:27" x14ac:dyDescent="0.25">
      <c r="A247" t="s">
        <v>746</v>
      </c>
      <c r="B247" s="1" t="s">
        <v>412</v>
      </c>
      <c r="C247" t="s">
        <v>747</v>
      </c>
      <c r="D247" t="s">
        <v>117</v>
      </c>
      <c r="E247" t="str">
        <f>PROPER(TRIM(D247))</f>
        <v>David</v>
      </c>
      <c r="F247" t="s">
        <v>46</v>
      </c>
      <c r="G247">
        <v>130</v>
      </c>
      <c r="H247" t="str">
        <f>IF(AND(G247&gt;18, G247&lt;65), "Valid", "Invalid")</f>
        <v>Invalid</v>
      </c>
      <c r="I247" t="s">
        <v>86</v>
      </c>
      <c r="J247" t="str">
        <f>PROPER(TRIM(I247))</f>
        <v>Kano</v>
      </c>
      <c r="K247" t="s">
        <v>39</v>
      </c>
      <c r="L247" t="str">
        <f>PROPER(TRIM(K247))</f>
        <v>Electronics</v>
      </c>
      <c r="M247" t="s">
        <v>40</v>
      </c>
      <c r="N247" t="str">
        <f>PROPER(TRIM(M247))</f>
        <v>Phone</v>
      </c>
      <c r="O247">
        <v>165.99</v>
      </c>
      <c r="P247">
        <v>-2</v>
      </c>
      <c r="Q247">
        <f>IF(P247&lt;1, 1, P247)</f>
        <v>1</v>
      </c>
      <c r="R247">
        <v>15</v>
      </c>
      <c r="S247" t="str">
        <f>IF(OR(R247&lt;0,R247&gt;100),"invalid","Valid")</f>
        <v>Valid</v>
      </c>
      <c r="U247" t="str">
        <f>PROPER(TRIM(T247))</f>
        <v/>
      </c>
      <c r="V247" t="s">
        <v>91</v>
      </c>
      <c r="W247" t="str">
        <f t="shared" si="6"/>
        <v>Ben</v>
      </c>
      <c r="X247" t="s">
        <v>65</v>
      </c>
      <c r="Z247" t="str">
        <f>IF(D247="", "Missing", "ok")</f>
        <v>ok</v>
      </c>
      <c r="AA247">
        <f t="shared" si="7"/>
        <v>141.0915</v>
      </c>
    </row>
    <row r="248" spans="1:27" x14ac:dyDescent="0.25">
      <c r="A248" t="s">
        <v>748</v>
      </c>
      <c r="B248" s="1" t="s">
        <v>749</v>
      </c>
      <c r="C248" t="s">
        <v>750</v>
      </c>
      <c r="D248" t="s">
        <v>101</v>
      </c>
      <c r="E248" t="str">
        <f>PROPER(TRIM(D248))</f>
        <v>Grace</v>
      </c>
      <c r="F248" t="s">
        <v>46</v>
      </c>
      <c r="G248">
        <v>52</v>
      </c>
      <c r="H248" t="str">
        <f>IF(AND(G248&gt;18, G248&lt;65), "Valid", "Invalid")</f>
        <v>Valid</v>
      </c>
      <c r="I248" t="s">
        <v>86</v>
      </c>
      <c r="J248" t="str">
        <f>PROPER(TRIM(I248))</f>
        <v>Kano</v>
      </c>
      <c r="K248" t="s">
        <v>22</v>
      </c>
      <c r="L248" t="str">
        <f>PROPER(TRIM(K248))</f>
        <v>Fashion</v>
      </c>
      <c r="M248" t="s">
        <v>23</v>
      </c>
      <c r="N248" t="str">
        <f>PROPER(TRIM(M248))</f>
        <v>Shirt</v>
      </c>
      <c r="O248">
        <v>305.92</v>
      </c>
      <c r="P248">
        <v>4</v>
      </c>
      <c r="Q248">
        <f>IF(P248&lt;1, 1, P248)</f>
        <v>4</v>
      </c>
      <c r="R248">
        <v>15</v>
      </c>
      <c r="S248" t="str">
        <f>IF(OR(R248&lt;0,R248&gt;100),"invalid","Valid")</f>
        <v>Valid</v>
      </c>
      <c r="T248" t="s">
        <v>77</v>
      </c>
      <c r="U248" t="str">
        <f>PROPER(TRIM(T248))</f>
        <v>Cash</v>
      </c>
      <c r="V248" t="s">
        <v>91</v>
      </c>
      <c r="W248" t="str">
        <f t="shared" si="6"/>
        <v>Ben</v>
      </c>
      <c r="X248" t="s">
        <v>82</v>
      </c>
      <c r="Y248">
        <v>3</v>
      </c>
      <c r="Z248" t="str">
        <f>IF(D248="", "Missing", "ok")</f>
        <v>ok</v>
      </c>
      <c r="AA248">
        <f t="shared" si="7"/>
        <v>1040.1279999999999</v>
      </c>
    </row>
    <row r="249" spans="1:27" x14ac:dyDescent="0.25">
      <c r="A249" t="s">
        <v>751</v>
      </c>
      <c r="B249" s="1" t="s">
        <v>752</v>
      </c>
      <c r="C249" t="s">
        <v>753</v>
      </c>
      <c r="D249" t="s">
        <v>45</v>
      </c>
      <c r="E249" t="str">
        <f>PROPER(TRIM(D249))</f>
        <v>James</v>
      </c>
      <c r="F249" t="s">
        <v>20</v>
      </c>
      <c r="G249">
        <v>8</v>
      </c>
      <c r="H249" t="str">
        <f>IF(AND(G249&gt;18, G249&lt;65), "Valid", "Invalid")</f>
        <v>Invalid</v>
      </c>
      <c r="I249" t="s">
        <v>86</v>
      </c>
      <c r="J249" t="str">
        <f>PROPER(TRIM(I249))</f>
        <v>Kano</v>
      </c>
      <c r="K249" t="s">
        <v>31</v>
      </c>
      <c r="L249" t="str">
        <f>PROPER(TRIM(K249))</f>
        <v>Sports</v>
      </c>
      <c r="M249" t="s">
        <v>32</v>
      </c>
      <c r="N249" t="str">
        <f>PROPER(TRIM(M249))</f>
        <v>Ball</v>
      </c>
      <c r="O249">
        <v>451.34</v>
      </c>
      <c r="P249">
        <v>8</v>
      </c>
      <c r="Q249">
        <f>IF(P249&lt;1, 1, P249)</f>
        <v>8</v>
      </c>
      <c r="R249">
        <v>15</v>
      </c>
      <c r="S249" t="str">
        <f>IF(OR(R249&lt;0,R249&gt;100),"invalid","Valid")</f>
        <v>Valid</v>
      </c>
      <c r="T249" t="s">
        <v>59</v>
      </c>
      <c r="U249" t="str">
        <f>PROPER(TRIM(T249))</f>
        <v>Mobile Money</v>
      </c>
      <c r="V249" t="s">
        <v>81</v>
      </c>
      <c r="W249" t="str">
        <f t="shared" si="6"/>
        <v>Ada</v>
      </c>
      <c r="X249" t="s">
        <v>65</v>
      </c>
      <c r="Z249" t="str">
        <f>IF(D249="", "Missing", "ok")</f>
        <v>ok</v>
      </c>
      <c r="AA249">
        <f t="shared" si="7"/>
        <v>3069.1119999999996</v>
      </c>
    </row>
    <row r="250" spans="1:27" x14ac:dyDescent="0.25">
      <c r="A250" t="s">
        <v>756</v>
      </c>
      <c r="B250" s="1" t="s">
        <v>757</v>
      </c>
      <c r="C250" t="s">
        <v>758</v>
      </c>
      <c r="D250" t="s">
        <v>117</v>
      </c>
      <c r="E250" t="str">
        <f>PROPER(TRIM(D250))</f>
        <v>David</v>
      </c>
      <c r="F250" t="s">
        <v>20</v>
      </c>
      <c r="G250">
        <v>8</v>
      </c>
      <c r="H250" t="str">
        <f>IF(AND(G250&gt;18, G250&lt;65), "Valid", "Invalid")</f>
        <v>Invalid</v>
      </c>
      <c r="I250" t="s">
        <v>30</v>
      </c>
      <c r="J250" t="str">
        <f>PROPER(TRIM(I250))</f>
        <v>Lagos</v>
      </c>
      <c r="K250" t="s">
        <v>54</v>
      </c>
      <c r="L250" t="str">
        <f>PROPER(TRIM(K250))</f>
        <v>Home</v>
      </c>
      <c r="M250" t="s">
        <v>55</v>
      </c>
      <c r="N250" t="str">
        <f>PROPER(TRIM(M250))</f>
        <v>Chair</v>
      </c>
      <c r="O250">
        <v>300.24</v>
      </c>
      <c r="P250">
        <v>7</v>
      </c>
      <c r="Q250">
        <f>IF(P250&lt;1, 1, P250)</f>
        <v>7</v>
      </c>
      <c r="R250">
        <v>5</v>
      </c>
      <c r="S250" t="str">
        <f>IF(OR(R250&lt;0,R250&gt;100),"invalid","Valid")</f>
        <v>Valid</v>
      </c>
      <c r="T250" t="s">
        <v>59</v>
      </c>
      <c r="U250" t="str">
        <f>PROPER(TRIM(T250))</f>
        <v>Mobile Money</v>
      </c>
      <c r="V250" t="s">
        <v>91</v>
      </c>
      <c r="W250" t="str">
        <f t="shared" si="6"/>
        <v>Ben</v>
      </c>
      <c r="X250" t="s">
        <v>33</v>
      </c>
      <c r="Y250">
        <v>3</v>
      </c>
      <c r="Z250" t="str">
        <f>IF(D250="", "Missing", "ok")</f>
        <v>ok</v>
      </c>
      <c r="AA250">
        <f t="shared" si="7"/>
        <v>1996.5960000000002</v>
      </c>
    </row>
    <row r="251" spans="1:27" x14ac:dyDescent="0.25">
      <c r="A251" t="s">
        <v>759</v>
      </c>
      <c r="B251" s="1" t="s">
        <v>760</v>
      </c>
      <c r="C251" t="s">
        <v>761</v>
      </c>
      <c r="E251" t="str">
        <f>PROPER(TRIM(D251))</f>
        <v/>
      </c>
      <c r="F251" t="s">
        <v>46</v>
      </c>
      <c r="G251">
        <v>130</v>
      </c>
      <c r="H251" t="str">
        <f>IF(AND(G251&gt;18, G251&lt;65), "Valid", "Invalid")</f>
        <v>Invalid</v>
      </c>
      <c r="I251" t="s">
        <v>21</v>
      </c>
      <c r="J251" t="str">
        <f>PROPER(TRIM(I251))</f>
        <v>Lagos</v>
      </c>
      <c r="K251" t="s">
        <v>22</v>
      </c>
      <c r="L251" t="str">
        <f>PROPER(TRIM(K251))</f>
        <v>Fashion</v>
      </c>
      <c r="M251" t="s">
        <v>23</v>
      </c>
      <c r="N251" t="str">
        <f>PROPER(TRIM(M251))</f>
        <v>Shirt</v>
      </c>
      <c r="O251">
        <v>194.88</v>
      </c>
      <c r="P251">
        <v>3</v>
      </c>
      <c r="Q251">
        <f>IF(P251&lt;1, 1, P251)</f>
        <v>3</v>
      </c>
      <c r="R251">
        <v>-10</v>
      </c>
      <c r="S251" t="str">
        <f>IF(OR(R251&lt;0,R251&gt;100),"invalid","Valid")</f>
        <v>invalid</v>
      </c>
      <c r="T251" t="s">
        <v>77</v>
      </c>
      <c r="U251" t="str">
        <f>PROPER(TRIM(T251))</f>
        <v>Cash</v>
      </c>
      <c r="V251" t="s">
        <v>91</v>
      </c>
      <c r="W251" t="str">
        <f t="shared" si="6"/>
        <v>Ben</v>
      </c>
      <c r="X251" t="s">
        <v>65</v>
      </c>
      <c r="Y251">
        <v>5</v>
      </c>
      <c r="Z251" t="str">
        <f>IF(D251="", "Missing", "ok")</f>
        <v>Missing</v>
      </c>
      <c r="AA251">
        <f t="shared" si="7"/>
        <v>643.10400000000004</v>
      </c>
    </row>
    <row r="252" spans="1:27" x14ac:dyDescent="0.25">
      <c r="A252" t="s">
        <v>762</v>
      </c>
      <c r="B252" s="1" t="s">
        <v>763</v>
      </c>
      <c r="C252" t="s">
        <v>764</v>
      </c>
      <c r="D252" t="s">
        <v>69</v>
      </c>
      <c r="E252" t="str">
        <f>PROPER(TRIM(D252))</f>
        <v>Mary</v>
      </c>
      <c r="F252" t="s">
        <v>46</v>
      </c>
      <c r="G252">
        <v>130</v>
      </c>
      <c r="H252" t="str">
        <f>IF(AND(G252&gt;18, G252&lt;65), "Valid", "Invalid")</f>
        <v>Invalid</v>
      </c>
      <c r="I252" t="s">
        <v>70</v>
      </c>
      <c r="J252" t="str">
        <f>PROPER(TRIM(I252))</f>
        <v>Abuja</v>
      </c>
      <c r="K252" t="s">
        <v>87</v>
      </c>
      <c r="L252" t="str">
        <f>PROPER(TRIM(K252))</f>
        <v>Groceris</v>
      </c>
      <c r="M252" t="s">
        <v>49</v>
      </c>
      <c r="N252" t="str">
        <f>PROPER(TRIM(M252))</f>
        <v>Rice</v>
      </c>
      <c r="O252">
        <v>125.84</v>
      </c>
      <c r="P252">
        <v>5</v>
      </c>
      <c r="Q252">
        <f>IF(P252&lt;1, 1, P252)</f>
        <v>5</v>
      </c>
      <c r="R252">
        <v>-10</v>
      </c>
      <c r="S252" t="str">
        <f>IF(OR(R252&lt;0,R252&gt;100),"invalid","Valid")</f>
        <v>invalid</v>
      </c>
      <c r="T252" t="s">
        <v>24</v>
      </c>
      <c r="U252" t="str">
        <f>PROPER(TRIM(T252))</f>
        <v>Pos</v>
      </c>
      <c r="V252" t="s">
        <v>25</v>
      </c>
      <c r="W252" t="str">
        <f t="shared" si="6"/>
        <v>Dan</v>
      </c>
      <c r="X252" t="s">
        <v>65</v>
      </c>
      <c r="Y252">
        <v>2</v>
      </c>
      <c r="Z252" t="str">
        <f>IF(D252="", "Missing", "ok")</f>
        <v>ok</v>
      </c>
      <c r="AA252">
        <f t="shared" si="7"/>
        <v>692.12000000000012</v>
      </c>
    </row>
    <row r="253" spans="1:27" x14ac:dyDescent="0.25">
      <c r="A253" t="s">
        <v>765</v>
      </c>
      <c r="B253" s="1" t="s">
        <v>455</v>
      </c>
      <c r="C253" t="s">
        <v>766</v>
      </c>
      <c r="D253" t="s">
        <v>19</v>
      </c>
      <c r="E253" t="str">
        <f>PROPER(TRIM(D253))</f>
        <v>Peter</v>
      </c>
      <c r="F253" t="s">
        <v>46</v>
      </c>
      <c r="G253">
        <v>8</v>
      </c>
      <c r="H253" t="str">
        <f>IF(AND(G253&gt;18, G253&lt;65), "Valid", "Invalid")</f>
        <v>Invalid</v>
      </c>
      <c r="I253" t="s">
        <v>30</v>
      </c>
      <c r="J253" t="str">
        <f>PROPER(TRIM(I253))</f>
        <v>Lagos</v>
      </c>
      <c r="K253" t="s">
        <v>48</v>
      </c>
      <c r="L253" t="str">
        <f>PROPER(TRIM(K253))</f>
        <v>Groceries</v>
      </c>
      <c r="M253" t="s">
        <v>49</v>
      </c>
      <c r="N253" t="str">
        <f>PROPER(TRIM(M253))</f>
        <v>Rice</v>
      </c>
      <c r="O253">
        <v>50.18</v>
      </c>
      <c r="P253">
        <v>-2</v>
      </c>
      <c r="Q253">
        <f>IF(P253&lt;1, 1, P253)</f>
        <v>1</v>
      </c>
      <c r="R253">
        <v>0</v>
      </c>
      <c r="S253" t="str">
        <f>IF(OR(R253&lt;0,R253&gt;100),"invalid","Valid")</f>
        <v>Valid</v>
      </c>
      <c r="T253" t="s">
        <v>59</v>
      </c>
      <c r="U253" t="str">
        <f>PROPER(TRIM(T253))</f>
        <v>Mobile Money</v>
      </c>
      <c r="V253" t="s">
        <v>81</v>
      </c>
      <c r="W253" t="str">
        <f t="shared" si="6"/>
        <v>Ada</v>
      </c>
      <c r="X253" t="s">
        <v>82</v>
      </c>
      <c r="Z253" t="str">
        <f>IF(D253="", "Missing", "ok")</f>
        <v>ok</v>
      </c>
      <c r="AA253">
        <f t="shared" si="7"/>
        <v>50.18</v>
      </c>
    </row>
    <row r="254" spans="1:27" x14ac:dyDescent="0.25">
      <c r="A254" t="s">
        <v>767</v>
      </c>
      <c r="B254" s="1" t="s">
        <v>768</v>
      </c>
      <c r="C254" t="s">
        <v>769</v>
      </c>
      <c r="D254" t="s">
        <v>117</v>
      </c>
      <c r="E254" t="str">
        <f>PROPER(TRIM(D254))</f>
        <v>David</v>
      </c>
      <c r="F254" t="s">
        <v>20</v>
      </c>
      <c r="G254">
        <v>8</v>
      </c>
      <c r="H254" t="str">
        <f>IF(AND(G254&gt;18, G254&lt;65), "Valid", "Invalid")</f>
        <v>Invalid</v>
      </c>
      <c r="I254" t="s">
        <v>38</v>
      </c>
      <c r="J254" t="str">
        <f>PROPER(TRIM(I254))</f>
        <v>Ph</v>
      </c>
      <c r="K254" t="s">
        <v>39</v>
      </c>
      <c r="L254" t="str">
        <f>PROPER(TRIM(K254))</f>
        <v>Electronics</v>
      </c>
      <c r="M254" t="s">
        <v>40</v>
      </c>
      <c r="N254" t="str">
        <f>PROPER(TRIM(M254))</f>
        <v>Phone</v>
      </c>
      <c r="O254">
        <v>229.48</v>
      </c>
      <c r="P254">
        <v>-2</v>
      </c>
      <c r="Q254">
        <f>IF(P254&lt;1, 1, P254)</f>
        <v>1</v>
      </c>
      <c r="R254">
        <v>10</v>
      </c>
      <c r="S254" t="str">
        <f>IF(OR(R254&lt;0,R254&gt;100),"invalid","Valid")</f>
        <v>Valid</v>
      </c>
      <c r="T254" t="s">
        <v>24</v>
      </c>
      <c r="U254" t="str">
        <f>PROPER(TRIM(T254))</f>
        <v>Pos</v>
      </c>
      <c r="V254" t="s">
        <v>25</v>
      </c>
      <c r="W254" t="str">
        <f t="shared" si="6"/>
        <v>Dan</v>
      </c>
      <c r="X254" t="s">
        <v>82</v>
      </c>
      <c r="Y254">
        <v>2</v>
      </c>
      <c r="Z254" t="str">
        <f>IF(D254="", "Missing", "ok")</f>
        <v>ok</v>
      </c>
      <c r="AA254">
        <f t="shared" si="7"/>
        <v>206.53199999999998</v>
      </c>
    </row>
    <row r="255" spans="1:27" x14ac:dyDescent="0.25">
      <c r="A255" t="s">
        <v>770</v>
      </c>
      <c r="B255" s="1" t="s">
        <v>771</v>
      </c>
      <c r="C255" t="s">
        <v>772</v>
      </c>
      <c r="E255" t="str">
        <f>PROPER(TRIM(D255))</f>
        <v/>
      </c>
      <c r="F255" t="s">
        <v>20</v>
      </c>
      <c r="G255">
        <v>130</v>
      </c>
      <c r="H255" t="str">
        <f>IF(AND(G255&gt;18, G255&lt;65), "Valid", "Invalid")</f>
        <v>Invalid</v>
      </c>
      <c r="I255" t="s">
        <v>47</v>
      </c>
      <c r="J255" t="str">
        <f>PROPER(TRIM(I255))</f>
        <v>Enugu</v>
      </c>
      <c r="K255" t="s">
        <v>121</v>
      </c>
      <c r="L255" t="str">
        <f>PROPER(TRIM(K255))</f>
        <v>Beauty</v>
      </c>
      <c r="M255" t="s">
        <v>122</v>
      </c>
      <c r="N255" t="str">
        <f>PROPER(TRIM(M255))</f>
        <v>Cream</v>
      </c>
      <c r="O255">
        <v>397.89</v>
      </c>
      <c r="P255">
        <v>-2</v>
      </c>
      <c r="Q255">
        <f>IF(P255&lt;1, 1, P255)</f>
        <v>1</v>
      </c>
      <c r="R255">
        <v>-10</v>
      </c>
      <c r="S255" t="str">
        <f>IF(OR(R255&lt;0,R255&gt;100),"invalid","Valid")</f>
        <v>invalid</v>
      </c>
      <c r="T255" t="s">
        <v>24</v>
      </c>
      <c r="U255" t="str">
        <f>PROPER(TRIM(T255))</f>
        <v>Pos</v>
      </c>
      <c r="V255" t="s">
        <v>25</v>
      </c>
      <c r="W255" t="str">
        <f t="shared" si="6"/>
        <v>Dan</v>
      </c>
      <c r="X255" t="s">
        <v>33</v>
      </c>
      <c r="Y255">
        <v>2</v>
      </c>
      <c r="Z255" t="str">
        <f>IF(D255="", "Missing", "ok")</f>
        <v>Missing</v>
      </c>
      <c r="AA255">
        <f t="shared" si="7"/>
        <v>437.67900000000003</v>
      </c>
    </row>
    <row r="256" spans="1:27" x14ac:dyDescent="0.25">
      <c r="A256" t="s">
        <v>773</v>
      </c>
      <c r="B256" s="1" t="s">
        <v>774</v>
      </c>
      <c r="C256" t="s">
        <v>775</v>
      </c>
      <c r="D256" t="s">
        <v>37</v>
      </c>
      <c r="E256" t="str">
        <f>PROPER(TRIM(D256))</f>
        <v>Aisha</v>
      </c>
      <c r="F256" t="s">
        <v>20</v>
      </c>
      <c r="G256">
        <v>130</v>
      </c>
      <c r="H256" t="str">
        <f>IF(AND(G256&gt;18, G256&lt;65), "Valid", "Invalid")</f>
        <v>Invalid</v>
      </c>
      <c r="I256" t="s">
        <v>47</v>
      </c>
      <c r="J256" t="str">
        <f>PROPER(TRIM(I256))</f>
        <v>Enugu</v>
      </c>
      <c r="K256" t="s">
        <v>39</v>
      </c>
      <c r="L256" t="str">
        <f>PROPER(TRIM(K256))</f>
        <v>Electronics</v>
      </c>
      <c r="M256" t="s">
        <v>40</v>
      </c>
      <c r="N256" t="str">
        <f>PROPER(TRIM(M256))</f>
        <v>Phone</v>
      </c>
      <c r="O256">
        <v>162.24</v>
      </c>
      <c r="P256">
        <v>-2</v>
      </c>
      <c r="Q256">
        <f>IF(P256&lt;1, 1, P256)</f>
        <v>1</v>
      </c>
      <c r="R256">
        <v>10</v>
      </c>
      <c r="S256" t="str">
        <f>IF(OR(R256&lt;0,R256&gt;100),"invalid","Valid")</f>
        <v>Valid</v>
      </c>
      <c r="T256" t="s">
        <v>77</v>
      </c>
      <c r="U256" t="str">
        <f>PROPER(TRIM(T256))</f>
        <v>Cash</v>
      </c>
      <c r="V256" t="s">
        <v>91</v>
      </c>
      <c r="W256" t="str">
        <f t="shared" si="6"/>
        <v>Ben</v>
      </c>
      <c r="X256" t="s">
        <v>33</v>
      </c>
      <c r="Y256">
        <v>2</v>
      </c>
      <c r="Z256" t="str">
        <f>IF(D256="", "Missing", "ok")</f>
        <v>ok</v>
      </c>
      <c r="AA256">
        <f t="shared" si="7"/>
        <v>146.01600000000002</v>
      </c>
    </row>
    <row r="257" spans="1:27" x14ac:dyDescent="0.25">
      <c r="A257" t="s">
        <v>776</v>
      </c>
      <c r="B257" s="1" t="s">
        <v>777</v>
      </c>
      <c r="C257" t="s">
        <v>778</v>
      </c>
      <c r="D257" t="s">
        <v>37</v>
      </c>
      <c r="E257" t="str">
        <f>PROPER(TRIM(D257))</f>
        <v>Aisha</v>
      </c>
      <c r="F257" t="s">
        <v>20</v>
      </c>
      <c r="G257">
        <v>130</v>
      </c>
      <c r="H257" t="str">
        <f>IF(AND(G257&gt;18, G257&lt;65), "Valid", "Invalid")</f>
        <v>Invalid</v>
      </c>
      <c r="I257" t="s">
        <v>38</v>
      </c>
      <c r="J257" t="str">
        <f>PROPER(TRIM(I257))</f>
        <v>Ph</v>
      </c>
      <c r="K257" t="s">
        <v>39</v>
      </c>
      <c r="L257" t="str">
        <f>PROPER(TRIM(K257))</f>
        <v>Electronics</v>
      </c>
      <c r="M257" t="s">
        <v>40</v>
      </c>
      <c r="N257" t="str">
        <f>PROPER(TRIM(M257))</f>
        <v>Phone</v>
      </c>
      <c r="O257">
        <v>139.97999999999999</v>
      </c>
      <c r="P257">
        <v>10</v>
      </c>
      <c r="Q257">
        <f>IF(P257&lt;1, 1, P257)</f>
        <v>10</v>
      </c>
      <c r="R257">
        <v>0</v>
      </c>
      <c r="S257" t="str">
        <f>IF(OR(R257&lt;0,R257&gt;100),"invalid","Valid")</f>
        <v>Valid</v>
      </c>
      <c r="T257" t="s">
        <v>59</v>
      </c>
      <c r="U257" t="str">
        <f>PROPER(TRIM(T257))</f>
        <v>Mobile Money</v>
      </c>
      <c r="V257" t="s">
        <v>25</v>
      </c>
      <c r="W257" t="str">
        <f t="shared" si="6"/>
        <v>Dan</v>
      </c>
      <c r="X257" t="s">
        <v>33</v>
      </c>
      <c r="Y257">
        <v>3</v>
      </c>
      <c r="Z257" t="str">
        <f>IF(D257="", "Missing", "ok")</f>
        <v>ok</v>
      </c>
      <c r="AA257">
        <f t="shared" si="7"/>
        <v>1399.8</v>
      </c>
    </row>
    <row r="258" spans="1:27" x14ac:dyDescent="0.25">
      <c r="A258" t="s">
        <v>779</v>
      </c>
      <c r="B258" s="1" t="s">
        <v>780</v>
      </c>
      <c r="C258" t="s">
        <v>781</v>
      </c>
      <c r="D258" t="s">
        <v>63</v>
      </c>
      <c r="E258" t="str">
        <f>PROPER(TRIM(D258))</f>
        <v>John</v>
      </c>
      <c r="F258" t="s">
        <v>46</v>
      </c>
      <c r="G258">
        <v>36</v>
      </c>
      <c r="H258" t="str">
        <f>IF(AND(G258&gt;18, G258&lt;65), "Valid", "Invalid")</f>
        <v>Valid</v>
      </c>
      <c r="I258" t="s">
        <v>47</v>
      </c>
      <c r="J258" t="str">
        <f>PROPER(TRIM(I258))</f>
        <v>Enugu</v>
      </c>
      <c r="K258" t="s">
        <v>54</v>
      </c>
      <c r="L258" t="str">
        <f>PROPER(TRIM(K258))</f>
        <v>Home</v>
      </c>
      <c r="M258" t="s">
        <v>55</v>
      </c>
      <c r="N258" t="str">
        <f>PROPER(TRIM(M258))</f>
        <v>Chair</v>
      </c>
      <c r="O258">
        <v>261.94</v>
      </c>
      <c r="P258">
        <v>6</v>
      </c>
      <c r="Q258">
        <f>IF(P258&lt;1, 1, P258)</f>
        <v>6</v>
      </c>
      <c r="R258">
        <v>10</v>
      </c>
      <c r="S258" t="str">
        <f>IF(OR(R258&lt;0,R258&gt;100),"invalid","Valid")</f>
        <v>Valid</v>
      </c>
      <c r="T258" t="s">
        <v>77</v>
      </c>
      <c r="U258" t="str">
        <f>PROPER(TRIM(T258))</f>
        <v>Cash</v>
      </c>
      <c r="V258" t="s">
        <v>25</v>
      </c>
      <c r="W258" t="str">
        <f t="shared" ref="W258:W321" si="8">PROPER(TRIM(V258))</f>
        <v>Dan</v>
      </c>
      <c r="X258" t="s">
        <v>65</v>
      </c>
      <c r="Y258">
        <v>4</v>
      </c>
      <c r="Z258" t="str">
        <f>IF(D258="", "Missing", "ok")</f>
        <v>ok</v>
      </c>
      <c r="AA258">
        <f t="shared" si="7"/>
        <v>1414.4759999999999</v>
      </c>
    </row>
    <row r="259" spans="1:27" x14ac:dyDescent="0.25">
      <c r="A259" t="s">
        <v>782</v>
      </c>
      <c r="B259" s="1" t="s">
        <v>783</v>
      </c>
      <c r="C259" t="s">
        <v>699</v>
      </c>
      <c r="D259" t="s">
        <v>101</v>
      </c>
      <c r="E259" t="str">
        <f>PROPER(TRIM(D259))</f>
        <v>Grace</v>
      </c>
      <c r="F259" t="s">
        <v>20</v>
      </c>
      <c r="G259">
        <v>8</v>
      </c>
      <c r="H259" t="str">
        <f>IF(AND(G259&gt;18, G259&lt;65), "Valid", "Invalid")</f>
        <v>Invalid</v>
      </c>
      <c r="I259" t="s">
        <v>47</v>
      </c>
      <c r="J259" t="str">
        <f>PROPER(TRIM(I259))</f>
        <v>Enugu</v>
      </c>
      <c r="K259" t="s">
        <v>121</v>
      </c>
      <c r="L259" t="str">
        <f>PROPER(TRIM(K259))</f>
        <v>Beauty</v>
      </c>
      <c r="M259" t="s">
        <v>122</v>
      </c>
      <c r="N259" t="str">
        <f>PROPER(TRIM(M259))</f>
        <v>Cream</v>
      </c>
      <c r="O259">
        <v>487.03</v>
      </c>
      <c r="P259">
        <v>-2</v>
      </c>
      <c r="Q259">
        <f>IF(P259&lt;1, 1, P259)</f>
        <v>1</v>
      </c>
      <c r="R259">
        <v>10</v>
      </c>
      <c r="S259" t="str">
        <f>IF(OR(R259&lt;0,R259&gt;100),"invalid","Valid")</f>
        <v>Valid</v>
      </c>
      <c r="T259" t="s">
        <v>59</v>
      </c>
      <c r="U259" t="str">
        <f>PROPER(TRIM(T259))</f>
        <v>Mobile Money</v>
      </c>
      <c r="V259" t="s">
        <v>91</v>
      </c>
      <c r="W259" t="str">
        <f t="shared" si="8"/>
        <v>Ben</v>
      </c>
      <c r="X259" t="s">
        <v>82</v>
      </c>
      <c r="Y259">
        <v>1</v>
      </c>
      <c r="Z259" t="str">
        <f>IF(D259="", "Missing", "ok")</f>
        <v>ok</v>
      </c>
      <c r="AA259">
        <f t="shared" ref="AA259:AA322" si="9">(O259*Q259)*(1-R259/100)</f>
        <v>438.327</v>
      </c>
    </row>
    <row r="260" spans="1:27" x14ac:dyDescent="0.25">
      <c r="A260" t="s">
        <v>784</v>
      </c>
      <c r="B260" s="1" t="s">
        <v>785</v>
      </c>
      <c r="C260" t="s">
        <v>786</v>
      </c>
      <c r="D260" t="s">
        <v>117</v>
      </c>
      <c r="E260" t="str">
        <f>PROPER(TRIM(D260))</f>
        <v>David</v>
      </c>
      <c r="F260" t="s">
        <v>46</v>
      </c>
      <c r="G260">
        <v>47</v>
      </c>
      <c r="H260" t="str">
        <f>IF(AND(G260&gt;18, G260&lt;65), "Valid", "Invalid")</f>
        <v>Valid</v>
      </c>
      <c r="I260" t="s">
        <v>21</v>
      </c>
      <c r="J260" t="str">
        <f>PROPER(TRIM(I260))</f>
        <v>Lagos</v>
      </c>
      <c r="K260" t="s">
        <v>22</v>
      </c>
      <c r="L260" t="str">
        <f>PROPER(TRIM(K260))</f>
        <v>Fashion</v>
      </c>
      <c r="M260" t="s">
        <v>23</v>
      </c>
      <c r="N260" t="str">
        <f>PROPER(TRIM(M260))</f>
        <v>Shirt</v>
      </c>
      <c r="O260">
        <v>222.18</v>
      </c>
      <c r="P260">
        <v>-2</v>
      </c>
      <c r="Q260">
        <f>IF(P260&lt;1, 1, P260)</f>
        <v>1</v>
      </c>
      <c r="R260">
        <v>-10</v>
      </c>
      <c r="S260" t="str">
        <f>IF(OR(R260&lt;0,R260&gt;100),"invalid","Valid")</f>
        <v>invalid</v>
      </c>
      <c r="U260" t="str">
        <f>PROPER(TRIM(T260))</f>
        <v/>
      </c>
      <c r="V260" t="s">
        <v>81</v>
      </c>
      <c r="W260" t="str">
        <f t="shared" si="8"/>
        <v>Ada</v>
      </c>
      <c r="X260" t="s">
        <v>26</v>
      </c>
      <c r="Y260">
        <v>3</v>
      </c>
      <c r="Z260" t="str">
        <f>IF(D260="", "Missing", "ok")</f>
        <v>ok</v>
      </c>
      <c r="AA260">
        <f t="shared" si="9"/>
        <v>244.39800000000002</v>
      </c>
    </row>
    <row r="261" spans="1:27" x14ac:dyDescent="0.25">
      <c r="A261" t="s">
        <v>787</v>
      </c>
      <c r="B261" s="1" t="s">
        <v>788</v>
      </c>
      <c r="C261" t="s">
        <v>789</v>
      </c>
      <c r="D261" t="s">
        <v>45</v>
      </c>
      <c r="E261" t="str">
        <f>PROPER(TRIM(D261))</f>
        <v>James</v>
      </c>
      <c r="F261" t="s">
        <v>46</v>
      </c>
      <c r="G261">
        <v>49</v>
      </c>
      <c r="H261" t="str">
        <f>IF(AND(G261&gt;18, G261&lt;65), "Valid", "Invalid")</f>
        <v>Valid</v>
      </c>
      <c r="I261" t="s">
        <v>38</v>
      </c>
      <c r="J261" t="str">
        <f>PROPER(TRIM(I261))</f>
        <v>Ph</v>
      </c>
      <c r="K261" t="s">
        <v>121</v>
      </c>
      <c r="L261" t="str">
        <f>PROPER(TRIM(K261))</f>
        <v>Beauty</v>
      </c>
      <c r="M261" t="s">
        <v>122</v>
      </c>
      <c r="N261" t="str">
        <f>PROPER(TRIM(M261))</f>
        <v>Cream</v>
      </c>
      <c r="O261">
        <v>198.37</v>
      </c>
      <c r="P261">
        <v>2</v>
      </c>
      <c r="Q261">
        <f>IF(P261&lt;1, 1, P261)</f>
        <v>2</v>
      </c>
      <c r="R261">
        <v>-10</v>
      </c>
      <c r="S261" t="str">
        <f>IF(OR(R261&lt;0,R261&gt;100),"invalid","Valid")</f>
        <v>invalid</v>
      </c>
      <c r="T261" t="s">
        <v>24</v>
      </c>
      <c r="U261" t="str">
        <f>PROPER(TRIM(T261))</f>
        <v>Pos</v>
      </c>
      <c r="V261" t="s">
        <v>25</v>
      </c>
      <c r="W261" t="str">
        <f t="shared" si="8"/>
        <v>Dan</v>
      </c>
      <c r="X261" t="s">
        <v>26</v>
      </c>
      <c r="Y261">
        <v>4</v>
      </c>
      <c r="Z261" t="str">
        <f>IF(D261="", "Missing", "ok")</f>
        <v>ok</v>
      </c>
      <c r="AA261">
        <f t="shared" si="9"/>
        <v>436.41400000000004</v>
      </c>
    </row>
    <row r="262" spans="1:27" x14ac:dyDescent="0.25">
      <c r="A262" t="s">
        <v>790</v>
      </c>
      <c r="B262" s="1" t="s">
        <v>791</v>
      </c>
      <c r="C262" t="s">
        <v>792</v>
      </c>
      <c r="D262" t="s">
        <v>19</v>
      </c>
      <c r="E262" t="str">
        <f>PROPER(TRIM(D262))</f>
        <v>Peter</v>
      </c>
      <c r="F262" t="s">
        <v>20</v>
      </c>
      <c r="G262">
        <v>38</v>
      </c>
      <c r="H262" t="str">
        <f>IF(AND(G262&gt;18, G262&lt;65), "Valid", "Invalid")</f>
        <v>Valid</v>
      </c>
      <c r="I262" t="s">
        <v>47</v>
      </c>
      <c r="J262" t="str">
        <f>PROPER(TRIM(I262))</f>
        <v>Enugu</v>
      </c>
      <c r="K262" t="s">
        <v>39</v>
      </c>
      <c r="L262" t="str">
        <f>PROPER(TRIM(K262))</f>
        <v>Electronics</v>
      </c>
      <c r="M262" t="s">
        <v>40</v>
      </c>
      <c r="N262" t="str">
        <f>PROPER(TRIM(M262))</f>
        <v>Phone</v>
      </c>
      <c r="O262">
        <v>463.54</v>
      </c>
      <c r="P262">
        <v>10</v>
      </c>
      <c r="Q262">
        <f>IF(P262&lt;1, 1, P262)</f>
        <v>10</v>
      </c>
      <c r="R262">
        <v>15</v>
      </c>
      <c r="S262" t="str">
        <f>IF(OR(R262&lt;0,R262&gt;100),"invalid","Valid")</f>
        <v>Valid</v>
      </c>
      <c r="T262" t="s">
        <v>77</v>
      </c>
      <c r="U262" t="str">
        <f>PROPER(TRIM(T262))</f>
        <v>Cash</v>
      </c>
      <c r="V262" t="s">
        <v>41</v>
      </c>
      <c r="W262" t="str">
        <f t="shared" si="8"/>
        <v>Chi</v>
      </c>
      <c r="X262" t="s">
        <v>65</v>
      </c>
      <c r="Y262">
        <v>2</v>
      </c>
      <c r="Z262" t="str">
        <f>IF(D262="", "Missing", "ok")</f>
        <v>ok</v>
      </c>
      <c r="AA262">
        <f t="shared" si="9"/>
        <v>3940.09</v>
      </c>
    </row>
    <row r="263" spans="1:27" x14ac:dyDescent="0.25">
      <c r="A263" t="s">
        <v>793</v>
      </c>
      <c r="B263" s="1" t="s">
        <v>794</v>
      </c>
      <c r="C263" t="s">
        <v>795</v>
      </c>
      <c r="D263" t="s">
        <v>19</v>
      </c>
      <c r="E263" t="str">
        <f>PROPER(TRIM(D263))</f>
        <v>Peter</v>
      </c>
      <c r="F263" t="s">
        <v>46</v>
      </c>
      <c r="G263">
        <v>130</v>
      </c>
      <c r="H263" t="str">
        <f>IF(AND(G263&gt;18, G263&lt;65), "Valid", "Invalid")</f>
        <v>Invalid</v>
      </c>
      <c r="I263" t="s">
        <v>30</v>
      </c>
      <c r="J263" t="str">
        <f>PROPER(TRIM(I263))</f>
        <v>Lagos</v>
      </c>
      <c r="K263" t="s">
        <v>87</v>
      </c>
      <c r="L263" t="str">
        <f>PROPER(TRIM(K263))</f>
        <v>Groceris</v>
      </c>
      <c r="M263" t="s">
        <v>49</v>
      </c>
      <c r="N263" t="str">
        <f>PROPER(TRIM(M263))</f>
        <v>Rice</v>
      </c>
      <c r="O263">
        <v>149.38</v>
      </c>
      <c r="P263">
        <v>-2</v>
      </c>
      <c r="Q263">
        <f>IF(P263&lt;1, 1, P263)</f>
        <v>1</v>
      </c>
      <c r="R263">
        <v>15</v>
      </c>
      <c r="S263" t="str">
        <f>IF(OR(R263&lt;0,R263&gt;100),"invalid","Valid")</f>
        <v>Valid</v>
      </c>
      <c r="T263" t="s">
        <v>64</v>
      </c>
      <c r="U263" t="str">
        <f>PROPER(TRIM(T263))</f>
        <v>Transfer</v>
      </c>
      <c r="V263" t="s">
        <v>25</v>
      </c>
      <c r="W263" t="str">
        <f t="shared" si="8"/>
        <v>Dan</v>
      </c>
      <c r="X263" t="s">
        <v>26</v>
      </c>
      <c r="Y263">
        <v>5</v>
      </c>
      <c r="Z263" t="str">
        <f>IF(D263="", "Missing", "ok")</f>
        <v>ok</v>
      </c>
      <c r="AA263">
        <f t="shared" si="9"/>
        <v>126.973</v>
      </c>
    </row>
    <row r="264" spans="1:27" x14ac:dyDescent="0.25">
      <c r="A264" t="s">
        <v>796</v>
      </c>
      <c r="B264" s="1" t="s">
        <v>130</v>
      </c>
      <c r="C264" t="s">
        <v>797</v>
      </c>
      <c r="D264" t="s">
        <v>101</v>
      </c>
      <c r="E264" t="str">
        <f>PROPER(TRIM(D264))</f>
        <v>Grace</v>
      </c>
      <c r="F264" t="s">
        <v>46</v>
      </c>
      <c r="G264">
        <v>8</v>
      </c>
      <c r="H264" t="str">
        <f>IF(AND(G264&gt;18, G264&lt;65), "Valid", "Invalid")</f>
        <v>Invalid</v>
      </c>
      <c r="I264" t="s">
        <v>38</v>
      </c>
      <c r="J264" t="str">
        <f>PROPER(TRIM(I264))</f>
        <v>Ph</v>
      </c>
      <c r="K264" t="s">
        <v>31</v>
      </c>
      <c r="L264" t="str">
        <f>PROPER(TRIM(K264))</f>
        <v>Sports</v>
      </c>
      <c r="M264" t="s">
        <v>32</v>
      </c>
      <c r="N264" t="str">
        <f>PROPER(TRIM(M264))</f>
        <v>Ball</v>
      </c>
      <c r="O264">
        <v>420.97</v>
      </c>
      <c r="P264">
        <v>-2</v>
      </c>
      <c r="Q264">
        <f>IF(P264&lt;1, 1, P264)</f>
        <v>1</v>
      </c>
      <c r="R264">
        <v>120</v>
      </c>
      <c r="S264" t="str">
        <f>IF(OR(R264&lt;0,R264&gt;100),"invalid","Valid")</f>
        <v>invalid</v>
      </c>
      <c r="U264" t="str">
        <f>PROPER(TRIM(T264))</f>
        <v/>
      </c>
      <c r="V264" t="s">
        <v>91</v>
      </c>
      <c r="W264" t="str">
        <f t="shared" si="8"/>
        <v>Ben</v>
      </c>
      <c r="X264" t="s">
        <v>26</v>
      </c>
      <c r="Y264">
        <v>2</v>
      </c>
      <c r="Z264" t="str">
        <f>IF(D264="", "Missing", "ok")</f>
        <v>ok</v>
      </c>
      <c r="AA264">
        <f t="shared" si="9"/>
        <v>-84.193999999999988</v>
      </c>
    </row>
    <row r="265" spans="1:27" x14ac:dyDescent="0.25">
      <c r="A265" t="s">
        <v>798</v>
      </c>
      <c r="B265" s="1" t="s">
        <v>799</v>
      </c>
      <c r="C265" t="s">
        <v>800</v>
      </c>
      <c r="D265" t="s">
        <v>69</v>
      </c>
      <c r="E265" t="str">
        <f>PROPER(TRIM(D265))</f>
        <v>Mary</v>
      </c>
      <c r="F265" t="s">
        <v>20</v>
      </c>
      <c r="G265">
        <v>8</v>
      </c>
      <c r="H265" t="str">
        <f>IF(AND(G265&gt;18, G265&lt;65), "Valid", "Invalid")</f>
        <v>Invalid</v>
      </c>
      <c r="I265" t="s">
        <v>53</v>
      </c>
      <c r="J265" t="str">
        <f>PROPER(TRIM(I265))</f>
        <v>Lagos</v>
      </c>
      <c r="K265" t="s">
        <v>31</v>
      </c>
      <c r="L265" t="str">
        <f>PROPER(TRIM(K265))</f>
        <v>Sports</v>
      </c>
      <c r="M265" t="s">
        <v>32</v>
      </c>
      <c r="N265" t="str">
        <f>PROPER(TRIM(M265))</f>
        <v>Ball</v>
      </c>
      <c r="O265">
        <v>250.35</v>
      </c>
      <c r="P265">
        <v>6</v>
      </c>
      <c r="Q265">
        <f>IF(P265&lt;1, 1, P265)</f>
        <v>6</v>
      </c>
      <c r="R265">
        <v>15</v>
      </c>
      <c r="S265" t="str">
        <f>IF(OR(R265&lt;0,R265&gt;100),"invalid","Valid")</f>
        <v>Valid</v>
      </c>
      <c r="T265" t="s">
        <v>77</v>
      </c>
      <c r="U265" t="str">
        <f>PROPER(TRIM(T265))</f>
        <v>Cash</v>
      </c>
      <c r="V265" t="s">
        <v>91</v>
      </c>
      <c r="W265" t="str">
        <f t="shared" si="8"/>
        <v>Ben</v>
      </c>
      <c r="X265" t="s">
        <v>26</v>
      </c>
      <c r="Y265">
        <v>5</v>
      </c>
      <c r="Z265" t="str">
        <f>IF(D265="", "Missing", "ok")</f>
        <v>ok</v>
      </c>
      <c r="AA265">
        <f t="shared" si="9"/>
        <v>1276.7849999999999</v>
      </c>
    </row>
    <row r="266" spans="1:27" x14ac:dyDescent="0.25">
      <c r="A266" t="s">
        <v>801</v>
      </c>
      <c r="B266" s="1" t="s">
        <v>802</v>
      </c>
      <c r="C266" t="s">
        <v>803</v>
      </c>
      <c r="E266" t="str">
        <f>PROPER(TRIM(D266))</f>
        <v/>
      </c>
      <c r="F266" t="s">
        <v>46</v>
      </c>
      <c r="G266">
        <v>8</v>
      </c>
      <c r="H266" t="str">
        <f>IF(AND(G266&gt;18, G266&lt;65), "Valid", "Invalid")</f>
        <v>Invalid</v>
      </c>
      <c r="I266" t="s">
        <v>70</v>
      </c>
      <c r="J266" t="str">
        <f>PROPER(TRIM(I266))</f>
        <v>Abuja</v>
      </c>
      <c r="K266" t="s">
        <v>39</v>
      </c>
      <c r="L266" t="str">
        <f>PROPER(TRIM(K266))</f>
        <v>Electronics</v>
      </c>
      <c r="M266" t="s">
        <v>40</v>
      </c>
      <c r="N266" t="str">
        <f>PROPER(TRIM(M266))</f>
        <v>Phone</v>
      </c>
      <c r="O266">
        <v>259.60000000000002</v>
      </c>
      <c r="P266">
        <v>5</v>
      </c>
      <c r="Q266">
        <f>IF(P266&lt;1, 1, P266)</f>
        <v>5</v>
      </c>
      <c r="R266">
        <v>120</v>
      </c>
      <c r="S266" t="str">
        <f>IF(OR(R266&lt;0,R266&gt;100),"invalid","Valid")</f>
        <v>invalid</v>
      </c>
      <c r="T266" t="s">
        <v>24</v>
      </c>
      <c r="U266" t="str">
        <f>PROPER(TRIM(T266))</f>
        <v>Pos</v>
      </c>
      <c r="V266" t="s">
        <v>41</v>
      </c>
      <c r="W266" t="str">
        <f t="shared" si="8"/>
        <v>Chi</v>
      </c>
      <c r="X266" t="s">
        <v>65</v>
      </c>
      <c r="Y266">
        <v>2</v>
      </c>
      <c r="Z266" t="str">
        <f>IF(D266="", "Missing", "ok")</f>
        <v>Missing</v>
      </c>
      <c r="AA266">
        <f t="shared" si="9"/>
        <v>-259.59999999999997</v>
      </c>
    </row>
    <row r="267" spans="1:27" x14ac:dyDescent="0.25">
      <c r="A267" t="s">
        <v>804</v>
      </c>
      <c r="B267" s="1" t="s">
        <v>403</v>
      </c>
      <c r="C267" t="s">
        <v>805</v>
      </c>
      <c r="D267" t="s">
        <v>101</v>
      </c>
      <c r="E267" t="str">
        <f>PROPER(TRIM(D267))</f>
        <v>Grace</v>
      </c>
      <c r="F267" t="s">
        <v>20</v>
      </c>
      <c r="G267">
        <v>130</v>
      </c>
      <c r="H267" t="str">
        <f>IF(AND(G267&gt;18, G267&lt;65), "Valid", "Invalid")</f>
        <v>Invalid</v>
      </c>
      <c r="I267" t="s">
        <v>86</v>
      </c>
      <c r="J267" t="str">
        <f>PROPER(TRIM(I267))</f>
        <v>Kano</v>
      </c>
      <c r="K267" t="s">
        <v>121</v>
      </c>
      <c r="L267" t="str">
        <f>PROPER(TRIM(K267))</f>
        <v>Beauty</v>
      </c>
      <c r="M267" t="s">
        <v>122</v>
      </c>
      <c r="N267" t="str">
        <f>PROPER(TRIM(M267))</f>
        <v>Cream</v>
      </c>
      <c r="O267">
        <v>120.62</v>
      </c>
      <c r="P267">
        <v>-2</v>
      </c>
      <c r="Q267">
        <f>IF(P267&lt;1, 1, P267)</f>
        <v>1</v>
      </c>
      <c r="R267">
        <v>-10</v>
      </c>
      <c r="S267" t="str">
        <f>IF(OR(R267&lt;0,R267&gt;100),"invalid","Valid")</f>
        <v>invalid</v>
      </c>
      <c r="U267" t="str">
        <f>PROPER(TRIM(T267))</f>
        <v/>
      </c>
      <c r="V267" t="s">
        <v>25</v>
      </c>
      <c r="W267" t="str">
        <f t="shared" si="8"/>
        <v>Dan</v>
      </c>
      <c r="X267" t="s">
        <v>26</v>
      </c>
      <c r="Y267">
        <v>2</v>
      </c>
      <c r="Z267" t="str">
        <f>IF(D267="", "Missing", "ok")</f>
        <v>ok</v>
      </c>
      <c r="AA267">
        <f t="shared" si="9"/>
        <v>132.68200000000002</v>
      </c>
    </row>
    <row r="268" spans="1:27" x14ac:dyDescent="0.25">
      <c r="A268" t="s">
        <v>806</v>
      </c>
      <c r="B268" s="1" t="s">
        <v>807</v>
      </c>
      <c r="C268" t="s">
        <v>808</v>
      </c>
      <c r="D268" t="s">
        <v>19</v>
      </c>
      <c r="E268" t="str">
        <f>PROPER(TRIM(D268))</f>
        <v>Peter</v>
      </c>
      <c r="F268" t="s">
        <v>46</v>
      </c>
      <c r="G268">
        <v>130</v>
      </c>
      <c r="H268" t="str">
        <f>IF(AND(G268&gt;18, G268&lt;65), "Valid", "Invalid")</f>
        <v>Invalid</v>
      </c>
      <c r="I268" t="s">
        <v>38</v>
      </c>
      <c r="J268" t="str">
        <f>PROPER(TRIM(I268))</f>
        <v>Ph</v>
      </c>
      <c r="K268" t="s">
        <v>121</v>
      </c>
      <c r="L268" t="str">
        <f>PROPER(TRIM(K268))</f>
        <v>Beauty</v>
      </c>
      <c r="M268" t="s">
        <v>122</v>
      </c>
      <c r="N268" t="str">
        <f>PROPER(TRIM(M268))</f>
        <v>Cream</v>
      </c>
      <c r="O268">
        <v>314.72000000000003</v>
      </c>
      <c r="P268">
        <v>5</v>
      </c>
      <c r="Q268">
        <f>IF(P268&lt;1, 1, P268)</f>
        <v>5</v>
      </c>
      <c r="R268">
        <v>10</v>
      </c>
      <c r="S268" t="str">
        <f>IF(OR(R268&lt;0,R268&gt;100),"invalid","Valid")</f>
        <v>Valid</v>
      </c>
      <c r="U268" t="str">
        <f>PROPER(TRIM(T268))</f>
        <v/>
      </c>
      <c r="V268" t="s">
        <v>91</v>
      </c>
      <c r="W268" t="str">
        <f t="shared" si="8"/>
        <v>Ben</v>
      </c>
      <c r="X268" t="s">
        <v>82</v>
      </c>
      <c r="Y268">
        <v>2</v>
      </c>
      <c r="Z268" t="str">
        <f>IF(D268="", "Missing", "ok")</f>
        <v>ok</v>
      </c>
      <c r="AA268">
        <f t="shared" si="9"/>
        <v>1416.2400000000002</v>
      </c>
    </row>
    <row r="269" spans="1:27" x14ac:dyDescent="0.25">
      <c r="A269" t="s">
        <v>809</v>
      </c>
      <c r="B269" s="1" t="s">
        <v>810</v>
      </c>
      <c r="C269" t="s">
        <v>811</v>
      </c>
      <c r="D269" t="s">
        <v>19</v>
      </c>
      <c r="E269" t="str">
        <f>PROPER(TRIM(D269))</f>
        <v>Peter</v>
      </c>
      <c r="F269" t="s">
        <v>20</v>
      </c>
      <c r="G269">
        <v>130</v>
      </c>
      <c r="H269" t="str">
        <f>IF(AND(G269&gt;18, G269&lt;65), "Valid", "Invalid")</f>
        <v>Invalid</v>
      </c>
      <c r="I269" t="s">
        <v>30</v>
      </c>
      <c r="J269" t="str">
        <f>PROPER(TRIM(I269))</f>
        <v>Lagos</v>
      </c>
      <c r="K269" t="s">
        <v>121</v>
      </c>
      <c r="L269" t="str">
        <f>PROPER(TRIM(K269))</f>
        <v>Beauty</v>
      </c>
      <c r="M269" t="s">
        <v>122</v>
      </c>
      <c r="N269" t="str">
        <f>PROPER(TRIM(M269))</f>
        <v>Cream</v>
      </c>
      <c r="O269">
        <v>363.06</v>
      </c>
      <c r="P269">
        <v>-2</v>
      </c>
      <c r="Q269">
        <f>IF(P269&lt;1, 1, P269)</f>
        <v>1</v>
      </c>
      <c r="R269">
        <v>10</v>
      </c>
      <c r="S269" t="str">
        <f>IF(OR(R269&lt;0,R269&gt;100),"invalid","Valid")</f>
        <v>Valid</v>
      </c>
      <c r="T269" t="s">
        <v>24</v>
      </c>
      <c r="U269" t="str">
        <f>PROPER(TRIM(T269))</f>
        <v>Pos</v>
      </c>
      <c r="V269" t="s">
        <v>81</v>
      </c>
      <c r="W269" t="str">
        <f t="shared" si="8"/>
        <v>Ada</v>
      </c>
      <c r="X269" t="s">
        <v>33</v>
      </c>
      <c r="Y269">
        <v>5</v>
      </c>
      <c r="Z269" t="str">
        <f>IF(D269="", "Missing", "ok")</f>
        <v>ok</v>
      </c>
      <c r="AA269">
        <f t="shared" si="9"/>
        <v>326.75400000000002</v>
      </c>
    </row>
    <row r="270" spans="1:27" x14ac:dyDescent="0.25">
      <c r="A270" t="s">
        <v>812</v>
      </c>
      <c r="B270" s="1" t="s">
        <v>229</v>
      </c>
      <c r="C270" t="s">
        <v>813</v>
      </c>
      <c r="D270" t="s">
        <v>37</v>
      </c>
      <c r="E270" t="str">
        <f>PROPER(TRIM(D270))</f>
        <v>Aisha</v>
      </c>
      <c r="F270" t="s">
        <v>46</v>
      </c>
      <c r="G270">
        <v>8</v>
      </c>
      <c r="H270" t="str">
        <f>IF(AND(G270&gt;18, G270&lt;65), "Valid", "Invalid")</f>
        <v>Invalid</v>
      </c>
      <c r="I270" t="s">
        <v>70</v>
      </c>
      <c r="J270" t="str">
        <f>PROPER(TRIM(I270))</f>
        <v>Abuja</v>
      </c>
      <c r="K270" t="s">
        <v>87</v>
      </c>
      <c r="L270" t="str">
        <f>PROPER(TRIM(K270))</f>
        <v>Groceris</v>
      </c>
      <c r="M270" t="s">
        <v>49</v>
      </c>
      <c r="N270" t="str">
        <f>PROPER(TRIM(M270))</f>
        <v>Rice</v>
      </c>
      <c r="O270">
        <v>234.27</v>
      </c>
      <c r="P270">
        <v>6</v>
      </c>
      <c r="Q270">
        <f>IF(P270&lt;1, 1, P270)</f>
        <v>6</v>
      </c>
      <c r="R270">
        <v>120</v>
      </c>
      <c r="S270" t="str">
        <f>IF(OR(R270&lt;0,R270&gt;100),"invalid","Valid")</f>
        <v>invalid</v>
      </c>
      <c r="T270" t="s">
        <v>77</v>
      </c>
      <c r="U270" t="str">
        <f>PROPER(TRIM(T270))</f>
        <v>Cash</v>
      </c>
      <c r="V270" t="s">
        <v>25</v>
      </c>
      <c r="W270" t="str">
        <f t="shared" si="8"/>
        <v>Dan</v>
      </c>
      <c r="X270" t="s">
        <v>26</v>
      </c>
      <c r="Y270">
        <v>5</v>
      </c>
      <c r="Z270" t="str">
        <f>IF(D270="", "Missing", "ok")</f>
        <v>ok</v>
      </c>
      <c r="AA270">
        <f t="shared" si="9"/>
        <v>-281.12399999999997</v>
      </c>
    </row>
    <row r="271" spans="1:27" x14ac:dyDescent="0.25">
      <c r="A271" t="s">
        <v>814</v>
      </c>
      <c r="B271" s="1" t="s">
        <v>708</v>
      </c>
      <c r="C271" t="s">
        <v>815</v>
      </c>
      <c r="D271" t="s">
        <v>69</v>
      </c>
      <c r="E271" t="str">
        <f>PROPER(TRIM(D271))</f>
        <v>Mary</v>
      </c>
      <c r="F271" t="s">
        <v>20</v>
      </c>
      <c r="G271">
        <v>8</v>
      </c>
      <c r="H271" t="str">
        <f>IF(AND(G271&gt;18, G271&lt;65), "Valid", "Invalid")</f>
        <v>Invalid</v>
      </c>
      <c r="I271" t="s">
        <v>86</v>
      </c>
      <c r="J271" t="str">
        <f>PROPER(TRIM(I271))</f>
        <v>Kano</v>
      </c>
      <c r="K271" t="s">
        <v>22</v>
      </c>
      <c r="L271" t="str">
        <f>PROPER(TRIM(K271))</f>
        <v>Fashion</v>
      </c>
      <c r="M271" t="s">
        <v>23</v>
      </c>
      <c r="N271" t="str">
        <f>PROPER(TRIM(M271))</f>
        <v>Shirt</v>
      </c>
      <c r="O271">
        <v>114.87</v>
      </c>
      <c r="P271">
        <v>2</v>
      </c>
      <c r="Q271">
        <f>IF(P271&lt;1, 1, P271)</f>
        <v>2</v>
      </c>
      <c r="R271">
        <v>-10</v>
      </c>
      <c r="S271" t="str">
        <f>IF(OR(R271&lt;0,R271&gt;100),"invalid","Valid")</f>
        <v>invalid</v>
      </c>
      <c r="T271" t="s">
        <v>77</v>
      </c>
      <c r="U271" t="str">
        <f>PROPER(TRIM(T271))</f>
        <v>Cash</v>
      </c>
      <c r="V271" t="s">
        <v>81</v>
      </c>
      <c r="W271" t="str">
        <f t="shared" si="8"/>
        <v>Ada</v>
      </c>
      <c r="X271" t="s">
        <v>26</v>
      </c>
      <c r="Y271">
        <v>5</v>
      </c>
      <c r="Z271" t="str">
        <f>IF(D271="", "Missing", "ok")</f>
        <v>ok</v>
      </c>
      <c r="AA271">
        <f t="shared" si="9"/>
        <v>252.71400000000003</v>
      </c>
    </row>
    <row r="272" spans="1:27" x14ac:dyDescent="0.25">
      <c r="A272" t="s">
        <v>816</v>
      </c>
      <c r="B272" s="1" t="s">
        <v>817</v>
      </c>
      <c r="C272" t="s">
        <v>818</v>
      </c>
      <c r="D272" t="s">
        <v>117</v>
      </c>
      <c r="E272" t="str">
        <f>PROPER(TRIM(D272))</f>
        <v>David</v>
      </c>
      <c r="F272" t="s">
        <v>46</v>
      </c>
      <c r="G272">
        <v>130</v>
      </c>
      <c r="H272" t="str">
        <f>IF(AND(G272&gt;18, G272&lt;65), "Valid", "Invalid")</f>
        <v>Invalid</v>
      </c>
      <c r="I272" t="s">
        <v>53</v>
      </c>
      <c r="J272" t="str">
        <f>PROPER(TRIM(I272))</f>
        <v>Lagos</v>
      </c>
      <c r="K272" t="s">
        <v>87</v>
      </c>
      <c r="L272" t="str">
        <f>PROPER(TRIM(K272))</f>
        <v>Groceris</v>
      </c>
      <c r="M272" t="s">
        <v>49</v>
      </c>
      <c r="N272" t="str">
        <f>PROPER(TRIM(M272))</f>
        <v>Rice</v>
      </c>
      <c r="O272">
        <v>251.75</v>
      </c>
      <c r="P272">
        <v>3</v>
      </c>
      <c r="Q272">
        <f>IF(P272&lt;1, 1, P272)</f>
        <v>3</v>
      </c>
      <c r="R272">
        <v>0</v>
      </c>
      <c r="S272" t="str">
        <f>IF(OR(R272&lt;0,R272&gt;100),"invalid","Valid")</f>
        <v>Valid</v>
      </c>
      <c r="T272" t="s">
        <v>59</v>
      </c>
      <c r="U272" t="str">
        <f>PROPER(TRIM(T272))</f>
        <v>Mobile Money</v>
      </c>
      <c r="V272" t="s">
        <v>91</v>
      </c>
      <c r="W272" t="str">
        <f t="shared" si="8"/>
        <v>Ben</v>
      </c>
      <c r="X272" t="s">
        <v>26</v>
      </c>
      <c r="Y272">
        <v>2</v>
      </c>
      <c r="Z272" t="str">
        <f>IF(D272="", "Missing", "ok")</f>
        <v>ok</v>
      </c>
      <c r="AA272">
        <f t="shared" si="9"/>
        <v>755.25</v>
      </c>
    </row>
    <row r="273" spans="1:27" x14ac:dyDescent="0.25">
      <c r="A273" t="s">
        <v>819</v>
      </c>
      <c r="B273" s="1" t="s">
        <v>820</v>
      </c>
      <c r="C273" t="s">
        <v>821</v>
      </c>
      <c r="D273" t="s">
        <v>63</v>
      </c>
      <c r="E273" t="str">
        <f>PROPER(TRIM(D273))</f>
        <v>John</v>
      </c>
      <c r="F273" t="s">
        <v>46</v>
      </c>
      <c r="G273">
        <v>130</v>
      </c>
      <c r="H273" t="str">
        <f>IF(AND(G273&gt;18, G273&lt;65), "Valid", "Invalid")</f>
        <v>Invalid</v>
      </c>
      <c r="I273" t="s">
        <v>70</v>
      </c>
      <c r="J273" t="str">
        <f>PROPER(TRIM(I273))</f>
        <v>Abuja</v>
      </c>
      <c r="K273" t="s">
        <v>121</v>
      </c>
      <c r="L273" t="str">
        <f>PROPER(TRIM(K273))</f>
        <v>Beauty</v>
      </c>
      <c r="M273" t="s">
        <v>122</v>
      </c>
      <c r="N273" t="str">
        <f>PROPER(TRIM(M273))</f>
        <v>Cream</v>
      </c>
      <c r="O273">
        <v>291.39999999999998</v>
      </c>
      <c r="P273">
        <v>-2</v>
      </c>
      <c r="Q273">
        <f>IF(P273&lt;1, 1, P273)</f>
        <v>1</v>
      </c>
      <c r="R273">
        <v>15</v>
      </c>
      <c r="S273" t="str">
        <f>IF(OR(R273&lt;0,R273&gt;100),"invalid","Valid")</f>
        <v>Valid</v>
      </c>
      <c r="T273" t="s">
        <v>77</v>
      </c>
      <c r="U273" t="str">
        <f>PROPER(TRIM(T273))</f>
        <v>Cash</v>
      </c>
      <c r="V273" t="s">
        <v>41</v>
      </c>
      <c r="W273" t="str">
        <f t="shared" si="8"/>
        <v>Chi</v>
      </c>
      <c r="X273" t="s">
        <v>65</v>
      </c>
      <c r="Z273" t="str">
        <f>IF(D273="", "Missing", "ok")</f>
        <v>ok</v>
      </c>
      <c r="AA273">
        <f t="shared" si="9"/>
        <v>247.68999999999997</v>
      </c>
    </row>
    <row r="274" spans="1:27" x14ac:dyDescent="0.25">
      <c r="A274" t="s">
        <v>822</v>
      </c>
      <c r="B274" s="1" t="s">
        <v>61</v>
      </c>
      <c r="C274" t="s">
        <v>823</v>
      </c>
      <c r="D274" t="s">
        <v>37</v>
      </c>
      <c r="E274" t="str">
        <f>PROPER(TRIM(D274))</f>
        <v>Aisha</v>
      </c>
      <c r="F274" t="s">
        <v>20</v>
      </c>
      <c r="G274">
        <v>8</v>
      </c>
      <c r="H274" t="str">
        <f>IF(AND(G274&gt;18, G274&lt;65), "Valid", "Invalid")</f>
        <v>Invalid</v>
      </c>
      <c r="I274" t="s">
        <v>30</v>
      </c>
      <c r="J274" t="str">
        <f>PROPER(TRIM(I274))</f>
        <v>Lagos</v>
      </c>
      <c r="K274" t="s">
        <v>22</v>
      </c>
      <c r="L274" t="str">
        <f>PROPER(TRIM(K274))</f>
        <v>Fashion</v>
      </c>
      <c r="M274" t="s">
        <v>23</v>
      </c>
      <c r="N274" t="str">
        <f>PROPER(TRIM(M274))</f>
        <v>Shirt</v>
      </c>
      <c r="O274">
        <v>377.27</v>
      </c>
      <c r="P274">
        <v>-2</v>
      </c>
      <c r="Q274">
        <f>IF(P274&lt;1, 1, P274)</f>
        <v>1</v>
      </c>
      <c r="R274">
        <v>120</v>
      </c>
      <c r="S274" t="str">
        <f>IF(OR(R274&lt;0,R274&gt;100),"invalid","Valid")</f>
        <v>invalid</v>
      </c>
      <c r="T274" t="s">
        <v>77</v>
      </c>
      <c r="U274" t="str">
        <f>PROPER(TRIM(T274))</f>
        <v>Cash</v>
      </c>
      <c r="V274" t="s">
        <v>81</v>
      </c>
      <c r="W274" t="str">
        <f t="shared" si="8"/>
        <v>Ada</v>
      </c>
      <c r="X274" t="s">
        <v>65</v>
      </c>
      <c r="Y274">
        <v>4</v>
      </c>
      <c r="Z274" t="str">
        <f>IF(D274="", "Missing", "ok")</f>
        <v>ok</v>
      </c>
      <c r="AA274">
        <f t="shared" si="9"/>
        <v>-75.453999999999979</v>
      </c>
    </row>
    <row r="275" spans="1:27" x14ac:dyDescent="0.25">
      <c r="A275" t="s">
        <v>824</v>
      </c>
      <c r="B275" s="1" t="s">
        <v>825</v>
      </c>
      <c r="C275" t="s">
        <v>826</v>
      </c>
      <c r="D275" t="s">
        <v>63</v>
      </c>
      <c r="E275" t="str">
        <f>PROPER(TRIM(D275))</f>
        <v>John</v>
      </c>
      <c r="F275" t="s">
        <v>20</v>
      </c>
      <c r="G275">
        <v>64</v>
      </c>
      <c r="H275" t="str">
        <f>IF(AND(G275&gt;18, G275&lt;65), "Valid", "Invalid")</f>
        <v>Valid</v>
      </c>
      <c r="I275" t="s">
        <v>53</v>
      </c>
      <c r="J275" t="str">
        <f>PROPER(TRIM(I275))</f>
        <v>Lagos</v>
      </c>
      <c r="K275" t="s">
        <v>87</v>
      </c>
      <c r="L275" t="str">
        <f>PROPER(TRIM(K275))</f>
        <v>Groceris</v>
      </c>
      <c r="M275" t="s">
        <v>49</v>
      </c>
      <c r="N275" t="str">
        <f>PROPER(TRIM(M275))</f>
        <v>Rice</v>
      </c>
      <c r="O275">
        <v>421.9</v>
      </c>
      <c r="P275">
        <v>8</v>
      </c>
      <c r="Q275">
        <f>IF(P275&lt;1, 1, P275)</f>
        <v>8</v>
      </c>
      <c r="R275">
        <v>-10</v>
      </c>
      <c r="S275" t="str">
        <f>IF(OR(R275&lt;0,R275&gt;100),"invalid","Valid")</f>
        <v>invalid</v>
      </c>
      <c r="T275" t="s">
        <v>59</v>
      </c>
      <c r="U275" t="str">
        <f>PROPER(TRIM(T275))</f>
        <v>Mobile Money</v>
      </c>
      <c r="V275" t="s">
        <v>81</v>
      </c>
      <c r="W275" t="str">
        <f t="shared" si="8"/>
        <v>Ada</v>
      </c>
      <c r="X275" t="s">
        <v>33</v>
      </c>
      <c r="Y275">
        <v>4</v>
      </c>
      <c r="Z275" t="str">
        <f>IF(D275="", "Missing", "ok")</f>
        <v>ok</v>
      </c>
      <c r="AA275">
        <f t="shared" si="9"/>
        <v>3712.7200000000003</v>
      </c>
    </row>
    <row r="276" spans="1:27" x14ac:dyDescent="0.25">
      <c r="A276" t="s">
        <v>827</v>
      </c>
      <c r="B276" s="1" t="s">
        <v>828</v>
      </c>
      <c r="C276" t="s">
        <v>829</v>
      </c>
      <c r="E276" t="str">
        <f>PROPER(TRIM(D276))</f>
        <v/>
      </c>
      <c r="F276" t="s">
        <v>20</v>
      </c>
      <c r="G276">
        <v>130</v>
      </c>
      <c r="H276" t="str">
        <f>IF(AND(G276&gt;18, G276&lt;65), "Valid", "Invalid")</f>
        <v>Invalid</v>
      </c>
      <c r="I276" t="s">
        <v>47</v>
      </c>
      <c r="J276" t="str">
        <f>PROPER(TRIM(I276))</f>
        <v>Enugu</v>
      </c>
      <c r="K276" t="s">
        <v>22</v>
      </c>
      <c r="L276" t="str">
        <f>PROPER(TRIM(K276))</f>
        <v>Fashion</v>
      </c>
      <c r="M276" t="s">
        <v>23</v>
      </c>
      <c r="N276" t="str">
        <f>PROPER(TRIM(M276))</f>
        <v>Shirt</v>
      </c>
      <c r="O276">
        <v>463.7</v>
      </c>
      <c r="P276">
        <v>-2</v>
      </c>
      <c r="Q276">
        <f>IF(P276&lt;1, 1, P276)</f>
        <v>1</v>
      </c>
      <c r="R276">
        <v>10</v>
      </c>
      <c r="S276" t="str">
        <f>IF(OR(R276&lt;0,R276&gt;100),"invalid","Valid")</f>
        <v>Valid</v>
      </c>
      <c r="T276" t="s">
        <v>24</v>
      </c>
      <c r="U276" t="str">
        <f>PROPER(TRIM(T276))</f>
        <v>Pos</v>
      </c>
      <c r="V276" t="s">
        <v>25</v>
      </c>
      <c r="W276" t="str">
        <f t="shared" si="8"/>
        <v>Dan</v>
      </c>
      <c r="X276" t="s">
        <v>82</v>
      </c>
      <c r="Y276">
        <v>2</v>
      </c>
      <c r="Z276" t="str">
        <f>IF(D276="", "Missing", "ok")</f>
        <v>Missing</v>
      </c>
      <c r="AA276">
        <f t="shared" si="9"/>
        <v>417.33</v>
      </c>
    </row>
    <row r="277" spans="1:27" x14ac:dyDescent="0.25">
      <c r="A277" t="s">
        <v>830</v>
      </c>
      <c r="B277" s="1" t="s">
        <v>831</v>
      </c>
      <c r="C277" t="s">
        <v>832</v>
      </c>
      <c r="D277" t="s">
        <v>117</v>
      </c>
      <c r="E277" t="str">
        <f>PROPER(TRIM(D277))</f>
        <v>David</v>
      </c>
      <c r="F277" t="s">
        <v>20</v>
      </c>
      <c r="G277">
        <v>8</v>
      </c>
      <c r="H277" t="str">
        <f>IF(AND(G277&gt;18, G277&lt;65), "Valid", "Invalid")</f>
        <v>Invalid</v>
      </c>
      <c r="I277" t="s">
        <v>38</v>
      </c>
      <c r="J277" t="str">
        <f>PROPER(TRIM(I277))</f>
        <v>Ph</v>
      </c>
      <c r="K277" t="s">
        <v>48</v>
      </c>
      <c r="L277" t="str">
        <f>PROPER(TRIM(K277))</f>
        <v>Groceries</v>
      </c>
      <c r="M277" t="s">
        <v>49</v>
      </c>
      <c r="N277" t="str">
        <f>PROPER(TRIM(M277))</f>
        <v>Rice</v>
      </c>
      <c r="O277">
        <v>311.81</v>
      </c>
      <c r="P277">
        <v>-2</v>
      </c>
      <c r="Q277">
        <f>IF(P277&lt;1, 1, P277)</f>
        <v>1</v>
      </c>
      <c r="R277">
        <v>5</v>
      </c>
      <c r="S277" t="str">
        <f>IF(OR(R277&lt;0,R277&gt;100),"invalid","Valid")</f>
        <v>Valid</v>
      </c>
      <c r="U277" t="str">
        <f>PROPER(TRIM(T277))</f>
        <v/>
      </c>
      <c r="V277" t="s">
        <v>25</v>
      </c>
      <c r="W277" t="str">
        <f t="shared" si="8"/>
        <v>Dan</v>
      </c>
      <c r="X277" t="s">
        <v>26</v>
      </c>
      <c r="Y277">
        <v>2</v>
      </c>
      <c r="Z277" t="str">
        <f>IF(D277="", "Missing", "ok")</f>
        <v>ok</v>
      </c>
      <c r="AA277">
        <f t="shared" si="9"/>
        <v>296.21949999999998</v>
      </c>
    </row>
    <row r="278" spans="1:27" x14ac:dyDescent="0.25">
      <c r="A278" t="s">
        <v>833</v>
      </c>
      <c r="B278" s="1" t="s">
        <v>587</v>
      </c>
      <c r="C278" t="s">
        <v>834</v>
      </c>
      <c r="D278" t="s">
        <v>37</v>
      </c>
      <c r="E278" t="str">
        <f>PROPER(TRIM(D278))</f>
        <v>Aisha</v>
      </c>
      <c r="F278" t="s">
        <v>20</v>
      </c>
      <c r="G278">
        <v>58</v>
      </c>
      <c r="H278" t="str">
        <f>IF(AND(G278&gt;18, G278&lt;65), "Valid", "Invalid")</f>
        <v>Valid</v>
      </c>
      <c r="I278" t="s">
        <v>53</v>
      </c>
      <c r="J278" t="str">
        <f>PROPER(TRIM(I278))</f>
        <v>Lagos</v>
      </c>
      <c r="K278" t="s">
        <v>48</v>
      </c>
      <c r="L278" t="str">
        <f>PROPER(TRIM(K278))</f>
        <v>Groceries</v>
      </c>
      <c r="M278" t="s">
        <v>49</v>
      </c>
      <c r="N278" t="str">
        <f>PROPER(TRIM(M278))</f>
        <v>Rice</v>
      </c>
      <c r="O278">
        <v>126.95</v>
      </c>
      <c r="P278">
        <v>9</v>
      </c>
      <c r="Q278">
        <f>IF(P278&lt;1, 1, P278)</f>
        <v>9</v>
      </c>
      <c r="R278">
        <v>-10</v>
      </c>
      <c r="S278" t="str">
        <f>IF(OR(R278&lt;0,R278&gt;100),"invalid","Valid")</f>
        <v>invalid</v>
      </c>
      <c r="T278" t="s">
        <v>59</v>
      </c>
      <c r="U278" t="str">
        <f>PROPER(TRIM(T278))</f>
        <v>Mobile Money</v>
      </c>
      <c r="V278" t="s">
        <v>91</v>
      </c>
      <c r="W278" t="str">
        <f t="shared" si="8"/>
        <v>Ben</v>
      </c>
      <c r="X278" t="s">
        <v>82</v>
      </c>
      <c r="Y278">
        <v>1</v>
      </c>
      <c r="Z278" t="str">
        <f>IF(D278="", "Missing", "ok")</f>
        <v>ok</v>
      </c>
      <c r="AA278">
        <f t="shared" si="9"/>
        <v>1256.8050000000001</v>
      </c>
    </row>
    <row r="279" spans="1:27" x14ac:dyDescent="0.25">
      <c r="A279" t="s">
        <v>835</v>
      </c>
      <c r="B279" s="1" t="s">
        <v>836</v>
      </c>
      <c r="C279" t="s">
        <v>837</v>
      </c>
      <c r="D279" t="s">
        <v>19</v>
      </c>
      <c r="E279" t="str">
        <f>PROPER(TRIM(D279))</f>
        <v>Peter</v>
      </c>
      <c r="F279" t="s">
        <v>20</v>
      </c>
      <c r="G279">
        <v>8</v>
      </c>
      <c r="H279" t="str">
        <f>IF(AND(G279&gt;18, G279&lt;65), "Valid", "Invalid")</f>
        <v>Invalid</v>
      </c>
      <c r="I279" t="s">
        <v>38</v>
      </c>
      <c r="J279" t="str">
        <f>PROPER(TRIM(I279))</f>
        <v>Ph</v>
      </c>
      <c r="K279" t="s">
        <v>54</v>
      </c>
      <c r="L279" t="str">
        <f>PROPER(TRIM(K279))</f>
        <v>Home</v>
      </c>
      <c r="M279" t="s">
        <v>55</v>
      </c>
      <c r="N279" t="str">
        <f>PROPER(TRIM(M279))</f>
        <v>Chair</v>
      </c>
      <c r="O279">
        <v>255.74</v>
      </c>
      <c r="P279">
        <v>-2</v>
      </c>
      <c r="Q279">
        <f>IF(P279&lt;1, 1, P279)</f>
        <v>1</v>
      </c>
      <c r="R279">
        <v>120</v>
      </c>
      <c r="S279" t="str">
        <f>IF(OR(R279&lt;0,R279&gt;100),"invalid","Valid")</f>
        <v>invalid</v>
      </c>
      <c r="T279" t="s">
        <v>24</v>
      </c>
      <c r="U279" t="str">
        <f>PROPER(TRIM(T279))</f>
        <v>Pos</v>
      </c>
      <c r="V279" t="s">
        <v>91</v>
      </c>
      <c r="W279" t="str">
        <f t="shared" si="8"/>
        <v>Ben</v>
      </c>
      <c r="X279" t="s">
        <v>26</v>
      </c>
      <c r="Y279">
        <v>4</v>
      </c>
      <c r="Z279" t="str">
        <f>IF(D279="", "Missing", "ok")</f>
        <v>ok</v>
      </c>
      <c r="AA279">
        <f t="shared" si="9"/>
        <v>-51.147999999999989</v>
      </c>
    </row>
    <row r="280" spans="1:27" x14ac:dyDescent="0.25">
      <c r="A280" t="s">
        <v>838</v>
      </c>
      <c r="B280" s="1" t="s">
        <v>315</v>
      </c>
      <c r="C280" t="s">
        <v>839</v>
      </c>
      <c r="D280" t="s">
        <v>19</v>
      </c>
      <c r="E280" t="str">
        <f>PROPER(TRIM(D280))</f>
        <v>Peter</v>
      </c>
      <c r="F280" t="s">
        <v>46</v>
      </c>
      <c r="G280">
        <v>130</v>
      </c>
      <c r="H280" t="str">
        <f>IF(AND(G280&gt;18, G280&lt;65), "Valid", "Invalid")</f>
        <v>Invalid</v>
      </c>
      <c r="I280" t="s">
        <v>21</v>
      </c>
      <c r="J280" t="str">
        <f>PROPER(TRIM(I280))</f>
        <v>Lagos</v>
      </c>
      <c r="K280" t="s">
        <v>31</v>
      </c>
      <c r="L280" t="str">
        <f>PROPER(TRIM(K280))</f>
        <v>Sports</v>
      </c>
      <c r="M280" t="s">
        <v>32</v>
      </c>
      <c r="N280" t="str">
        <f>PROPER(TRIM(M280))</f>
        <v>Ball</v>
      </c>
      <c r="O280">
        <v>449.44</v>
      </c>
      <c r="P280">
        <v>-2</v>
      </c>
      <c r="Q280">
        <f>IF(P280&lt;1, 1, P280)</f>
        <v>1</v>
      </c>
      <c r="R280">
        <v>10</v>
      </c>
      <c r="S280" t="str">
        <f>IF(OR(R280&lt;0,R280&gt;100),"invalid","Valid")</f>
        <v>Valid</v>
      </c>
      <c r="T280" t="s">
        <v>64</v>
      </c>
      <c r="U280" t="str">
        <f>PROPER(TRIM(T280))</f>
        <v>Transfer</v>
      </c>
      <c r="V280" t="s">
        <v>81</v>
      </c>
      <c r="W280" t="str">
        <f t="shared" si="8"/>
        <v>Ada</v>
      </c>
      <c r="X280" t="s">
        <v>26</v>
      </c>
      <c r="Y280">
        <v>5</v>
      </c>
      <c r="Z280" t="str">
        <f>IF(D280="", "Missing", "ok")</f>
        <v>ok</v>
      </c>
      <c r="AA280">
        <f t="shared" si="9"/>
        <v>404.49599999999998</v>
      </c>
    </row>
    <row r="281" spans="1:27" x14ac:dyDescent="0.25">
      <c r="A281" t="s">
        <v>840</v>
      </c>
      <c r="B281" s="1" t="s">
        <v>841</v>
      </c>
      <c r="C281" t="s">
        <v>842</v>
      </c>
      <c r="E281" t="str">
        <f>PROPER(TRIM(D281))</f>
        <v/>
      </c>
      <c r="F281" t="s">
        <v>20</v>
      </c>
      <c r="G281">
        <v>130</v>
      </c>
      <c r="H281" t="str">
        <f>IF(AND(G281&gt;18, G281&lt;65), "Valid", "Invalid")</f>
        <v>Invalid</v>
      </c>
      <c r="I281" t="s">
        <v>38</v>
      </c>
      <c r="J281" t="str">
        <f>PROPER(TRIM(I281))</f>
        <v>Ph</v>
      </c>
      <c r="K281" t="s">
        <v>31</v>
      </c>
      <c r="L281" t="str">
        <f>PROPER(TRIM(K281))</f>
        <v>Sports</v>
      </c>
      <c r="M281" t="s">
        <v>32</v>
      </c>
      <c r="N281" t="str">
        <f>PROPER(TRIM(M281))</f>
        <v>Ball</v>
      </c>
      <c r="O281">
        <v>28.4</v>
      </c>
      <c r="P281">
        <v>-2</v>
      </c>
      <c r="Q281">
        <f>IF(P281&lt;1, 1, P281)</f>
        <v>1</v>
      </c>
      <c r="R281">
        <v>-10</v>
      </c>
      <c r="S281" t="str">
        <f>IF(OR(R281&lt;0,R281&gt;100),"invalid","Valid")</f>
        <v>invalid</v>
      </c>
      <c r="T281" t="s">
        <v>24</v>
      </c>
      <c r="U281" t="str">
        <f>PROPER(TRIM(T281))</f>
        <v>Pos</v>
      </c>
      <c r="V281" t="s">
        <v>41</v>
      </c>
      <c r="W281" t="str">
        <f t="shared" si="8"/>
        <v>Chi</v>
      </c>
      <c r="X281" t="s">
        <v>82</v>
      </c>
      <c r="Y281">
        <v>3</v>
      </c>
      <c r="Z281" t="str">
        <f>IF(D281="", "Missing", "ok")</f>
        <v>Missing</v>
      </c>
      <c r="AA281">
        <f t="shared" si="9"/>
        <v>31.240000000000002</v>
      </c>
    </row>
    <row r="282" spans="1:27" x14ac:dyDescent="0.25">
      <c r="A282" t="s">
        <v>843</v>
      </c>
      <c r="B282" s="1" t="s">
        <v>844</v>
      </c>
      <c r="C282" t="s">
        <v>845</v>
      </c>
      <c r="D282" t="s">
        <v>117</v>
      </c>
      <c r="E282" t="str">
        <f>PROPER(TRIM(D282))</f>
        <v>David</v>
      </c>
      <c r="F282" t="s">
        <v>46</v>
      </c>
      <c r="G282">
        <v>130</v>
      </c>
      <c r="H282" t="str">
        <f>IF(AND(G282&gt;18, G282&lt;65), "Valid", "Invalid")</f>
        <v>Invalid</v>
      </c>
      <c r="I282" t="s">
        <v>30</v>
      </c>
      <c r="J282" t="str">
        <f>PROPER(TRIM(I282))</f>
        <v>Lagos</v>
      </c>
      <c r="K282" t="s">
        <v>121</v>
      </c>
      <c r="L282" t="str">
        <f>PROPER(TRIM(K282))</f>
        <v>Beauty</v>
      </c>
      <c r="M282" t="s">
        <v>122</v>
      </c>
      <c r="N282" t="str">
        <f>PROPER(TRIM(M282))</f>
        <v>Cream</v>
      </c>
      <c r="O282">
        <v>68.55</v>
      </c>
      <c r="P282">
        <v>10</v>
      </c>
      <c r="Q282">
        <f>IF(P282&lt;1, 1, P282)</f>
        <v>10</v>
      </c>
      <c r="R282">
        <v>10</v>
      </c>
      <c r="S282" t="str">
        <f>IF(OR(R282&lt;0,R282&gt;100),"invalid","Valid")</f>
        <v>Valid</v>
      </c>
      <c r="U282" t="str">
        <f>PROPER(TRIM(T282))</f>
        <v/>
      </c>
      <c r="V282" t="s">
        <v>41</v>
      </c>
      <c r="W282" t="str">
        <f t="shared" si="8"/>
        <v>Chi</v>
      </c>
      <c r="X282" t="s">
        <v>33</v>
      </c>
      <c r="Z282" t="str">
        <f>IF(D282="", "Missing", "ok")</f>
        <v>ok</v>
      </c>
      <c r="AA282">
        <f t="shared" si="9"/>
        <v>616.95000000000005</v>
      </c>
    </row>
    <row r="283" spans="1:27" x14ac:dyDescent="0.25">
      <c r="A283" t="s">
        <v>846</v>
      </c>
      <c r="B283" s="1" t="s">
        <v>810</v>
      </c>
      <c r="C283" t="s">
        <v>847</v>
      </c>
      <c r="D283" t="s">
        <v>45</v>
      </c>
      <c r="E283" t="str">
        <f>PROPER(TRIM(D283))</f>
        <v>James</v>
      </c>
      <c r="F283" t="s">
        <v>46</v>
      </c>
      <c r="G283">
        <v>130</v>
      </c>
      <c r="H283" t="str">
        <f>IF(AND(G283&gt;18, G283&lt;65), "Valid", "Invalid")</f>
        <v>Invalid</v>
      </c>
      <c r="I283" t="s">
        <v>30</v>
      </c>
      <c r="J283" t="str">
        <f>PROPER(TRIM(I283))</f>
        <v>Lagos</v>
      </c>
      <c r="K283" t="s">
        <v>31</v>
      </c>
      <c r="L283" t="str">
        <f>PROPER(TRIM(K283))</f>
        <v>Sports</v>
      </c>
      <c r="M283" t="s">
        <v>32</v>
      </c>
      <c r="N283" t="str">
        <f>PROPER(TRIM(M283))</f>
        <v>Ball</v>
      </c>
      <c r="O283">
        <v>157.43</v>
      </c>
      <c r="P283">
        <v>-2</v>
      </c>
      <c r="Q283">
        <f>IF(P283&lt;1, 1, P283)</f>
        <v>1</v>
      </c>
      <c r="R283">
        <v>0</v>
      </c>
      <c r="S283" t="str">
        <f>IF(OR(R283&lt;0,R283&gt;100),"invalid","Valid")</f>
        <v>Valid</v>
      </c>
      <c r="T283" t="s">
        <v>24</v>
      </c>
      <c r="U283" t="str">
        <f>PROPER(TRIM(T283))</f>
        <v>Pos</v>
      </c>
      <c r="V283" t="s">
        <v>91</v>
      </c>
      <c r="W283" t="str">
        <f t="shared" si="8"/>
        <v>Ben</v>
      </c>
      <c r="X283" t="s">
        <v>33</v>
      </c>
      <c r="Y283">
        <v>2</v>
      </c>
      <c r="Z283" t="str">
        <f>IF(D283="", "Missing", "ok")</f>
        <v>ok</v>
      </c>
      <c r="AA283">
        <f t="shared" si="9"/>
        <v>157.43</v>
      </c>
    </row>
    <row r="284" spans="1:27" x14ac:dyDescent="0.25">
      <c r="A284" t="s">
        <v>848</v>
      </c>
      <c r="B284" s="1" t="s">
        <v>849</v>
      </c>
      <c r="C284" t="s">
        <v>850</v>
      </c>
      <c r="D284" t="s">
        <v>19</v>
      </c>
      <c r="E284" t="str">
        <f>PROPER(TRIM(D284))</f>
        <v>Peter</v>
      </c>
      <c r="F284" t="s">
        <v>20</v>
      </c>
      <c r="G284">
        <v>33</v>
      </c>
      <c r="H284" t="str">
        <f>IF(AND(G284&gt;18, G284&lt;65), "Valid", "Invalid")</f>
        <v>Valid</v>
      </c>
      <c r="I284" t="s">
        <v>47</v>
      </c>
      <c r="J284" t="str">
        <f>PROPER(TRIM(I284))</f>
        <v>Enugu</v>
      </c>
      <c r="K284" t="s">
        <v>48</v>
      </c>
      <c r="L284" t="str">
        <f>PROPER(TRIM(K284))</f>
        <v>Groceries</v>
      </c>
      <c r="M284" t="s">
        <v>49</v>
      </c>
      <c r="N284" t="str">
        <f>PROPER(TRIM(M284))</f>
        <v>Rice</v>
      </c>
      <c r="O284">
        <v>261.36</v>
      </c>
      <c r="P284">
        <v>9</v>
      </c>
      <c r="Q284">
        <f>IF(P284&lt;1, 1, P284)</f>
        <v>9</v>
      </c>
      <c r="R284">
        <v>5</v>
      </c>
      <c r="S284" t="str">
        <f>IF(OR(R284&lt;0,R284&gt;100),"invalid","Valid")</f>
        <v>Valid</v>
      </c>
      <c r="T284" t="s">
        <v>77</v>
      </c>
      <c r="U284" t="str">
        <f>PROPER(TRIM(T284))</f>
        <v>Cash</v>
      </c>
      <c r="V284" t="s">
        <v>41</v>
      </c>
      <c r="W284" t="str">
        <f t="shared" si="8"/>
        <v>Chi</v>
      </c>
      <c r="X284" t="s">
        <v>82</v>
      </c>
      <c r="Y284">
        <v>1</v>
      </c>
      <c r="Z284" t="str">
        <f>IF(D284="", "Missing", "ok")</f>
        <v>ok</v>
      </c>
      <c r="AA284">
        <f t="shared" si="9"/>
        <v>2234.6280000000002</v>
      </c>
    </row>
    <row r="285" spans="1:27" x14ac:dyDescent="0.25">
      <c r="A285" t="s">
        <v>851</v>
      </c>
      <c r="B285" s="1" t="s">
        <v>852</v>
      </c>
      <c r="C285" t="s">
        <v>853</v>
      </c>
      <c r="D285" t="s">
        <v>101</v>
      </c>
      <c r="E285" t="str">
        <f>PROPER(TRIM(D285))</f>
        <v>Grace</v>
      </c>
      <c r="F285" t="s">
        <v>46</v>
      </c>
      <c r="G285">
        <v>45</v>
      </c>
      <c r="H285" t="str">
        <f>IF(AND(G285&gt;18, G285&lt;65), "Valid", "Invalid")</f>
        <v>Valid</v>
      </c>
      <c r="I285" t="s">
        <v>86</v>
      </c>
      <c r="J285" t="str">
        <f>PROPER(TRIM(I285))</f>
        <v>Kano</v>
      </c>
      <c r="K285" t="s">
        <v>31</v>
      </c>
      <c r="L285" t="str">
        <f>PROPER(TRIM(K285))</f>
        <v>Sports</v>
      </c>
      <c r="M285" t="s">
        <v>32</v>
      </c>
      <c r="N285" t="str">
        <f>PROPER(TRIM(M285))</f>
        <v>Ball</v>
      </c>
      <c r="O285">
        <v>447.81</v>
      </c>
      <c r="P285">
        <v>-2</v>
      </c>
      <c r="Q285">
        <f>IF(P285&lt;1, 1, P285)</f>
        <v>1</v>
      </c>
      <c r="R285">
        <v>5</v>
      </c>
      <c r="S285" t="str">
        <f>IF(OR(R285&lt;0,R285&gt;100),"invalid","Valid")</f>
        <v>Valid</v>
      </c>
      <c r="T285" t="s">
        <v>59</v>
      </c>
      <c r="U285" t="str">
        <f>PROPER(TRIM(T285))</f>
        <v>Mobile Money</v>
      </c>
      <c r="V285" t="s">
        <v>41</v>
      </c>
      <c r="W285" t="str">
        <f t="shared" si="8"/>
        <v>Chi</v>
      </c>
      <c r="X285" t="s">
        <v>65</v>
      </c>
      <c r="Y285">
        <v>4</v>
      </c>
      <c r="Z285" t="str">
        <f>IF(D285="", "Missing", "ok")</f>
        <v>ok</v>
      </c>
      <c r="AA285">
        <f t="shared" si="9"/>
        <v>425.41949999999997</v>
      </c>
    </row>
    <row r="286" spans="1:27" x14ac:dyDescent="0.25">
      <c r="A286" t="s">
        <v>854</v>
      </c>
      <c r="B286" s="1" t="s">
        <v>855</v>
      </c>
      <c r="C286" t="s">
        <v>856</v>
      </c>
      <c r="D286" t="s">
        <v>117</v>
      </c>
      <c r="E286" t="str">
        <f>PROPER(TRIM(D286))</f>
        <v>David</v>
      </c>
      <c r="F286" t="s">
        <v>20</v>
      </c>
      <c r="G286">
        <v>33</v>
      </c>
      <c r="H286" t="str">
        <f>IF(AND(G286&gt;18, G286&lt;65), "Valid", "Invalid")</f>
        <v>Valid</v>
      </c>
      <c r="I286" t="s">
        <v>30</v>
      </c>
      <c r="J286" t="str">
        <f>PROPER(TRIM(I286))</f>
        <v>Lagos</v>
      </c>
      <c r="K286" t="s">
        <v>121</v>
      </c>
      <c r="L286" t="str">
        <f>PROPER(TRIM(K286))</f>
        <v>Beauty</v>
      </c>
      <c r="M286" t="s">
        <v>122</v>
      </c>
      <c r="N286" t="str">
        <f>PROPER(TRIM(M286))</f>
        <v>Cream</v>
      </c>
      <c r="O286">
        <v>130.33000000000001</v>
      </c>
      <c r="P286">
        <v>-2</v>
      </c>
      <c r="Q286">
        <f>IF(P286&lt;1, 1, P286)</f>
        <v>1</v>
      </c>
      <c r="R286">
        <v>5</v>
      </c>
      <c r="S286" t="str">
        <f>IF(OR(R286&lt;0,R286&gt;100),"invalid","Valid")</f>
        <v>Valid</v>
      </c>
      <c r="T286" t="s">
        <v>77</v>
      </c>
      <c r="U286" t="str">
        <f>PROPER(TRIM(T286))</f>
        <v>Cash</v>
      </c>
      <c r="V286" t="s">
        <v>81</v>
      </c>
      <c r="W286" t="str">
        <f t="shared" si="8"/>
        <v>Ada</v>
      </c>
      <c r="X286" t="s">
        <v>82</v>
      </c>
      <c r="Y286">
        <v>3</v>
      </c>
      <c r="Z286" t="str">
        <f>IF(D286="", "Missing", "ok")</f>
        <v>ok</v>
      </c>
      <c r="AA286">
        <f t="shared" si="9"/>
        <v>123.8135</v>
      </c>
    </row>
    <row r="287" spans="1:27" x14ac:dyDescent="0.25">
      <c r="A287" t="s">
        <v>857</v>
      </c>
      <c r="B287" s="1" t="s">
        <v>523</v>
      </c>
      <c r="C287" t="s">
        <v>858</v>
      </c>
      <c r="D287" t="s">
        <v>63</v>
      </c>
      <c r="E287" t="str">
        <f>PROPER(TRIM(D287))</f>
        <v>John</v>
      </c>
      <c r="F287" t="s">
        <v>46</v>
      </c>
      <c r="G287">
        <v>8</v>
      </c>
      <c r="H287" t="str">
        <f>IF(AND(G287&gt;18, G287&lt;65), "Valid", "Invalid")</f>
        <v>Invalid</v>
      </c>
      <c r="I287" t="s">
        <v>53</v>
      </c>
      <c r="J287" t="str">
        <f>PROPER(TRIM(I287))</f>
        <v>Lagos</v>
      </c>
      <c r="K287" t="s">
        <v>31</v>
      </c>
      <c r="L287" t="str">
        <f>PROPER(TRIM(K287))</f>
        <v>Sports</v>
      </c>
      <c r="M287" t="s">
        <v>32</v>
      </c>
      <c r="N287" t="str">
        <f>PROPER(TRIM(M287))</f>
        <v>Ball</v>
      </c>
      <c r="O287">
        <v>377.74</v>
      </c>
      <c r="P287">
        <v>8</v>
      </c>
      <c r="Q287">
        <f>IF(P287&lt;1, 1, P287)</f>
        <v>8</v>
      </c>
      <c r="R287">
        <v>10</v>
      </c>
      <c r="S287" t="str">
        <f>IF(OR(R287&lt;0,R287&gt;100),"invalid","Valid")</f>
        <v>Valid</v>
      </c>
      <c r="U287" t="str">
        <f>PROPER(TRIM(T287))</f>
        <v/>
      </c>
      <c r="V287" t="s">
        <v>81</v>
      </c>
      <c r="W287" t="str">
        <f t="shared" si="8"/>
        <v>Ada</v>
      </c>
      <c r="X287" t="s">
        <v>82</v>
      </c>
      <c r="Y287">
        <v>5</v>
      </c>
      <c r="Z287" t="str">
        <f>IF(D287="", "Missing", "ok")</f>
        <v>ok</v>
      </c>
      <c r="AA287">
        <f t="shared" si="9"/>
        <v>2719.7280000000001</v>
      </c>
    </row>
    <row r="288" spans="1:27" x14ac:dyDescent="0.25">
      <c r="A288" t="s">
        <v>859</v>
      </c>
      <c r="B288" s="1" t="s">
        <v>297</v>
      </c>
      <c r="C288" t="s">
        <v>860</v>
      </c>
      <c r="D288" t="s">
        <v>45</v>
      </c>
      <c r="E288" t="str">
        <f>PROPER(TRIM(D288))</f>
        <v>James</v>
      </c>
      <c r="F288" t="s">
        <v>20</v>
      </c>
      <c r="G288">
        <v>8</v>
      </c>
      <c r="H288" t="str">
        <f>IF(AND(G288&gt;18, G288&lt;65), "Valid", "Invalid")</f>
        <v>Invalid</v>
      </c>
      <c r="I288" t="s">
        <v>47</v>
      </c>
      <c r="J288" t="str">
        <f>PROPER(TRIM(I288))</f>
        <v>Enugu</v>
      </c>
      <c r="K288" t="s">
        <v>54</v>
      </c>
      <c r="L288" t="str">
        <f>PROPER(TRIM(K288))</f>
        <v>Home</v>
      </c>
      <c r="M288" t="s">
        <v>55</v>
      </c>
      <c r="N288" t="str">
        <f>PROPER(TRIM(M288))</f>
        <v>Chair</v>
      </c>
      <c r="O288">
        <v>230.19</v>
      </c>
      <c r="P288">
        <v>-2</v>
      </c>
      <c r="Q288">
        <f>IF(P288&lt;1, 1, P288)</f>
        <v>1</v>
      </c>
      <c r="R288">
        <v>0</v>
      </c>
      <c r="S288" t="str">
        <f>IF(OR(R288&lt;0,R288&gt;100),"invalid","Valid")</f>
        <v>Valid</v>
      </c>
      <c r="T288" t="s">
        <v>24</v>
      </c>
      <c r="U288" t="str">
        <f>PROPER(TRIM(T288))</f>
        <v>Pos</v>
      </c>
      <c r="V288" t="s">
        <v>25</v>
      </c>
      <c r="W288" t="str">
        <f t="shared" si="8"/>
        <v>Dan</v>
      </c>
      <c r="X288" t="s">
        <v>26</v>
      </c>
      <c r="Y288">
        <v>3</v>
      </c>
      <c r="Z288" t="str">
        <f>IF(D288="", "Missing", "ok")</f>
        <v>ok</v>
      </c>
      <c r="AA288">
        <f t="shared" si="9"/>
        <v>230.19</v>
      </c>
    </row>
    <row r="289" spans="1:27" x14ac:dyDescent="0.25">
      <c r="A289" t="s">
        <v>861</v>
      </c>
      <c r="B289" s="1" t="s">
        <v>446</v>
      </c>
      <c r="C289" t="s">
        <v>862</v>
      </c>
      <c r="D289" t="s">
        <v>101</v>
      </c>
      <c r="E289" t="str">
        <f>PROPER(TRIM(D289))</f>
        <v>Grace</v>
      </c>
      <c r="F289" t="s">
        <v>46</v>
      </c>
      <c r="G289">
        <v>130</v>
      </c>
      <c r="H289" t="str">
        <f>IF(AND(G289&gt;18, G289&lt;65), "Valid", "Invalid")</f>
        <v>Invalid</v>
      </c>
      <c r="I289" t="s">
        <v>30</v>
      </c>
      <c r="J289" t="str">
        <f>PROPER(TRIM(I289))</f>
        <v>Lagos</v>
      </c>
      <c r="K289" t="s">
        <v>121</v>
      </c>
      <c r="L289" t="str">
        <f>PROPER(TRIM(K289))</f>
        <v>Beauty</v>
      </c>
      <c r="M289" t="s">
        <v>122</v>
      </c>
      <c r="N289" t="str">
        <f>PROPER(TRIM(M289))</f>
        <v>Cream</v>
      </c>
      <c r="O289">
        <v>85.95</v>
      </c>
      <c r="P289">
        <v>10</v>
      </c>
      <c r="Q289">
        <f>IF(P289&lt;1, 1, P289)</f>
        <v>10</v>
      </c>
      <c r="R289">
        <v>10</v>
      </c>
      <c r="S289" t="str">
        <f>IF(OR(R289&lt;0,R289&gt;100),"invalid","Valid")</f>
        <v>Valid</v>
      </c>
      <c r="T289" t="s">
        <v>24</v>
      </c>
      <c r="U289" t="str">
        <f>PROPER(TRIM(T289))</f>
        <v>Pos</v>
      </c>
      <c r="V289" t="s">
        <v>81</v>
      </c>
      <c r="W289" t="str">
        <f t="shared" si="8"/>
        <v>Ada</v>
      </c>
      <c r="X289" t="s">
        <v>65</v>
      </c>
      <c r="Y289">
        <v>1</v>
      </c>
      <c r="Z289" t="str">
        <f>IF(D289="", "Missing", "ok")</f>
        <v>ok</v>
      </c>
      <c r="AA289">
        <f t="shared" si="9"/>
        <v>773.55000000000007</v>
      </c>
    </row>
    <row r="290" spans="1:27" x14ac:dyDescent="0.25">
      <c r="A290" t="s">
        <v>863</v>
      </c>
      <c r="B290" s="1" t="s">
        <v>864</v>
      </c>
      <c r="C290" t="s">
        <v>113</v>
      </c>
      <c r="D290" t="s">
        <v>19</v>
      </c>
      <c r="E290" t="str">
        <f>PROPER(TRIM(D290))</f>
        <v>Peter</v>
      </c>
      <c r="F290" t="s">
        <v>46</v>
      </c>
      <c r="G290">
        <v>130</v>
      </c>
      <c r="H290" t="str">
        <f>IF(AND(G290&gt;18, G290&lt;65), "Valid", "Invalid")</f>
        <v>Invalid</v>
      </c>
      <c r="I290" t="s">
        <v>38</v>
      </c>
      <c r="J290" t="str">
        <f>PROPER(TRIM(I290))</f>
        <v>Ph</v>
      </c>
      <c r="K290" t="s">
        <v>121</v>
      </c>
      <c r="L290" t="str">
        <f>PROPER(TRIM(K290))</f>
        <v>Beauty</v>
      </c>
      <c r="M290" t="s">
        <v>122</v>
      </c>
      <c r="N290" t="str">
        <f>PROPER(TRIM(M290))</f>
        <v>Cream</v>
      </c>
      <c r="O290">
        <v>83.81</v>
      </c>
      <c r="P290">
        <v>-2</v>
      </c>
      <c r="Q290">
        <f>IF(P290&lt;1, 1, P290)</f>
        <v>1</v>
      </c>
      <c r="R290">
        <v>15</v>
      </c>
      <c r="S290" t="str">
        <f>IF(OR(R290&lt;0,R290&gt;100),"invalid","Valid")</f>
        <v>Valid</v>
      </c>
      <c r="U290" t="str">
        <f>PROPER(TRIM(T290))</f>
        <v/>
      </c>
      <c r="V290" t="s">
        <v>25</v>
      </c>
      <c r="W290" t="str">
        <f t="shared" si="8"/>
        <v>Dan</v>
      </c>
      <c r="X290" t="s">
        <v>82</v>
      </c>
      <c r="Y290">
        <v>3</v>
      </c>
      <c r="Z290" t="str">
        <f>IF(D290="", "Missing", "ok")</f>
        <v>ok</v>
      </c>
      <c r="AA290">
        <f t="shared" si="9"/>
        <v>71.238500000000002</v>
      </c>
    </row>
    <row r="291" spans="1:27" x14ac:dyDescent="0.25">
      <c r="A291" t="s">
        <v>865</v>
      </c>
      <c r="B291" s="1" t="s">
        <v>866</v>
      </c>
      <c r="C291" t="s">
        <v>867</v>
      </c>
      <c r="D291" t="s">
        <v>63</v>
      </c>
      <c r="E291" t="str">
        <f>PROPER(TRIM(D291))</f>
        <v>John</v>
      </c>
      <c r="F291" t="s">
        <v>46</v>
      </c>
      <c r="G291">
        <v>8</v>
      </c>
      <c r="H291" t="str">
        <f>IF(AND(G291&gt;18, G291&lt;65), "Valid", "Invalid")</f>
        <v>Invalid</v>
      </c>
      <c r="I291" t="s">
        <v>21</v>
      </c>
      <c r="J291" t="str">
        <f>PROPER(TRIM(I291))</f>
        <v>Lagos</v>
      </c>
      <c r="K291" t="s">
        <v>87</v>
      </c>
      <c r="L291" t="str">
        <f>PROPER(TRIM(K291))</f>
        <v>Groceris</v>
      </c>
      <c r="M291" t="s">
        <v>49</v>
      </c>
      <c r="N291" t="str">
        <f>PROPER(TRIM(M291))</f>
        <v>Rice</v>
      </c>
      <c r="O291">
        <v>250.46</v>
      </c>
      <c r="P291">
        <v>3</v>
      </c>
      <c r="Q291">
        <f>IF(P291&lt;1, 1, P291)</f>
        <v>3</v>
      </c>
      <c r="R291">
        <v>15</v>
      </c>
      <c r="S291" t="str">
        <f>IF(OR(R291&lt;0,R291&gt;100),"invalid","Valid")</f>
        <v>Valid</v>
      </c>
      <c r="T291" t="s">
        <v>24</v>
      </c>
      <c r="U291" t="str">
        <f>PROPER(TRIM(T291))</f>
        <v>Pos</v>
      </c>
      <c r="V291" t="s">
        <v>91</v>
      </c>
      <c r="W291" t="str">
        <f t="shared" si="8"/>
        <v>Ben</v>
      </c>
      <c r="X291" t="s">
        <v>26</v>
      </c>
      <c r="Z291" t="str">
        <f>IF(D291="", "Missing", "ok")</f>
        <v>ok</v>
      </c>
      <c r="AA291">
        <f t="shared" si="9"/>
        <v>638.673</v>
      </c>
    </row>
    <row r="292" spans="1:27" x14ac:dyDescent="0.25">
      <c r="A292" t="s">
        <v>868</v>
      </c>
      <c r="B292" s="1" t="s">
        <v>28</v>
      </c>
      <c r="C292" t="s">
        <v>869</v>
      </c>
      <c r="D292" t="s">
        <v>117</v>
      </c>
      <c r="E292" t="str">
        <f>PROPER(TRIM(D292))</f>
        <v>David</v>
      </c>
      <c r="F292" t="s">
        <v>20</v>
      </c>
      <c r="G292">
        <v>130</v>
      </c>
      <c r="H292" t="str">
        <f>IF(AND(G292&gt;18, G292&lt;65), "Valid", "Invalid")</f>
        <v>Invalid</v>
      </c>
      <c r="I292" t="s">
        <v>30</v>
      </c>
      <c r="J292" t="str">
        <f>PROPER(TRIM(I292))</f>
        <v>Lagos</v>
      </c>
      <c r="K292" t="s">
        <v>48</v>
      </c>
      <c r="L292" t="str">
        <f>PROPER(TRIM(K292))</f>
        <v>Groceries</v>
      </c>
      <c r="M292" t="s">
        <v>49</v>
      </c>
      <c r="N292" t="str">
        <f>PROPER(TRIM(M292))</f>
        <v>Rice</v>
      </c>
      <c r="O292">
        <v>21.28</v>
      </c>
      <c r="P292">
        <v>-2</v>
      </c>
      <c r="Q292">
        <f>IF(P292&lt;1, 1, P292)</f>
        <v>1</v>
      </c>
      <c r="R292">
        <v>5</v>
      </c>
      <c r="S292" t="str">
        <f>IF(OR(R292&lt;0,R292&gt;100),"invalid","Valid")</f>
        <v>Valid</v>
      </c>
      <c r="T292" t="s">
        <v>24</v>
      </c>
      <c r="U292" t="str">
        <f>PROPER(TRIM(T292))</f>
        <v>Pos</v>
      </c>
      <c r="V292" t="s">
        <v>25</v>
      </c>
      <c r="W292" t="str">
        <f t="shared" si="8"/>
        <v>Dan</v>
      </c>
      <c r="X292" t="s">
        <v>65</v>
      </c>
      <c r="Y292">
        <v>2</v>
      </c>
      <c r="Z292" t="str">
        <f>IF(D292="", "Missing", "ok")</f>
        <v>ok</v>
      </c>
      <c r="AA292">
        <f t="shared" si="9"/>
        <v>20.216000000000001</v>
      </c>
    </row>
    <row r="293" spans="1:27" x14ac:dyDescent="0.25">
      <c r="A293" t="s">
        <v>870</v>
      </c>
      <c r="B293" s="1" t="s">
        <v>871</v>
      </c>
      <c r="C293" t="s">
        <v>872</v>
      </c>
      <c r="D293" t="s">
        <v>19</v>
      </c>
      <c r="E293" t="str">
        <f>PROPER(TRIM(D293))</f>
        <v>Peter</v>
      </c>
      <c r="F293" t="s">
        <v>20</v>
      </c>
      <c r="G293">
        <v>130</v>
      </c>
      <c r="H293" t="str">
        <f>IF(AND(G293&gt;18, G293&lt;65), "Valid", "Invalid")</f>
        <v>Invalid</v>
      </c>
      <c r="I293" t="s">
        <v>38</v>
      </c>
      <c r="J293" t="str">
        <f>PROPER(TRIM(I293))</f>
        <v>Ph</v>
      </c>
      <c r="K293" t="s">
        <v>121</v>
      </c>
      <c r="L293" t="str">
        <f>PROPER(TRIM(K293))</f>
        <v>Beauty</v>
      </c>
      <c r="M293" t="s">
        <v>122</v>
      </c>
      <c r="N293" t="str">
        <f>PROPER(TRIM(M293))</f>
        <v>Cream</v>
      </c>
      <c r="O293">
        <v>396.87</v>
      </c>
      <c r="P293">
        <v>10</v>
      </c>
      <c r="Q293">
        <f>IF(P293&lt;1, 1, P293)</f>
        <v>10</v>
      </c>
      <c r="R293">
        <v>10</v>
      </c>
      <c r="S293" t="str">
        <f>IF(OR(R293&lt;0,R293&gt;100),"invalid","Valid")</f>
        <v>Valid</v>
      </c>
      <c r="T293" t="s">
        <v>24</v>
      </c>
      <c r="U293" t="str">
        <f>PROPER(TRIM(T293))</f>
        <v>Pos</v>
      </c>
      <c r="V293" t="s">
        <v>41</v>
      </c>
      <c r="W293" t="str">
        <f t="shared" si="8"/>
        <v>Chi</v>
      </c>
      <c r="X293" t="s">
        <v>65</v>
      </c>
      <c r="Z293" t="str">
        <f>IF(D293="", "Missing", "ok")</f>
        <v>ok</v>
      </c>
      <c r="AA293">
        <f t="shared" si="9"/>
        <v>3571.83</v>
      </c>
    </row>
    <row r="294" spans="1:27" x14ac:dyDescent="0.25">
      <c r="A294" t="s">
        <v>873</v>
      </c>
      <c r="B294" s="1" t="s">
        <v>874</v>
      </c>
      <c r="C294" t="s">
        <v>875</v>
      </c>
      <c r="D294" t="s">
        <v>63</v>
      </c>
      <c r="E294" t="str">
        <f>PROPER(TRIM(D294))</f>
        <v>John</v>
      </c>
      <c r="F294" t="s">
        <v>46</v>
      </c>
      <c r="G294">
        <v>20</v>
      </c>
      <c r="H294" t="str">
        <f>IF(AND(G294&gt;18, G294&lt;65), "Valid", "Invalid")</f>
        <v>Valid</v>
      </c>
      <c r="I294" t="s">
        <v>30</v>
      </c>
      <c r="J294" t="str">
        <f>PROPER(TRIM(I294))</f>
        <v>Lagos</v>
      </c>
      <c r="K294" t="s">
        <v>48</v>
      </c>
      <c r="L294" t="str">
        <f>PROPER(TRIM(K294))</f>
        <v>Groceries</v>
      </c>
      <c r="M294" t="s">
        <v>49</v>
      </c>
      <c r="N294" t="str">
        <f>PROPER(TRIM(M294))</f>
        <v>Rice</v>
      </c>
      <c r="O294">
        <v>214.85</v>
      </c>
      <c r="P294">
        <v>-2</v>
      </c>
      <c r="Q294">
        <f>IF(P294&lt;1, 1, P294)</f>
        <v>1</v>
      </c>
      <c r="R294">
        <v>120</v>
      </c>
      <c r="S294" t="str">
        <f>IF(OR(R294&lt;0,R294&gt;100),"invalid","Valid")</f>
        <v>invalid</v>
      </c>
      <c r="T294" t="s">
        <v>77</v>
      </c>
      <c r="U294" t="str">
        <f>PROPER(TRIM(T294))</f>
        <v>Cash</v>
      </c>
      <c r="V294" t="s">
        <v>25</v>
      </c>
      <c r="W294" t="str">
        <f t="shared" si="8"/>
        <v>Dan</v>
      </c>
      <c r="X294" t="s">
        <v>26</v>
      </c>
      <c r="Y294">
        <v>1</v>
      </c>
      <c r="Z294" t="str">
        <f>IF(D294="", "Missing", "ok")</f>
        <v>ok</v>
      </c>
      <c r="AA294">
        <f t="shared" si="9"/>
        <v>-42.969999999999992</v>
      </c>
    </row>
    <row r="295" spans="1:27" x14ac:dyDescent="0.25">
      <c r="A295" t="s">
        <v>876</v>
      </c>
      <c r="B295" s="1" t="s">
        <v>659</v>
      </c>
      <c r="C295" t="s">
        <v>877</v>
      </c>
      <c r="D295" t="s">
        <v>117</v>
      </c>
      <c r="E295" t="str">
        <f>PROPER(TRIM(D295))</f>
        <v>David</v>
      </c>
      <c r="F295" t="s">
        <v>20</v>
      </c>
      <c r="G295">
        <v>43</v>
      </c>
      <c r="H295" t="str">
        <f>IF(AND(G295&gt;18, G295&lt;65), "Valid", "Invalid")</f>
        <v>Valid</v>
      </c>
      <c r="I295" t="s">
        <v>21</v>
      </c>
      <c r="J295" t="str">
        <f>PROPER(TRIM(I295))</f>
        <v>Lagos</v>
      </c>
      <c r="K295" t="s">
        <v>48</v>
      </c>
      <c r="L295" t="str">
        <f>PROPER(TRIM(K295))</f>
        <v>Groceries</v>
      </c>
      <c r="M295" t="s">
        <v>49</v>
      </c>
      <c r="N295" t="str">
        <f>PROPER(TRIM(M295))</f>
        <v>Rice</v>
      </c>
      <c r="O295">
        <v>16.579999999999998</v>
      </c>
      <c r="P295">
        <v>-2</v>
      </c>
      <c r="Q295">
        <f>IF(P295&lt;1, 1, P295)</f>
        <v>1</v>
      </c>
      <c r="R295">
        <v>0</v>
      </c>
      <c r="S295" t="str">
        <f>IF(OR(R295&lt;0,R295&gt;100),"invalid","Valid")</f>
        <v>Valid</v>
      </c>
      <c r="T295" t="s">
        <v>77</v>
      </c>
      <c r="U295" t="str">
        <f>PROPER(TRIM(T295))</f>
        <v>Cash</v>
      </c>
      <c r="V295" t="s">
        <v>25</v>
      </c>
      <c r="W295" t="str">
        <f t="shared" si="8"/>
        <v>Dan</v>
      </c>
      <c r="X295" t="s">
        <v>26</v>
      </c>
      <c r="Z295" t="str">
        <f>IF(D295="", "Missing", "ok")</f>
        <v>ok</v>
      </c>
      <c r="AA295">
        <f t="shared" si="9"/>
        <v>16.579999999999998</v>
      </c>
    </row>
    <row r="296" spans="1:27" x14ac:dyDescent="0.25">
      <c r="A296" t="s">
        <v>878</v>
      </c>
      <c r="B296" s="1" t="s">
        <v>879</v>
      </c>
      <c r="C296" t="s">
        <v>880</v>
      </c>
      <c r="D296" t="s">
        <v>63</v>
      </c>
      <c r="E296" t="str">
        <f>PROPER(TRIM(D296))</f>
        <v>John</v>
      </c>
      <c r="F296" t="s">
        <v>20</v>
      </c>
      <c r="G296">
        <v>8</v>
      </c>
      <c r="H296" t="str">
        <f>IF(AND(G296&gt;18, G296&lt;65), "Valid", "Invalid")</f>
        <v>Invalid</v>
      </c>
      <c r="I296" t="s">
        <v>53</v>
      </c>
      <c r="J296" t="str">
        <f>PROPER(TRIM(I296))</f>
        <v>Lagos</v>
      </c>
      <c r="K296" t="s">
        <v>54</v>
      </c>
      <c r="L296" t="str">
        <f>PROPER(TRIM(K296))</f>
        <v>Home</v>
      </c>
      <c r="M296" t="s">
        <v>55</v>
      </c>
      <c r="N296" t="str">
        <f>PROPER(TRIM(M296))</f>
        <v>Chair</v>
      </c>
      <c r="O296">
        <v>328.87</v>
      </c>
      <c r="P296">
        <v>-2</v>
      </c>
      <c r="Q296">
        <f>IF(P296&lt;1, 1, P296)</f>
        <v>1</v>
      </c>
      <c r="R296">
        <v>120</v>
      </c>
      <c r="S296" t="str">
        <f>IF(OR(R296&lt;0,R296&gt;100),"invalid","Valid")</f>
        <v>invalid</v>
      </c>
      <c r="T296" t="s">
        <v>77</v>
      </c>
      <c r="U296" t="str">
        <f>PROPER(TRIM(T296))</f>
        <v>Cash</v>
      </c>
      <c r="V296" t="s">
        <v>25</v>
      </c>
      <c r="W296" t="str">
        <f t="shared" si="8"/>
        <v>Dan</v>
      </c>
      <c r="X296" t="s">
        <v>65</v>
      </c>
      <c r="Y296">
        <v>3</v>
      </c>
      <c r="Z296" t="str">
        <f>IF(D296="", "Missing", "ok")</f>
        <v>ok</v>
      </c>
      <c r="AA296">
        <f t="shared" si="9"/>
        <v>-65.773999999999987</v>
      </c>
    </row>
    <row r="297" spans="1:27" x14ac:dyDescent="0.25">
      <c r="A297" t="s">
        <v>881</v>
      </c>
      <c r="B297" s="1" t="s">
        <v>164</v>
      </c>
      <c r="C297" t="s">
        <v>882</v>
      </c>
      <c r="D297" t="s">
        <v>19</v>
      </c>
      <c r="E297" t="str">
        <f>PROPER(TRIM(D297))</f>
        <v>Peter</v>
      </c>
      <c r="F297" t="s">
        <v>20</v>
      </c>
      <c r="G297">
        <v>8</v>
      </c>
      <c r="H297" t="str">
        <f>IF(AND(G297&gt;18, G297&lt;65), "Valid", "Invalid")</f>
        <v>Invalid</v>
      </c>
      <c r="I297" t="s">
        <v>70</v>
      </c>
      <c r="J297" t="str">
        <f>PROPER(TRIM(I297))</f>
        <v>Abuja</v>
      </c>
      <c r="K297" t="s">
        <v>31</v>
      </c>
      <c r="L297" t="str">
        <f>PROPER(TRIM(K297))</f>
        <v>Sports</v>
      </c>
      <c r="M297" t="s">
        <v>32</v>
      </c>
      <c r="N297" t="str">
        <f>PROPER(TRIM(M297))</f>
        <v>Ball</v>
      </c>
      <c r="O297">
        <v>409.21</v>
      </c>
      <c r="P297">
        <v>8</v>
      </c>
      <c r="Q297">
        <f>IF(P297&lt;1, 1, P297)</f>
        <v>8</v>
      </c>
      <c r="R297">
        <v>15</v>
      </c>
      <c r="S297" t="str">
        <f>IF(OR(R297&lt;0,R297&gt;100),"invalid","Valid")</f>
        <v>Valid</v>
      </c>
      <c r="T297" t="s">
        <v>64</v>
      </c>
      <c r="U297" t="str">
        <f>PROPER(TRIM(T297))</f>
        <v>Transfer</v>
      </c>
      <c r="V297" t="s">
        <v>25</v>
      </c>
      <c r="W297" t="str">
        <f t="shared" si="8"/>
        <v>Dan</v>
      </c>
      <c r="X297" t="s">
        <v>26</v>
      </c>
      <c r="Y297">
        <v>5</v>
      </c>
      <c r="Z297" t="str">
        <f>IF(D297="", "Missing", "ok")</f>
        <v>ok</v>
      </c>
      <c r="AA297">
        <f t="shared" si="9"/>
        <v>2782.6279999999997</v>
      </c>
    </row>
    <row r="298" spans="1:27" x14ac:dyDescent="0.25">
      <c r="A298" t="s">
        <v>883</v>
      </c>
      <c r="B298" s="1" t="s">
        <v>884</v>
      </c>
      <c r="C298" t="s">
        <v>885</v>
      </c>
      <c r="D298" t="s">
        <v>19</v>
      </c>
      <c r="E298" t="str">
        <f>PROPER(TRIM(D298))</f>
        <v>Peter</v>
      </c>
      <c r="F298" t="s">
        <v>20</v>
      </c>
      <c r="G298">
        <v>8</v>
      </c>
      <c r="H298" t="str">
        <f>IF(AND(G298&gt;18, G298&lt;65), "Valid", "Invalid")</f>
        <v>Invalid</v>
      </c>
      <c r="I298" t="s">
        <v>53</v>
      </c>
      <c r="J298" t="str">
        <f>PROPER(TRIM(I298))</f>
        <v>Lagos</v>
      </c>
      <c r="K298" t="s">
        <v>31</v>
      </c>
      <c r="L298" t="str">
        <f>PROPER(TRIM(K298))</f>
        <v>Sports</v>
      </c>
      <c r="M298" t="s">
        <v>32</v>
      </c>
      <c r="N298" t="str">
        <f>PROPER(TRIM(M298))</f>
        <v>Ball</v>
      </c>
      <c r="O298">
        <v>91.17</v>
      </c>
      <c r="P298">
        <v>-2</v>
      </c>
      <c r="Q298">
        <f>IF(P298&lt;1, 1, P298)</f>
        <v>1</v>
      </c>
      <c r="R298">
        <v>0</v>
      </c>
      <c r="S298" t="str">
        <f>IF(OR(R298&lt;0,R298&gt;100),"invalid","Valid")</f>
        <v>Valid</v>
      </c>
      <c r="T298" t="s">
        <v>77</v>
      </c>
      <c r="U298" t="str">
        <f>PROPER(TRIM(T298))</f>
        <v>Cash</v>
      </c>
      <c r="V298" t="s">
        <v>41</v>
      </c>
      <c r="W298" t="str">
        <f t="shared" si="8"/>
        <v>Chi</v>
      </c>
      <c r="X298" t="s">
        <v>26</v>
      </c>
      <c r="Y298">
        <v>2</v>
      </c>
      <c r="Z298" t="str">
        <f>IF(D298="", "Missing", "ok")</f>
        <v>ok</v>
      </c>
      <c r="AA298">
        <f t="shared" si="9"/>
        <v>91.17</v>
      </c>
    </row>
    <row r="299" spans="1:27" x14ac:dyDescent="0.25">
      <c r="A299" t="s">
        <v>886</v>
      </c>
      <c r="B299" s="1" t="s">
        <v>887</v>
      </c>
      <c r="C299" t="s">
        <v>888</v>
      </c>
      <c r="D299" t="s">
        <v>101</v>
      </c>
      <c r="E299" t="str">
        <f>PROPER(TRIM(D299))</f>
        <v>Grace</v>
      </c>
      <c r="F299" t="s">
        <v>46</v>
      </c>
      <c r="G299">
        <v>8</v>
      </c>
      <c r="H299" t="str">
        <f>IF(AND(G299&gt;18, G299&lt;65), "Valid", "Invalid")</f>
        <v>Invalid</v>
      </c>
      <c r="I299" t="s">
        <v>70</v>
      </c>
      <c r="J299" t="str">
        <f>PROPER(TRIM(I299))</f>
        <v>Abuja</v>
      </c>
      <c r="K299" t="s">
        <v>48</v>
      </c>
      <c r="L299" t="str">
        <f>PROPER(TRIM(K299))</f>
        <v>Groceries</v>
      </c>
      <c r="M299" t="s">
        <v>49</v>
      </c>
      <c r="N299" t="str">
        <f>PROPER(TRIM(M299))</f>
        <v>Rice</v>
      </c>
      <c r="O299">
        <v>212.85</v>
      </c>
      <c r="P299">
        <v>10</v>
      </c>
      <c r="Q299">
        <f>IF(P299&lt;1, 1, P299)</f>
        <v>10</v>
      </c>
      <c r="R299">
        <v>5</v>
      </c>
      <c r="S299" t="str">
        <f>IF(OR(R299&lt;0,R299&gt;100),"invalid","Valid")</f>
        <v>Valid</v>
      </c>
      <c r="U299" t="str">
        <f>PROPER(TRIM(T299))</f>
        <v/>
      </c>
      <c r="V299" t="s">
        <v>81</v>
      </c>
      <c r="W299" t="str">
        <f t="shared" si="8"/>
        <v>Ada</v>
      </c>
      <c r="X299" t="s">
        <v>26</v>
      </c>
      <c r="Z299" t="str">
        <f>IF(D299="", "Missing", "ok")</f>
        <v>ok</v>
      </c>
      <c r="AA299">
        <f t="shared" si="9"/>
        <v>2022.0749999999998</v>
      </c>
    </row>
    <row r="300" spans="1:27" x14ac:dyDescent="0.25">
      <c r="A300" t="s">
        <v>889</v>
      </c>
      <c r="B300" s="1" t="s">
        <v>890</v>
      </c>
      <c r="C300" t="s">
        <v>891</v>
      </c>
      <c r="D300" t="s">
        <v>117</v>
      </c>
      <c r="E300" t="str">
        <f>PROPER(TRIM(D300))</f>
        <v>David</v>
      </c>
      <c r="F300" t="s">
        <v>46</v>
      </c>
      <c r="G300">
        <v>130</v>
      </c>
      <c r="H300" t="str">
        <f>IF(AND(G300&gt;18, G300&lt;65), "Valid", "Invalid")</f>
        <v>Invalid</v>
      </c>
      <c r="I300" t="s">
        <v>86</v>
      </c>
      <c r="J300" t="str">
        <f>PROPER(TRIM(I300))</f>
        <v>Kano</v>
      </c>
      <c r="K300" t="s">
        <v>121</v>
      </c>
      <c r="L300" t="str">
        <f>PROPER(TRIM(K300))</f>
        <v>Beauty</v>
      </c>
      <c r="M300" t="s">
        <v>122</v>
      </c>
      <c r="N300" t="str">
        <f>PROPER(TRIM(M300))</f>
        <v>Cream</v>
      </c>
      <c r="O300">
        <v>31.83</v>
      </c>
      <c r="P300">
        <v>9</v>
      </c>
      <c r="Q300">
        <f>IF(P300&lt;1, 1, P300)</f>
        <v>9</v>
      </c>
      <c r="R300">
        <v>10</v>
      </c>
      <c r="S300" t="str">
        <f>IF(OR(R300&lt;0,R300&gt;100),"invalid","Valid")</f>
        <v>Valid</v>
      </c>
      <c r="T300" t="s">
        <v>64</v>
      </c>
      <c r="U300" t="str">
        <f>PROPER(TRIM(T300))</f>
        <v>Transfer</v>
      </c>
      <c r="V300" t="s">
        <v>91</v>
      </c>
      <c r="W300" t="str">
        <f t="shared" si="8"/>
        <v>Ben</v>
      </c>
      <c r="X300" t="s">
        <v>26</v>
      </c>
      <c r="Y300">
        <v>2</v>
      </c>
      <c r="Z300" t="str">
        <f>IF(D300="", "Missing", "ok")</f>
        <v>ok</v>
      </c>
      <c r="AA300">
        <f t="shared" si="9"/>
        <v>257.82299999999998</v>
      </c>
    </row>
    <row r="301" spans="1:27" x14ac:dyDescent="0.25">
      <c r="A301" t="s">
        <v>892</v>
      </c>
      <c r="B301" s="1" t="s">
        <v>893</v>
      </c>
      <c r="C301" t="s">
        <v>894</v>
      </c>
      <c r="E301" t="str">
        <f>PROPER(TRIM(D301))</f>
        <v/>
      </c>
      <c r="F301" t="s">
        <v>46</v>
      </c>
      <c r="G301">
        <v>19</v>
      </c>
      <c r="H301" t="str">
        <f>IF(AND(G301&gt;18, G301&lt;65), "Valid", "Invalid")</f>
        <v>Valid</v>
      </c>
      <c r="I301" t="s">
        <v>30</v>
      </c>
      <c r="J301" t="str">
        <f>PROPER(TRIM(I301))</f>
        <v>Lagos</v>
      </c>
      <c r="K301" t="s">
        <v>48</v>
      </c>
      <c r="L301" t="str">
        <f>PROPER(TRIM(K301))</f>
        <v>Groceries</v>
      </c>
      <c r="M301" t="s">
        <v>49</v>
      </c>
      <c r="N301" t="str">
        <f>PROPER(TRIM(M301))</f>
        <v>Rice</v>
      </c>
      <c r="O301">
        <v>196.21</v>
      </c>
      <c r="P301">
        <v>7</v>
      </c>
      <c r="Q301">
        <f>IF(P301&lt;1, 1, P301)</f>
        <v>7</v>
      </c>
      <c r="R301">
        <v>10</v>
      </c>
      <c r="S301" t="str">
        <f>IF(OR(R301&lt;0,R301&gt;100),"invalid","Valid")</f>
        <v>Valid</v>
      </c>
      <c r="T301" t="s">
        <v>59</v>
      </c>
      <c r="U301" t="str">
        <f>PROPER(TRIM(T301))</f>
        <v>Mobile Money</v>
      </c>
      <c r="V301" t="s">
        <v>81</v>
      </c>
      <c r="W301" t="str">
        <f t="shared" si="8"/>
        <v>Ada</v>
      </c>
      <c r="X301" t="s">
        <v>65</v>
      </c>
      <c r="Z301" t="str">
        <f>IF(D301="", "Missing", "ok")</f>
        <v>Missing</v>
      </c>
      <c r="AA301">
        <f t="shared" si="9"/>
        <v>1236.123</v>
      </c>
    </row>
    <row r="302" spans="1:27" x14ac:dyDescent="0.25">
      <c r="A302" t="s">
        <v>895</v>
      </c>
      <c r="B302" s="1" t="s">
        <v>896</v>
      </c>
      <c r="C302" t="s">
        <v>897</v>
      </c>
      <c r="D302" t="s">
        <v>63</v>
      </c>
      <c r="E302" t="str">
        <f>PROPER(TRIM(D302))</f>
        <v>John</v>
      </c>
      <c r="F302" t="s">
        <v>20</v>
      </c>
      <c r="G302">
        <v>49</v>
      </c>
      <c r="H302" t="str">
        <f>IF(AND(G302&gt;18, G302&lt;65), "Valid", "Invalid")</f>
        <v>Valid</v>
      </c>
      <c r="I302" t="s">
        <v>47</v>
      </c>
      <c r="J302" t="str">
        <f>PROPER(TRIM(I302))</f>
        <v>Enugu</v>
      </c>
      <c r="K302" t="s">
        <v>87</v>
      </c>
      <c r="L302" t="str">
        <f>PROPER(TRIM(K302))</f>
        <v>Groceris</v>
      </c>
      <c r="M302" t="s">
        <v>49</v>
      </c>
      <c r="N302" t="str">
        <f>PROPER(TRIM(M302))</f>
        <v>Rice</v>
      </c>
      <c r="O302">
        <v>23.75</v>
      </c>
      <c r="P302">
        <v>-2</v>
      </c>
      <c r="Q302">
        <f>IF(P302&lt;1, 1, P302)</f>
        <v>1</v>
      </c>
      <c r="R302">
        <v>10</v>
      </c>
      <c r="S302" t="str">
        <f>IF(OR(R302&lt;0,R302&gt;100),"invalid","Valid")</f>
        <v>Valid</v>
      </c>
      <c r="U302" t="str">
        <f>PROPER(TRIM(T302))</f>
        <v/>
      </c>
      <c r="V302" t="s">
        <v>41</v>
      </c>
      <c r="W302" t="str">
        <f t="shared" si="8"/>
        <v>Chi</v>
      </c>
      <c r="X302" t="s">
        <v>65</v>
      </c>
      <c r="Y302">
        <v>1</v>
      </c>
      <c r="Z302" t="str">
        <f>IF(D302="", "Missing", "ok")</f>
        <v>ok</v>
      </c>
      <c r="AA302">
        <f t="shared" si="9"/>
        <v>21.375</v>
      </c>
    </row>
    <row r="303" spans="1:27" x14ac:dyDescent="0.25">
      <c r="A303" t="s">
        <v>898</v>
      </c>
      <c r="B303" s="1" t="s">
        <v>158</v>
      </c>
      <c r="C303" t="s">
        <v>899</v>
      </c>
      <c r="D303" t="s">
        <v>19</v>
      </c>
      <c r="E303" t="str">
        <f>PROPER(TRIM(D303))</f>
        <v>Peter</v>
      </c>
      <c r="F303" t="s">
        <v>46</v>
      </c>
      <c r="G303">
        <v>61</v>
      </c>
      <c r="H303" t="str">
        <f>IF(AND(G303&gt;18, G303&lt;65), "Valid", "Invalid")</f>
        <v>Valid</v>
      </c>
      <c r="I303" t="s">
        <v>38</v>
      </c>
      <c r="J303" t="str">
        <f>PROPER(TRIM(I303))</f>
        <v>Ph</v>
      </c>
      <c r="K303" t="s">
        <v>54</v>
      </c>
      <c r="L303" t="str">
        <f>PROPER(TRIM(K303))</f>
        <v>Home</v>
      </c>
      <c r="M303" t="s">
        <v>55</v>
      </c>
      <c r="N303" t="str">
        <f>PROPER(TRIM(M303))</f>
        <v>Chair</v>
      </c>
      <c r="O303">
        <v>451.17</v>
      </c>
      <c r="P303">
        <v>-2</v>
      </c>
      <c r="Q303">
        <f>IF(P303&lt;1, 1, P303)</f>
        <v>1</v>
      </c>
      <c r="R303">
        <v>120</v>
      </c>
      <c r="S303" t="str">
        <f>IF(OR(R303&lt;0,R303&gt;100),"invalid","Valid")</f>
        <v>invalid</v>
      </c>
      <c r="T303" t="s">
        <v>77</v>
      </c>
      <c r="U303" t="str">
        <f>PROPER(TRIM(T303))</f>
        <v>Cash</v>
      </c>
      <c r="V303" t="s">
        <v>41</v>
      </c>
      <c r="W303" t="str">
        <f t="shared" si="8"/>
        <v>Chi</v>
      </c>
      <c r="X303" t="s">
        <v>33</v>
      </c>
      <c r="Y303">
        <v>2</v>
      </c>
      <c r="Z303" t="str">
        <f>IF(D303="", "Missing", "ok")</f>
        <v>ok</v>
      </c>
      <c r="AA303">
        <f t="shared" si="9"/>
        <v>-90.23399999999998</v>
      </c>
    </row>
    <row r="304" spans="1:27" x14ac:dyDescent="0.25">
      <c r="A304" t="s">
        <v>900</v>
      </c>
      <c r="B304" s="1" t="s">
        <v>124</v>
      </c>
      <c r="C304" t="s">
        <v>901</v>
      </c>
      <c r="D304" t="s">
        <v>45</v>
      </c>
      <c r="E304" t="str">
        <f>PROPER(TRIM(D304))</f>
        <v>James</v>
      </c>
      <c r="F304" t="s">
        <v>20</v>
      </c>
      <c r="G304">
        <v>8</v>
      </c>
      <c r="H304" t="str">
        <f>IF(AND(G304&gt;18, G304&lt;65), "Valid", "Invalid")</f>
        <v>Invalid</v>
      </c>
      <c r="I304" t="s">
        <v>70</v>
      </c>
      <c r="J304" t="str">
        <f>PROPER(TRIM(I304))</f>
        <v>Abuja</v>
      </c>
      <c r="K304" t="s">
        <v>121</v>
      </c>
      <c r="L304" t="str">
        <f>PROPER(TRIM(K304))</f>
        <v>Beauty</v>
      </c>
      <c r="M304" t="s">
        <v>122</v>
      </c>
      <c r="N304" t="str">
        <f>PROPER(TRIM(M304))</f>
        <v>Cream</v>
      </c>
      <c r="O304">
        <v>345.09</v>
      </c>
      <c r="P304">
        <v>-2</v>
      </c>
      <c r="Q304">
        <f>IF(P304&lt;1, 1, P304)</f>
        <v>1</v>
      </c>
      <c r="R304">
        <v>15</v>
      </c>
      <c r="S304" t="str">
        <f>IF(OR(R304&lt;0,R304&gt;100),"invalid","Valid")</f>
        <v>Valid</v>
      </c>
      <c r="T304" t="s">
        <v>77</v>
      </c>
      <c r="U304" t="str">
        <f>PROPER(TRIM(T304))</f>
        <v>Cash</v>
      </c>
      <c r="V304" t="s">
        <v>41</v>
      </c>
      <c r="W304" t="str">
        <f t="shared" si="8"/>
        <v>Chi</v>
      </c>
      <c r="X304" t="s">
        <v>33</v>
      </c>
      <c r="Y304">
        <v>2</v>
      </c>
      <c r="Z304" t="str">
        <f>IF(D304="", "Missing", "ok")</f>
        <v>ok</v>
      </c>
      <c r="AA304">
        <f t="shared" si="9"/>
        <v>293.32649999999995</v>
      </c>
    </row>
    <row r="305" spans="1:27" x14ac:dyDescent="0.25">
      <c r="A305" t="s">
        <v>902</v>
      </c>
      <c r="B305" s="1" t="s">
        <v>903</v>
      </c>
      <c r="C305" t="s">
        <v>904</v>
      </c>
      <c r="D305" t="s">
        <v>45</v>
      </c>
      <c r="E305" t="str">
        <f>PROPER(TRIM(D305))</f>
        <v>James</v>
      </c>
      <c r="F305" t="s">
        <v>46</v>
      </c>
      <c r="G305">
        <v>130</v>
      </c>
      <c r="H305" t="str">
        <f>IF(AND(G305&gt;18, G305&lt;65), "Valid", "Invalid")</f>
        <v>Invalid</v>
      </c>
      <c r="I305" t="s">
        <v>21</v>
      </c>
      <c r="J305" t="str">
        <f>PROPER(TRIM(I305))</f>
        <v>Lagos</v>
      </c>
      <c r="K305" t="s">
        <v>87</v>
      </c>
      <c r="L305" t="str">
        <f>PROPER(TRIM(K305))</f>
        <v>Groceris</v>
      </c>
      <c r="M305" t="s">
        <v>49</v>
      </c>
      <c r="N305" t="str">
        <f>PROPER(TRIM(M305))</f>
        <v>Rice</v>
      </c>
      <c r="O305">
        <v>426.5</v>
      </c>
      <c r="P305">
        <v>-2</v>
      </c>
      <c r="Q305">
        <f>IF(P305&lt;1, 1, P305)</f>
        <v>1</v>
      </c>
      <c r="R305">
        <v>0</v>
      </c>
      <c r="S305" t="str">
        <f>IF(OR(R305&lt;0,R305&gt;100),"invalid","Valid")</f>
        <v>Valid</v>
      </c>
      <c r="T305" t="s">
        <v>77</v>
      </c>
      <c r="U305" t="str">
        <f>PROPER(TRIM(T305))</f>
        <v>Cash</v>
      </c>
      <c r="V305" t="s">
        <v>25</v>
      </c>
      <c r="W305" t="str">
        <f t="shared" si="8"/>
        <v>Dan</v>
      </c>
      <c r="X305" t="s">
        <v>82</v>
      </c>
      <c r="Y305">
        <v>3</v>
      </c>
      <c r="Z305" t="str">
        <f>IF(D305="", "Missing", "ok")</f>
        <v>ok</v>
      </c>
      <c r="AA305">
        <f t="shared" si="9"/>
        <v>426.5</v>
      </c>
    </row>
    <row r="306" spans="1:27" x14ac:dyDescent="0.25">
      <c r="A306" t="s">
        <v>905</v>
      </c>
      <c r="B306" s="1" t="s">
        <v>543</v>
      </c>
      <c r="C306" t="s">
        <v>906</v>
      </c>
      <c r="D306" t="s">
        <v>37</v>
      </c>
      <c r="E306" t="str">
        <f>PROPER(TRIM(D306))</f>
        <v>Aisha</v>
      </c>
      <c r="F306" t="s">
        <v>46</v>
      </c>
      <c r="G306">
        <v>130</v>
      </c>
      <c r="H306" t="str">
        <f>IF(AND(G306&gt;18, G306&lt;65), "Valid", "Invalid")</f>
        <v>Invalid</v>
      </c>
      <c r="I306" t="s">
        <v>47</v>
      </c>
      <c r="J306" t="str">
        <f>PROPER(TRIM(I306))</f>
        <v>Enugu</v>
      </c>
      <c r="K306" t="s">
        <v>39</v>
      </c>
      <c r="L306" t="str">
        <f>PROPER(TRIM(K306))</f>
        <v>Electronics</v>
      </c>
      <c r="M306" t="s">
        <v>40</v>
      </c>
      <c r="N306" t="str">
        <f>PROPER(TRIM(M306))</f>
        <v>Phone</v>
      </c>
      <c r="O306">
        <v>371.71</v>
      </c>
      <c r="P306">
        <v>10</v>
      </c>
      <c r="Q306">
        <f>IF(P306&lt;1, 1, P306)</f>
        <v>10</v>
      </c>
      <c r="R306">
        <v>120</v>
      </c>
      <c r="S306" t="str">
        <f>IF(OR(R306&lt;0,R306&gt;100),"invalid","Valid")</f>
        <v>invalid</v>
      </c>
      <c r="T306" t="s">
        <v>59</v>
      </c>
      <c r="U306" t="str">
        <f>PROPER(TRIM(T306))</f>
        <v>Mobile Money</v>
      </c>
      <c r="V306" t="s">
        <v>25</v>
      </c>
      <c r="W306" t="str">
        <f t="shared" si="8"/>
        <v>Dan</v>
      </c>
      <c r="X306" t="s">
        <v>82</v>
      </c>
      <c r="Y306">
        <v>1</v>
      </c>
      <c r="Z306" t="str">
        <f>IF(D306="", "Missing", "ok")</f>
        <v>ok</v>
      </c>
      <c r="AA306">
        <f t="shared" si="9"/>
        <v>-743.41999999999985</v>
      </c>
    </row>
    <row r="307" spans="1:27" x14ac:dyDescent="0.25">
      <c r="A307" t="s">
        <v>907</v>
      </c>
      <c r="B307" s="1" t="s">
        <v>908</v>
      </c>
      <c r="C307" t="s">
        <v>909</v>
      </c>
      <c r="D307" t="s">
        <v>69</v>
      </c>
      <c r="E307" t="str">
        <f>PROPER(TRIM(D307))</f>
        <v>Mary</v>
      </c>
      <c r="F307" t="s">
        <v>20</v>
      </c>
      <c r="G307">
        <v>59</v>
      </c>
      <c r="H307" t="str">
        <f>IF(AND(G307&gt;18, G307&lt;65), "Valid", "Invalid")</f>
        <v>Valid</v>
      </c>
      <c r="I307" t="s">
        <v>30</v>
      </c>
      <c r="J307" t="str">
        <f>PROPER(TRIM(I307))</f>
        <v>Lagos</v>
      </c>
      <c r="K307" t="s">
        <v>121</v>
      </c>
      <c r="L307" t="str">
        <f>PROPER(TRIM(K307))</f>
        <v>Beauty</v>
      </c>
      <c r="M307" t="s">
        <v>122</v>
      </c>
      <c r="N307" t="str">
        <f>PROPER(TRIM(M307))</f>
        <v>Cream</v>
      </c>
      <c r="O307">
        <v>167.16</v>
      </c>
      <c r="P307">
        <v>-2</v>
      </c>
      <c r="Q307">
        <f>IF(P307&lt;1, 1, P307)</f>
        <v>1</v>
      </c>
      <c r="R307">
        <v>15</v>
      </c>
      <c r="S307" t="str">
        <f>IF(OR(R307&lt;0,R307&gt;100),"invalid","Valid")</f>
        <v>Valid</v>
      </c>
      <c r="T307" t="s">
        <v>64</v>
      </c>
      <c r="U307" t="str">
        <f>PROPER(TRIM(T307))</f>
        <v>Transfer</v>
      </c>
      <c r="V307" t="s">
        <v>41</v>
      </c>
      <c r="W307" t="str">
        <f t="shared" si="8"/>
        <v>Chi</v>
      </c>
      <c r="X307" t="s">
        <v>26</v>
      </c>
      <c r="Z307" t="str">
        <f>IF(D307="", "Missing", "ok")</f>
        <v>ok</v>
      </c>
      <c r="AA307">
        <f t="shared" si="9"/>
        <v>142.08599999999998</v>
      </c>
    </row>
    <row r="308" spans="1:27" x14ac:dyDescent="0.25">
      <c r="A308" t="s">
        <v>910</v>
      </c>
      <c r="B308" s="1" t="s">
        <v>911</v>
      </c>
      <c r="C308" t="s">
        <v>912</v>
      </c>
      <c r="D308" t="s">
        <v>37</v>
      </c>
      <c r="E308" t="str">
        <f>PROPER(TRIM(D308))</f>
        <v>Aisha</v>
      </c>
      <c r="F308" t="s">
        <v>46</v>
      </c>
      <c r="G308">
        <v>130</v>
      </c>
      <c r="H308" t="str">
        <f>IF(AND(G308&gt;18, G308&lt;65), "Valid", "Invalid")</f>
        <v>Invalid</v>
      </c>
      <c r="I308" t="s">
        <v>53</v>
      </c>
      <c r="J308" t="str">
        <f>PROPER(TRIM(I308))</f>
        <v>Lagos</v>
      </c>
      <c r="K308" t="s">
        <v>39</v>
      </c>
      <c r="L308" t="str">
        <f>PROPER(TRIM(K308))</f>
        <v>Electronics</v>
      </c>
      <c r="M308" t="s">
        <v>40</v>
      </c>
      <c r="N308" t="str">
        <f>PROPER(TRIM(M308))</f>
        <v>Phone</v>
      </c>
      <c r="O308">
        <v>54.4</v>
      </c>
      <c r="P308">
        <v>-2</v>
      </c>
      <c r="Q308">
        <f>IF(P308&lt;1, 1, P308)</f>
        <v>1</v>
      </c>
      <c r="R308">
        <v>5</v>
      </c>
      <c r="S308" t="str">
        <f>IF(OR(R308&lt;0,R308&gt;100),"invalid","Valid")</f>
        <v>Valid</v>
      </c>
      <c r="T308" t="s">
        <v>64</v>
      </c>
      <c r="U308" t="str">
        <f>PROPER(TRIM(T308))</f>
        <v>Transfer</v>
      </c>
      <c r="V308" t="s">
        <v>25</v>
      </c>
      <c r="W308" t="str">
        <f t="shared" si="8"/>
        <v>Dan</v>
      </c>
      <c r="X308" t="s">
        <v>33</v>
      </c>
      <c r="Y308">
        <v>1</v>
      </c>
      <c r="Z308" t="str">
        <f>IF(D308="", "Missing", "ok")</f>
        <v>ok</v>
      </c>
      <c r="AA308">
        <f t="shared" si="9"/>
        <v>51.68</v>
      </c>
    </row>
    <row r="309" spans="1:27" x14ac:dyDescent="0.25">
      <c r="A309" t="s">
        <v>913</v>
      </c>
      <c r="B309" s="1" t="s">
        <v>914</v>
      </c>
      <c r="C309" t="s">
        <v>915</v>
      </c>
      <c r="D309" t="s">
        <v>69</v>
      </c>
      <c r="E309" t="str">
        <f>PROPER(TRIM(D309))</f>
        <v>Mary</v>
      </c>
      <c r="F309" t="s">
        <v>46</v>
      </c>
      <c r="G309">
        <v>52</v>
      </c>
      <c r="H309" t="str">
        <f>IF(AND(G309&gt;18, G309&lt;65), "Valid", "Invalid")</f>
        <v>Valid</v>
      </c>
      <c r="I309" t="s">
        <v>47</v>
      </c>
      <c r="J309" t="str">
        <f>PROPER(TRIM(I309))</f>
        <v>Enugu</v>
      </c>
      <c r="K309" t="s">
        <v>87</v>
      </c>
      <c r="L309" t="str">
        <f>PROPER(TRIM(K309))</f>
        <v>Groceris</v>
      </c>
      <c r="M309" t="s">
        <v>49</v>
      </c>
      <c r="N309" t="str">
        <f>PROPER(TRIM(M309))</f>
        <v>Rice</v>
      </c>
      <c r="O309">
        <v>150.86000000000001</v>
      </c>
      <c r="P309">
        <v>2</v>
      </c>
      <c r="Q309">
        <f>IF(P309&lt;1, 1, P309)</f>
        <v>2</v>
      </c>
      <c r="R309">
        <v>-10</v>
      </c>
      <c r="S309" t="str">
        <f>IF(OR(R309&lt;0,R309&gt;100),"invalid","Valid")</f>
        <v>invalid</v>
      </c>
      <c r="T309" t="s">
        <v>59</v>
      </c>
      <c r="U309" t="str">
        <f>PROPER(TRIM(T309))</f>
        <v>Mobile Money</v>
      </c>
      <c r="V309" t="s">
        <v>25</v>
      </c>
      <c r="W309" t="str">
        <f t="shared" si="8"/>
        <v>Dan</v>
      </c>
      <c r="X309" t="s">
        <v>33</v>
      </c>
      <c r="Y309">
        <v>4</v>
      </c>
      <c r="Z309" t="str">
        <f>IF(D309="", "Missing", "ok")</f>
        <v>ok</v>
      </c>
      <c r="AA309">
        <f t="shared" si="9"/>
        <v>331.89200000000005</v>
      </c>
    </row>
    <row r="310" spans="1:27" x14ac:dyDescent="0.25">
      <c r="A310" t="s">
        <v>916</v>
      </c>
      <c r="B310" s="1" t="s">
        <v>917</v>
      </c>
      <c r="C310" t="s">
        <v>918</v>
      </c>
      <c r="E310" t="str">
        <f>PROPER(TRIM(D310))</f>
        <v/>
      </c>
      <c r="F310" t="s">
        <v>46</v>
      </c>
      <c r="G310">
        <v>130</v>
      </c>
      <c r="H310" t="str">
        <f>IF(AND(G310&gt;18, G310&lt;65), "Valid", "Invalid")</f>
        <v>Invalid</v>
      </c>
      <c r="I310" t="s">
        <v>70</v>
      </c>
      <c r="J310" t="str">
        <f>PROPER(TRIM(I310))</f>
        <v>Abuja</v>
      </c>
      <c r="K310" t="s">
        <v>54</v>
      </c>
      <c r="L310" t="str">
        <f>PROPER(TRIM(K310))</f>
        <v>Home</v>
      </c>
      <c r="M310" t="s">
        <v>55</v>
      </c>
      <c r="N310" t="str">
        <f>PROPER(TRIM(M310))</f>
        <v>Chair</v>
      </c>
      <c r="O310">
        <v>134.79</v>
      </c>
      <c r="P310">
        <v>10</v>
      </c>
      <c r="Q310">
        <f>IF(P310&lt;1, 1, P310)</f>
        <v>10</v>
      </c>
      <c r="R310">
        <v>-10</v>
      </c>
      <c r="S310" t="str">
        <f>IF(OR(R310&lt;0,R310&gt;100),"invalid","Valid")</f>
        <v>invalid</v>
      </c>
      <c r="T310" t="s">
        <v>24</v>
      </c>
      <c r="U310" t="str">
        <f>PROPER(TRIM(T310))</f>
        <v>Pos</v>
      </c>
      <c r="V310" t="s">
        <v>91</v>
      </c>
      <c r="W310" t="str">
        <f t="shared" si="8"/>
        <v>Ben</v>
      </c>
      <c r="X310" t="s">
        <v>26</v>
      </c>
      <c r="Y310">
        <v>2</v>
      </c>
      <c r="Z310" t="str">
        <f>IF(D310="", "Missing", "ok")</f>
        <v>Missing</v>
      </c>
      <c r="AA310">
        <f t="shared" si="9"/>
        <v>1482.69</v>
      </c>
    </row>
    <row r="311" spans="1:27" x14ac:dyDescent="0.25">
      <c r="A311" t="s">
        <v>919</v>
      </c>
      <c r="B311" s="1" t="s">
        <v>270</v>
      </c>
      <c r="C311" t="s">
        <v>920</v>
      </c>
      <c r="D311" t="s">
        <v>101</v>
      </c>
      <c r="E311" t="str">
        <f>PROPER(TRIM(D311))</f>
        <v>Grace</v>
      </c>
      <c r="F311" t="s">
        <v>20</v>
      </c>
      <c r="G311">
        <v>130</v>
      </c>
      <c r="H311" t="str">
        <f>IF(AND(G311&gt;18, G311&lt;65), "Valid", "Invalid")</f>
        <v>Invalid</v>
      </c>
      <c r="I311" t="s">
        <v>70</v>
      </c>
      <c r="J311" t="str">
        <f>PROPER(TRIM(I311))</f>
        <v>Abuja</v>
      </c>
      <c r="K311" t="s">
        <v>31</v>
      </c>
      <c r="L311" t="str">
        <f>PROPER(TRIM(K311))</f>
        <v>Sports</v>
      </c>
      <c r="M311" t="s">
        <v>32</v>
      </c>
      <c r="N311" t="str">
        <f>PROPER(TRIM(M311))</f>
        <v>Ball</v>
      </c>
      <c r="O311">
        <v>351.41</v>
      </c>
      <c r="P311">
        <v>-2</v>
      </c>
      <c r="Q311">
        <f>IF(P311&lt;1, 1, P311)</f>
        <v>1</v>
      </c>
      <c r="R311">
        <v>10</v>
      </c>
      <c r="S311" t="str">
        <f>IF(OR(R311&lt;0,R311&gt;100),"invalid","Valid")</f>
        <v>Valid</v>
      </c>
      <c r="T311" t="s">
        <v>64</v>
      </c>
      <c r="U311" t="str">
        <f>PROPER(TRIM(T311))</f>
        <v>Transfer</v>
      </c>
      <c r="V311" t="s">
        <v>81</v>
      </c>
      <c r="W311" t="str">
        <f t="shared" si="8"/>
        <v>Ada</v>
      </c>
      <c r="X311" t="s">
        <v>82</v>
      </c>
      <c r="Y311">
        <v>1</v>
      </c>
      <c r="Z311" t="str">
        <f>IF(D311="", "Missing", "ok")</f>
        <v>ok</v>
      </c>
      <c r="AA311">
        <f t="shared" si="9"/>
        <v>316.26900000000001</v>
      </c>
    </row>
    <row r="312" spans="1:27" x14ac:dyDescent="0.25">
      <c r="A312" t="s">
        <v>921</v>
      </c>
      <c r="B312" s="1" t="s">
        <v>400</v>
      </c>
      <c r="C312" t="s">
        <v>922</v>
      </c>
      <c r="D312" t="s">
        <v>19</v>
      </c>
      <c r="E312" t="str">
        <f>PROPER(TRIM(D312))</f>
        <v>Peter</v>
      </c>
      <c r="F312" t="s">
        <v>46</v>
      </c>
      <c r="G312">
        <v>63</v>
      </c>
      <c r="H312" t="str">
        <f>IF(AND(G312&gt;18, G312&lt;65), "Valid", "Invalid")</f>
        <v>Valid</v>
      </c>
      <c r="I312" t="s">
        <v>47</v>
      </c>
      <c r="J312" t="str">
        <f>PROPER(TRIM(I312))</f>
        <v>Enugu</v>
      </c>
      <c r="K312" t="s">
        <v>48</v>
      </c>
      <c r="L312" t="str">
        <f>PROPER(TRIM(K312))</f>
        <v>Groceries</v>
      </c>
      <c r="M312" t="s">
        <v>49</v>
      </c>
      <c r="N312" t="str">
        <f>PROPER(TRIM(M312))</f>
        <v>Rice</v>
      </c>
      <c r="O312">
        <v>310.12</v>
      </c>
      <c r="P312">
        <v>-2</v>
      </c>
      <c r="Q312">
        <f>IF(P312&lt;1, 1, P312)</f>
        <v>1</v>
      </c>
      <c r="R312">
        <v>120</v>
      </c>
      <c r="S312" t="str">
        <f>IF(OR(R312&lt;0,R312&gt;100),"invalid","Valid")</f>
        <v>invalid</v>
      </c>
      <c r="T312" t="s">
        <v>64</v>
      </c>
      <c r="U312" t="str">
        <f>PROPER(TRIM(T312))</f>
        <v>Transfer</v>
      </c>
      <c r="V312" t="s">
        <v>81</v>
      </c>
      <c r="W312" t="str">
        <f t="shared" si="8"/>
        <v>Ada</v>
      </c>
      <c r="X312" t="s">
        <v>26</v>
      </c>
      <c r="Y312">
        <v>1</v>
      </c>
      <c r="Z312" t="str">
        <f>IF(D312="", "Missing", "ok")</f>
        <v>ok</v>
      </c>
      <c r="AA312">
        <f t="shared" si="9"/>
        <v>-62.023999999999987</v>
      </c>
    </row>
    <row r="313" spans="1:27" x14ac:dyDescent="0.25">
      <c r="A313" t="s">
        <v>923</v>
      </c>
      <c r="B313" s="1" t="s">
        <v>246</v>
      </c>
      <c r="C313" t="s">
        <v>924</v>
      </c>
      <c r="D313" t="s">
        <v>69</v>
      </c>
      <c r="E313" t="str">
        <f>PROPER(TRIM(D313))</f>
        <v>Mary</v>
      </c>
      <c r="F313" t="s">
        <v>20</v>
      </c>
      <c r="G313">
        <v>23</v>
      </c>
      <c r="H313" t="str">
        <f>IF(AND(G313&gt;18, G313&lt;65), "Valid", "Invalid")</f>
        <v>Valid</v>
      </c>
      <c r="I313" t="s">
        <v>30</v>
      </c>
      <c r="J313" t="str">
        <f>PROPER(TRIM(I313))</f>
        <v>Lagos</v>
      </c>
      <c r="K313" t="s">
        <v>48</v>
      </c>
      <c r="L313" t="str">
        <f>PROPER(TRIM(K313))</f>
        <v>Groceries</v>
      </c>
      <c r="M313" t="s">
        <v>49</v>
      </c>
      <c r="N313" t="str">
        <f>PROPER(TRIM(M313))</f>
        <v>Rice</v>
      </c>
      <c r="O313">
        <v>244.18</v>
      </c>
      <c r="P313">
        <v>10</v>
      </c>
      <c r="Q313">
        <f>IF(P313&lt;1, 1, P313)</f>
        <v>10</v>
      </c>
      <c r="R313">
        <v>0</v>
      </c>
      <c r="S313" t="str">
        <f>IF(OR(R313&lt;0,R313&gt;100),"invalid","Valid")</f>
        <v>Valid</v>
      </c>
      <c r="T313" t="s">
        <v>64</v>
      </c>
      <c r="U313" t="str">
        <f>PROPER(TRIM(T313))</f>
        <v>Transfer</v>
      </c>
      <c r="V313" t="s">
        <v>25</v>
      </c>
      <c r="W313" t="str">
        <f t="shared" si="8"/>
        <v>Dan</v>
      </c>
      <c r="X313" t="s">
        <v>26</v>
      </c>
      <c r="Y313">
        <v>5</v>
      </c>
      <c r="Z313" t="str">
        <f>IF(D313="", "Missing", "ok")</f>
        <v>ok</v>
      </c>
      <c r="AA313">
        <f t="shared" si="9"/>
        <v>2441.8000000000002</v>
      </c>
    </row>
    <row r="314" spans="1:27" x14ac:dyDescent="0.25">
      <c r="A314" t="s">
        <v>925</v>
      </c>
      <c r="B314" s="1" t="s">
        <v>926</v>
      </c>
      <c r="C314" t="s">
        <v>927</v>
      </c>
      <c r="D314" t="s">
        <v>69</v>
      </c>
      <c r="E314" t="str">
        <f>PROPER(TRIM(D314))</f>
        <v>Mary</v>
      </c>
      <c r="F314" t="s">
        <v>46</v>
      </c>
      <c r="G314">
        <v>130</v>
      </c>
      <c r="H314" t="str">
        <f>IF(AND(G314&gt;18, G314&lt;65), "Valid", "Invalid")</f>
        <v>Invalid</v>
      </c>
      <c r="I314" t="s">
        <v>70</v>
      </c>
      <c r="J314" t="str">
        <f>PROPER(TRIM(I314))</f>
        <v>Abuja</v>
      </c>
      <c r="K314" t="s">
        <v>22</v>
      </c>
      <c r="L314" t="str">
        <f>PROPER(TRIM(K314))</f>
        <v>Fashion</v>
      </c>
      <c r="M314" t="s">
        <v>23</v>
      </c>
      <c r="N314" t="str">
        <f>PROPER(TRIM(M314))</f>
        <v>Shirt</v>
      </c>
      <c r="O314">
        <v>49.73</v>
      </c>
      <c r="P314">
        <v>2</v>
      </c>
      <c r="Q314">
        <f>IF(P314&lt;1, 1, P314)</f>
        <v>2</v>
      </c>
      <c r="R314">
        <v>15</v>
      </c>
      <c r="S314" t="str">
        <f>IF(OR(R314&lt;0,R314&gt;100),"invalid","Valid")</f>
        <v>Valid</v>
      </c>
      <c r="T314" t="s">
        <v>77</v>
      </c>
      <c r="U314" t="str">
        <f>PROPER(TRIM(T314))</f>
        <v>Cash</v>
      </c>
      <c r="V314" t="s">
        <v>91</v>
      </c>
      <c r="W314" t="str">
        <f t="shared" si="8"/>
        <v>Ben</v>
      </c>
      <c r="X314" t="s">
        <v>65</v>
      </c>
      <c r="Y314">
        <v>1</v>
      </c>
      <c r="Z314" t="str">
        <f>IF(D314="", "Missing", "ok")</f>
        <v>ok</v>
      </c>
      <c r="AA314">
        <f t="shared" si="9"/>
        <v>84.540999999999997</v>
      </c>
    </row>
    <row r="315" spans="1:27" x14ac:dyDescent="0.25">
      <c r="A315" t="s">
        <v>928</v>
      </c>
      <c r="B315" s="1" t="s">
        <v>929</v>
      </c>
      <c r="C315" t="s">
        <v>930</v>
      </c>
      <c r="D315" t="s">
        <v>63</v>
      </c>
      <c r="E315" t="str">
        <f>PROPER(TRIM(D315))</f>
        <v>John</v>
      </c>
      <c r="F315" t="s">
        <v>20</v>
      </c>
      <c r="G315">
        <v>130</v>
      </c>
      <c r="H315" t="str">
        <f>IF(AND(G315&gt;18, G315&lt;65), "Valid", "Invalid")</f>
        <v>Invalid</v>
      </c>
      <c r="I315" t="s">
        <v>21</v>
      </c>
      <c r="J315" t="str">
        <f>PROPER(TRIM(I315))</f>
        <v>Lagos</v>
      </c>
      <c r="K315" t="s">
        <v>39</v>
      </c>
      <c r="L315" t="str">
        <f>PROPER(TRIM(K315))</f>
        <v>Electronics</v>
      </c>
      <c r="M315" t="s">
        <v>40</v>
      </c>
      <c r="N315" t="str">
        <f>PROPER(TRIM(M315))</f>
        <v>Phone</v>
      </c>
      <c r="O315">
        <v>488.31</v>
      </c>
      <c r="P315">
        <v>7</v>
      </c>
      <c r="Q315">
        <f>IF(P315&lt;1, 1, P315)</f>
        <v>7</v>
      </c>
      <c r="R315">
        <v>15</v>
      </c>
      <c r="S315" t="str">
        <f>IF(OR(R315&lt;0,R315&gt;100),"invalid","Valid")</f>
        <v>Valid</v>
      </c>
      <c r="T315" t="s">
        <v>59</v>
      </c>
      <c r="U315" t="str">
        <f>PROPER(TRIM(T315))</f>
        <v>Mobile Money</v>
      </c>
      <c r="V315" t="s">
        <v>91</v>
      </c>
      <c r="W315" t="str">
        <f t="shared" si="8"/>
        <v>Ben</v>
      </c>
      <c r="X315" t="s">
        <v>65</v>
      </c>
      <c r="Z315" t="str">
        <f>IF(D315="", "Missing", "ok")</f>
        <v>ok</v>
      </c>
      <c r="AA315">
        <f t="shared" si="9"/>
        <v>2905.4445000000001</v>
      </c>
    </row>
    <row r="316" spans="1:27" x14ac:dyDescent="0.25">
      <c r="A316" t="s">
        <v>931</v>
      </c>
      <c r="B316" s="1" t="s">
        <v>932</v>
      </c>
      <c r="C316" t="s">
        <v>933</v>
      </c>
      <c r="E316" t="str">
        <f>PROPER(TRIM(D316))</f>
        <v/>
      </c>
      <c r="F316" t="s">
        <v>46</v>
      </c>
      <c r="G316">
        <v>130</v>
      </c>
      <c r="H316" t="str">
        <f>IF(AND(G316&gt;18, G316&lt;65), "Valid", "Invalid")</f>
        <v>Invalid</v>
      </c>
      <c r="I316" t="s">
        <v>86</v>
      </c>
      <c r="J316" t="str">
        <f>PROPER(TRIM(I316))</f>
        <v>Kano</v>
      </c>
      <c r="K316" t="s">
        <v>48</v>
      </c>
      <c r="L316" t="str">
        <f>PROPER(TRIM(K316))</f>
        <v>Groceries</v>
      </c>
      <c r="M316" t="s">
        <v>49</v>
      </c>
      <c r="N316" t="str">
        <f>PROPER(TRIM(M316))</f>
        <v>Rice</v>
      </c>
      <c r="O316">
        <v>487.54</v>
      </c>
      <c r="P316">
        <v>2</v>
      </c>
      <c r="Q316">
        <f>IF(P316&lt;1, 1, P316)</f>
        <v>2</v>
      </c>
      <c r="R316">
        <v>10</v>
      </c>
      <c r="S316" t="str">
        <f>IF(OR(R316&lt;0,R316&gt;100),"invalid","Valid")</f>
        <v>Valid</v>
      </c>
      <c r="T316" t="s">
        <v>59</v>
      </c>
      <c r="U316" t="str">
        <f>PROPER(TRIM(T316))</f>
        <v>Mobile Money</v>
      </c>
      <c r="V316" t="s">
        <v>25</v>
      </c>
      <c r="W316" t="str">
        <f t="shared" si="8"/>
        <v>Dan</v>
      </c>
      <c r="X316" t="s">
        <v>26</v>
      </c>
      <c r="Z316" t="str">
        <f>IF(D316="", "Missing", "ok")</f>
        <v>Missing</v>
      </c>
      <c r="AA316">
        <f t="shared" si="9"/>
        <v>877.572</v>
      </c>
    </row>
    <row r="317" spans="1:27" x14ac:dyDescent="0.25">
      <c r="A317" t="s">
        <v>934</v>
      </c>
      <c r="B317" s="1" t="s">
        <v>935</v>
      </c>
      <c r="C317" t="s">
        <v>936</v>
      </c>
      <c r="E317" t="str">
        <f>PROPER(TRIM(D317))</f>
        <v/>
      </c>
      <c r="F317" t="s">
        <v>46</v>
      </c>
      <c r="G317">
        <v>8</v>
      </c>
      <c r="H317" t="str">
        <f>IF(AND(G317&gt;18, G317&lt;65), "Valid", "Invalid")</f>
        <v>Invalid</v>
      </c>
      <c r="I317" t="s">
        <v>86</v>
      </c>
      <c r="J317" t="str">
        <f>PROPER(TRIM(I317))</f>
        <v>Kano</v>
      </c>
      <c r="K317" t="s">
        <v>87</v>
      </c>
      <c r="L317" t="str">
        <f>PROPER(TRIM(K317))</f>
        <v>Groceris</v>
      </c>
      <c r="M317" t="s">
        <v>49</v>
      </c>
      <c r="N317" t="str">
        <f>PROPER(TRIM(M317))</f>
        <v>Rice</v>
      </c>
      <c r="O317">
        <v>316.06</v>
      </c>
      <c r="P317">
        <v>-2</v>
      </c>
      <c r="Q317">
        <f>IF(P317&lt;1, 1, P317)</f>
        <v>1</v>
      </c>
      <c r="R317">
        <v>15</v>
      </c>
      <c r="S317" t="str">
        <f>IF(OR(R317&lt;0,R317&gt;100),"invalid","Valid")</f>
        <v>Valid</v>
      </c>
      <c r="T317" t="s">
        <v>59</v>
      </c>
      <c r="U317" t="str">
        <f>PROPER(TRIM(T317))</f>
        <v>Mobile Money</v>
      </c>
      <c r="V317" t="s">
        <v>91</v>
      </c>
      <c r="W317" t="str">
        <f t="shared" si="8"/>
        <v>Ben</v>
      </c>
      <c r="X317" t="s">
        <v>82</v>
      </c>
      <c r="Y317">
        <v>3</v>
      </c>
      <c r="Z317" t="str">
        <f>IF(D317="", "Missing", "ok")</f>
        <v>Missing</v>
      </c>
      <c r="AA317">
        <f t="shared" si="9"/>
        <v>268.65100000000001</v>
      </c>
    </row>
    <row r="318" spans="1:27" x14ac:dyDescent="0.25">
      <c r="A318" t="s">
        <v>937</v>
      </c>
      <c r="B318" s="1" t="s">
        <v>938</v>
      </c>
      <c r="C318" t="s">
        <v>939</v>
      </c>
      <c r="D318" t="s">
        <v>19</v>
      </c>
      <c r="E318" t="str">
        <f>PROPER(TRIM(D318))</f>
        <v>Peter</v>
      </c>
      <c r="F318" t="s">
        <v>20</v>
      </c>
      <c r="G318">
        <v>130</v>
      </c>
      <c r="H318" t="str">
        <f>IF(AND(G318&gt;18, G318&lt;65), "Valid", "Invalid")</f>
        <v>Invalid</v>
      </c>
      <c r="I318" t="s">
        <v>70</v>
      </c>
      <c r="J318" t="str">
        <f>PROPER(TRIM(I318))</f>
        <v>Abuja</v>
      </c>
      <c r="K318" t="s">
        <v>22</v>
      </c>
      <c r="L318" t="str">
        <f>PROPER(TRIM(K318))</f>
        <v>Fashion</v>
      </c>
      <c r="M318" t="s">
        <v>23</v>
      </c>
      <c r="N318" t="str">
        <f>PROPER(TRIM(M318))</f>
        <v>Shirt</v>
      </c>
      <c r="O318">
        <v>339.48</v>
      </c>
      <c r="P318">
        <v>4</v>
      </c>
      <c r="Q318">
        <f>IF(P318&lt;1, 1, P318)</f>
        <v>4</v>
      </c>
      <c r="R318">
        <v>0</v>
      </c>
      <c r="S318" t="str">
        <f>IF(OR(R318&lt;0,R318&gt;100),"invalid","Valid")</f>
        <v>Valid</v>
      </c>
      <c r="T318" t="s">
        <v>64</v>
      </c>
      <c r="U318" t="str">
        <f>PROPER(TRIM(T318))</f>
        <v>Transfer</v>
      </c>
      <c r="V318" t="s">
        <v>41</v>
      </c>
      <c r="W318" t="str">
        <f t="shared" si="8"/>
        <v>Chi</v>
      </c>
      <c r="X318" t="s">
        <v>65</v>
      </c>
      <c r="Y318">
        <v>1</v>
      </c>
      <c r="Z318" t="str">
        <f>IF(D318="", "Missing", "ok")</f>
        <v>ok</v>
      </c>
      <c r="AA318">
        <f t="shared" si="9"/>
        <v>1357.92</v>
      </c>
    </row>
    <row r="319" spans="1:27" x14ac:dyDescent="0.25">
      <c r="A319" t="s">
        <v>940</v>
      </c>
      <c r="B319" s="1" t="s">
        <v>303</v>
      </c>
      <c r="C319" t="s">
        <v>941</v>
      </c>
      <c r="E319" t="str">
        <f>PROPER(TRIM(D319))</f>
        <v/>
      </c>
      <c r="F319" t="s">
        <v>20</v>
      </c>
      <c r="G319">
        <v>8</v>
      </c>
      <c r="H319" t="str">
        <f>IF(AND(G319&gt;18, G319&lt;65), "Valid", "Invalid")</f>
        <v>Invalid</v>
      </c>
      <c r="I319" t="s">
        <v>86</v>
      </c>
      <c r="J319" t="str">
        <f>PROPER(TRIM(I319))</f>
        <v>Kano</v>
      </c>
      <c r="K319" t="s">
        <v>48</v>
      </c>
      <c r="L319" t="str">
        <f>PROPER(TRIM(K319))</f>
        <v>Groceries</v>
      </c>
      <c r="M319" t="s">
        <v>49</v>
      </c>
      <c r="N319" t="str">
        <f>PROPER(TRIM(M319))</f>
        <v>Rice</v>
      </c>
      <c r="O319">
        <v>455.27</v>
      </c>
      <c r="P319">
        <v>1</v>
      </c>
      <c r="Q319">
        <f>IF(P319&lt;1, 1, P319)</f>
        <v>1</v>
      </c>
      <c r="R319">
        <v>120</v>
      </c>
      <c r="S319" t="str">
        <f>IF(OR(R319&lt;0,R319&gt;100),"invalid","Valid")</f>
        <v>invalid</v>
      </c>
      <c r="U319" t="str">
        <f>PROPER(TRIM(T319))</f>
        <v/>
      </c>
      <c r="V319" t="s">
        <v>25</v>
      </c>
      <c r="W319" t="str">
        <f t="shared" si="8"/>
        <v>Dan</v>
      </c>
      <c r="X319" t="s">
        <v>65</v>
      </c>
      <c r="Y319">
        <v>1</v>
      </c>
      <c r="Z319" t="str">
        <f>IF(D319="", "Missing", "ok")</f>
        <v>Missing</v>
      </c>
      <c r="AA319">
        <f t="shared" si="9"/>
        <v>-91.053999999999974</v>
      </c>
    </row>
    <row r="320" spans="1:27" x14ac:dyDescent="0.25">
      <c r="A320" t="s">
        <v>942</v>
      </c>
      <c r="B320" s="1" t="s">
        <v>943</v>
      </c>
      <c r="C320" t="s">
        <v>944</v>
      </c>
      <c r="D320" t="s">
        <v>19</v>
      </c>
      <c r="E320" t="str">
        <f>PROPER(TRIM(D320))</f>
        <v>Peter</v>
      </c>
      <c r="F320" t="s">
        <v>46</v>
      </c>
      <c r="G320">
        <v>8</v>
      </c>
      <c r="H320" t="str">
        <f>IF(AND(G320&gt;18, G320&lt;65), "Valid", "Invalid")</f>
        <v>Invalid</v>
      </c>
      <c r="I320" t="s">
        <v>30</v>
      </c>
      <c r="J320" t="str">
        <f>PROPER(TRIM(I320))</f>
        <v>Lagos</v>
      </c>
      <c r="K320" t="s">
        <v>121</v>
      </c>
      <c r="L320" t="str">
        <f>PROPER(TRIM(K320))</f>
        <v>Beauty</v>
      </c>
      <c r="M320" t="s">
        <v>122</v>
      </c>
      <c r="N320" t="str">
        <f>PROPER(TRIM(M320))</f>
        <v>Cream</v>
      </c>
      <c r="O320">
        <v>369.06</v>
      </c>
      <c r="P320">
        <v>-2</v>
      </c>
      <c r="Q320">
        <f>IF(P320&lt;1, 1, P320)</f>
        <v>1</v>
      </c>
      <c r="R320">
        <v>10</v>
      </c>
      <c r="S320" t="str">
        <f>IF(OR(R320&lt;0,R320&gt;100),"invalid","Valid")</f>
        <v>Valid</v>
      </c>
      <c r="T320" t="s">
        <v>64</v>
      </c>
      <c r="U320" t="str">
        <f>PROPER(TRIM(T320))</f>
        <v>Transfer</v>
      </c>
      <c r="V320" t="s">
        <v>91</v>
      </c>
      <c r="W320" t="str">
        <f t="shared" si="8"/>
        <v>Ben</v>
      </c>
      <c r="X320" t="s">
        <v>82</v>
      </c>
      <c r="Y320">
        <v>2</v>
      </c>
      <c r="Z320" t="str">
        <f>IF(D320="", "Missing", "ok")</f>
        <v>ok</v>
      </c>
      <c r="AA320">
        <f t="shared" si="9"/>
        <v>332.154</v>
      </c>
    </row>
    <row r="321" spans="1:27" x14ac:dyDescent="0.25">
      <c r="A321" t="s">
        <v>945</v>
      </c>
      <c r="B321" s="1" t="s">
        <v>590</v>
      </c>
      <c r="C321" t="s">
        <v>946</v>
      </c>
      <c r="D321" t="s">
        <v>69</v>
      </c>
      <c r="E321" t="str">
        <f>PROPER(TRIM(D321))</f>
        <v>Mary</v>
      </c>
      <c r="F321" t="s">
        <v>46</v>
      </c>
      <c r="G321">
        <v>130</v>
      </c>
      <c r="H321" t="str">
        <f>IF(AND(G321&gt;18, G321&lt;65), "Valid", "Invalid")</f>
        <v>Invalid</v>
      </c>
      <c r="I321" t="s">
        <v>86</v>
      </c>
      <c r="J321" t="str">
        <f>PROPER(TRIM(I321))</f>
        <v>Kano</v>
      </c>
      <c r="K321" t="s">
        <v>22</v>
      </c>
      <c r="L321" t="str">
        <f>PROPER(TRIM(K321))</f>
        <v>Fashion</v>
      </c>
      <c r="M321" t="s">
        <v>23</v>
      </c>
      <c r="N321" t="str">
        <f>PROPER(TRIM(M321))</f>
        <v>Shirt</v>
      </c>
      <c r="O321">
        <v>66.59</v>
      </c>
      <c r="P321">
        <v>-2</v>
      </c>
      <c r="Q321">
        <f>IF(P321&lt;1, 1, P321)</f>
        <v>1</v>
      </c>
      <c r="R321">
        <v>15</v>
      </c>
      <c r="S321" t="str">
        <f>IF(OR(R321&lt;0,R321&gt;100),"invalid","Valid")</f>
        <v>Valid</v>
      </c>
      <c r="T321" t="s">
        <v>24</v>
      </c>
      <c r="U321" t="str">
        <f>PROPER(TRIM(T321))</f>
        <v>Pos</v>
      </c>
      <c r="V321" t="s">
        <v>81</v>
      </c>
      <c r="W321" t="str">
        <f t="shared" si="8"/>
        <v>Ada</v>
      </c>
      <c r="X321" t="s">
        <v>82</v>
      </c>
      <c r="Y321">
        <v>1</v>
      </c>
      <c r="Z321" t="str">
        <f>IF(D321="", "Missing", "ok")</f>
        <v>ok</v>
      </c>
      <c r="AA321">
        <f t="shared" si="9"/>
        <v>56.601500000000001</v>
      </c>
    </row>
    <row r="322" spans="1:27" x14ac:dyDescent="0.25">
      <c r="A322" t="s">
        <v>947</v>
      </c>
      <c r="B322" s="1" t="s">
        <v>948</v>
      </c>
      <c r="C322" t="s">
        <v>949</v>
      </c>
      <c r="D322" t="s">
        <v>101</v>
      </c>
      <c r="E322" t="str">
        <f>PROPER(TRIM(D322))</f>
        <v>Grace</v>
      </c>
      <c r="F322" t="s">
        <v>46</v>
      </c>
      <c r="G322">
        <v>130</v>
      </c>
      <c r="H322" t="str">
        <f>IF(AND(G322&gt;18, G322&lt;65), "Valid", "Invalid")</f>
        <v>Invalid</v>
      </c>
      <c r="I322" t="s">
        <v>21</v>
      </c>
      <c r="J322" t="str">
        <f>PROPER(TRIM(I322))</f>
        <v>Lagos</v>
      </c>
      <c r="K322" t="s">
        <v>39</v>
      </c>
      <c r="L322" t="str">
        <f>PROPER(TRIM(K322))</f>
        <v>Electronics</v>
      </c>
      <c r="M322" t="s">
        <v>40</v>
      </c>
      <c r="N322" t="str">
        <f>PROPER(TRIM(M322))</f>
        <v>Phone</v>
      </c>
      <c r="O322">
        <v>27.39</v>
      </c>
      <c r="P322">
        <v>-2</v>
      </c>
      <c r="Q322">
        <f>IF(P322&lt;1, 1, P322)</f>
        <v>1</v>
      </c>
      <c r="R322">
        <v>5</v>
      </c>
      <c r="S322" t="str">
        <f>IF(OR(R322&lt;0,R322&gt;100),"invalid","Valid")</f>
        <v>Valid</v>
      </c>
      <c r="T322" t="s">
        <v>24</v>
      </c>
      <c r="U322" t="str">
        <f>PROPER(TRIM(T322))</f>
        <v>Pos</v>
      </c>
      <c r="V322" t="s">
        <v>41</v>
      </c>
      <c r="W322" t="str">
        <f t="shared" ref="W322:W385" si="10">PROPER(TRIM(V322))</f>
        <v>Chi</v>
      </c>
      <c r="X322" t="s">
        <v>82</v>
      </c>
      <c r="Y322">
        <v>1</v>
      </c>
      <c r="Z322" t="str">
        <f>IF(D322="", "Missing", "ok")</f>
        <v>ok</v>
      </c>
      <c r="AA322">
        <f t="shared" si="9"/>
        <v>26.020499999999998</v>
      </c>
    </row>
    <row r="323" spans="1:27" x14ac:dyDescent="0.25">
      <c r="A323" t="s">
        <v>950</v>
      </c>
      <c r="B323" s="1" t="s">
        <v>951</v>
      </c>
      <c r="C323" t="s">
        <v>952</v>
      </c>
      <c r="D323" t="s">
        <v>69</v>
      </c>
      <c r="E323" t="str">
        <f>PROPER(TRIM(D323))</f>
        <v>Mary</v>
      </c>
      <c r="F323" t="s">
        <v>46</v>
      </c>
      <c r="G323">
        <v>130</v>
      </c>
      <c r="H323" t="str">
        <f>IF(AND(G323&gt;18, G323&lt;65), "Valid", "Invalid")</f>
        <v>Invalid</v>
      </c>
      <c r="I323" t="s">
        <v>53</v>
      </c>
      <c r="J323" t="str">
        <f>PROPER(TRIM(I323))</f>
        <v>Lagos</v>
      </c>
      <c r="K323" t="s">
        <v>87</v>
      </c>
      <c r="L323" t="str">
        <f>PROPER(TRIM(K323))</f>
        <v>Groceris</v>
      </c>
      <c r="M323" t="s">
        <v>49</v>
      </c>
      <c r="N323" t="str">
        <f>PROPER(TRIM(M323))</f>
        <v>Rice</v>
      </c>
      <c r="O323">
        <v>37.28</v>
      </c>
      <c r="P323">
        <v>8</v>
      </c>
      <c r="Q323">
        <f>IF(P323&lt;1, 1, P323)</f>
        <v>8</v>
      </c>
      <c r="R323">
        <v>-10</v>
      </c>
      <c r="S323" t="str">
        <f>IF(OR(R323&lt;0,R323&gt;100),"invalid","Valid")</f>
        <v>invalid</v>
      </c>
      <c r="U323" t="str">
        <f>PROPER(TRIM(T323))</f>
        <v/>
      </c>
      <c r="V323" t="s">
        <v>41</v>
      </c>
      <c r="W323" t="str">
        <f t="shared" si="10"/>
        <v>Chi</v>
      </c>
      <c r="X323" t="s">
        <v>33</v>
      </c>
      <c r="Y323">
        <v>3</v>
      </c>
      <c r="Z323" t="str">
        <f>IF(D323="", "Missing", "ok")</f>
        <v>ok</v>
      </c>
      <c r="AA323">
        <f t="shared" ref="AA323:AA386" si="11">(O323*Q323)*(1-R323/100)</f>
        <v>328.06400000000002</v>
      </c>
    </row>
    <row r="324" spans="1:27" x14ac:dyDescent="0.25">
      <c r="A324" t="s">
        <v>953</v>
      </c>
      <c r="B324" s="1" t="s">
        <v>938</v>
      </c>
      <c r="C324" t="s">
        <v>954</v>
      </c>
      <c r="D324" t="s">
        <v>45</v>
      </c>
      <c r="E324" t="str">
        <f>PROPER(TRIM(D324))</f>
        <v>James</v>
      </c>
      <c r="F324" t="s">
        <v>20</v>
      </c>
      <c r="G324">
        <v>49</v>
      </c>
      <c r="H324" t="str">
        <f>IF(AND(G324&gt;18, G324&lt;65), "Valid", "Invalid")</f>
        <v>Valid</v>
      </c>
      <c r="I324" t="s">
        <v>70</v>
      </c>
      <c r="J324" t="str">
        <f>PROPER(TRIM(I324))</f>
        <v>Abuja</v>
      </c>
      <c r="K324" t="s">
        <v>39</v>
      </c>
      <c r="L324" t="str">
        <f>PROPER(TRIM(K324))</f>
        <v>Electronics</v>
      </c>
      <c r="M324" t="s">
        <v>40</v>
      </c>
      <c r="N324" t="str">
        <f>PROPER(TRIM(M324))</f>
        <v>Phone</v>
      </c>
      <c r="O324">
        <v>256.01</v>
      </c>
      <c r="P324">
        <v>-2</v>
      </c>
      <c r="Q324">
        <f>IF(P324&lt;1, 1, P324)</f>
        <v>1</v>
      </c>
      <c r="R324">
        <v>-10</v>
      </c>
      <c r="S324" t="str">
        <f>IF(OR(R324&lt;0,R324&gt;100),"invalid","Valid")</f>
        <v>invalid</v>
      </c>
      <c r="T324" t="s">
        <v>59</v>
      </c>
      <c r="U324" t="str">
        <f>PROPER(TRIM(T324))</f>
        <v>Mobile Money</v>
      </c>
      <c r="V324" t="s">
        <v>25</v>
      </c>
      <c r="W324" t="str">
        <f t="shared" si="10"/>
        <v>Dan</v>
      </c>
      <c r="X324" t="s">
        <v>82</v>
      </c>
      <c r="Y324">
        <v>1</v>
      </c>
      <c r="Z324" t="str">
        <f>IF(D324="", "Missing", "ok")</f>
        <v>ok</v>
      </c>
      <c r="AA324">
        <f t="shared" si="11"/>
        <v>281.61099999999999</v>
      </c>
    </row>
    <row r="325" spans="1:27" x14ac:dyDescent="0.25">
      <c r="A325" t="s">
        <v>955</v>
      </c>
      <c r="B325" s="1" t="s">
        <v>956</v>
      </c>
      <c r="C325" t="s">
        <v>957</v>
      </c>
      <c r="D325" t="s">
        <v>37</v>
      </c>
      <c r="E325" t="str">
        <f>PROPER(TRIM(D325))</f>
        <v>Aisha</v>
      </c>
      <c r="F325" t="s">
        <v>20</v>
      </c>
      <c r="G325">
        <v>45</v>
      </c>
      <c r="H325" t="str">
        <f>IF(AND(G325&gt;18, G325&lt;65), "Valid", "Invalid")</f>
        <v>Valid</v>
      </c>
      <c r="I325" t="s">
        <v>86</v>
      </c>
      <c r="J325" t="str">
        <f>PROPER(TRIM(I325))</f>
        <v>Kano</v>
      </c>
      <c r="K325" t="s">
        <v>54</v>
      </c>
      <c r="L325" t="str">
        <f>PROPER(TRIM(K325))</f>
        <v>Home</v>
      </c>
      <c r="M325" t="s">
        <v>55</v>
      </c>
      <c r="N325" t="str">
        <f>PROPER(TRIM(M325))</f>
        <v>Chair</v>
      </c>
      <c r="O325">
        <v>346.31</v>
      </c>
      <c r="P325">
        <v>-2</v>
      </c>
      <c r="Q325">
        <f>IF(P325&lt;1, 1, P325)</f>
        <v>1</v>
      </c>
      <c r="R325">
        <v>0</v>
      </c>
      <c r="S325" t="str">
        <f>IF(OR(R325&lt;0,R325&gt;100),"invalid","Valid")</f>
        <v>Valid</v>
      </c>
      <c r="T325" t="s">
        <v>64</v>
      </c>
      <c r="U325" t="str">
        <f>PROPER(TRIM(T325))</f>
        <v>Transfer</v>
      </c>
      <c r="V325" t="s">
        <v>41</v>
      </c>
      <c r="W325" t="str">
        <f t="shared" si="10"/>
        <v>Chi</v>
      </c>
      <c r="X325" t="s">
        <v>65</v>
      </c>
      <c r="Y325">
        <v>2</v>
      </c>
      <c r="Z325" t="str">
        <f>IF(D325="", "Missing", "ok")</f>
        <v>ok</v>
      </c>
      <c r="AA325">
        <f t="shared" si="11"/>
        <v>346.31</v>
      </c>
    </row>
    <row r="326" spans="1:27" x14ac:dyDescent="0.25">
      <c r="A326" t="s">
        <v>958</v>
      </c>
      <c r="B326" s="1" t="s">
        <v>208</v>
      </c>
      <c r="C326" t="s">
        <v>959</v>
      </c>
      <c r="D326" t="s">
        <v>63</v>
      </c>
      <c r="E326" t="str">
        <f>PROPER(TRIM(D326))</f>
        <v>John</v>
      </c>
      <c r="F326" t="s">
        <v>46</v>
      </c>
      <c r="G326">
        <v>8</v>
      </c>
      <c r="H326" t="str">
        <f>IF(AND(G326&gt;18, G326&lt;65), "Valid", "Invalid")</f>
        <v>Invalid</v>
      </c>
      <c r="I326" t="s">
        <v>21</v>
      </c>
      <c r="J326" t="str">
        <f>PROPER(TRIM(I326))</f>
        <v>Lagos</v>
      </c>
      <c r="K326" t="s">
        <v>121</v>
      </c>
      <c r="L326" t="str">
        <f>PROPER(TRIM(K326))</f>
        <v>Beauty</v>
      </c>
      <c r="M326" t="s">
        <v>122</v>
      </c>
      <c r="N326" t="str">
        <f>PROPER(TRIM(M326))</f>
        <v>Cream</v>
      </c>
      <c r="O326">
        <v>223.75</v>
      </c>
      <c r="P326">
        <v>-2</v>
      </c>
      <c r="Q326">
        <f>IF(P326&lt;1, 1, P326)</f>
        <v>1</v>
      </c>
      <c r="R326">
        <v>0</v>
      </c>
      <c r="S326" t="str">
        <f>IF(OR(R326&lt;0,R326&gt;100),"invalid","Valid")</f>
        <v>Valid</v>
      </c>
      <c r="T326" t="s">
        <v>64</v>
      </c>
      <c r="U326" t="str">
        <f>PROPER(TRIM(T326))</f>
        <v>Transfer</v>
      </c>
      <c r="V326" t="s">
        <v>25</v>
      </c>
      <c r="W326" t="str">
        <f t="shared" si="10"/>
        <v>Dan</v>
      </c>
      <c r="X326" t="s">
        <v>33</v>
      </c>
      <c r="Y326">
        <v>3</v>
      </c>
      <c r="Z326" t="str">
        <f>IF(D326="", "Missing", "ok")</f>
        <v>ok</v>
      </c>
      <c r="AA326">
        <f t="shared" si="11"/>
        <v>223.75</v>
      </c>
    </row>
    <row r="327" spans="1:27" x14ac:dyDescent="0.25">
      <c r="A327" t="s">
        <v>960</v>
      </c>
      <c r="B327" s="1" t="s">
        <v>961</v>
      </c>
      <c r="C327" t="s">
        <v>962</v>
      </c>
      <c r="E327" t="str">
        <f>PROPER(TRIM(D327))</f>
        <v/>
      </c>
      <c r="F327" t="s">
        <v>20</v>
      </c>
      <c r="G327">
        <v>130</v>
      </c>
      <c r="H327" t="str">
        <f>IF(AND(G327&gt;18, G327&lt;65), "Valid", "Invalid")</f>
        <v>Invalid</v>
      </c>
      <c r="I327" t="s">
        <v>53</v>
      </c>
      <c r="J327" t="str">
        <f>PROPER(TRIM(I327))</f>
        <v>Lagos</v>
      </c>
      <c r="K327" t="s">
        <v>54</v>
      </c>
      <c r="L327" t="str">
        <f>PROPER(TRIM(K327))</f>
        <v>Home</v>
      </c>
      <c r="M327" t="s">
        <v>55</v>
      </c>
      <c r="N327" t="str">
        <f>PROPER(TRIM(M327))</f>
        <v>Chair</v>
      </c>
      <c r="O327">
        <v>60.96</v>
      </c>
      <c r="P327">
        <v>10</v>
      </c>
      <c r="Q327">
        <f>IF(P327&lt;1, 1, P327)</f>
        <v>10</v>
      </c>
      <c r="R327">
        <v>10</v>
      </c>
      <c r="S327" t="str">
        <f>IF(OR(R327&lt;0,R327&gt;100),"invalid","Valid")</f>
        <v>Valid</v>
      </c>
      <c r="T327" t="s">
        <v>77</v>
      </c>
      <c r="U327" t="str">
        <f>PROPER(TRIM(T327))</f>
        <v>Cash</v>
      </c>
      <c r="V327" t="s">
        <v>25</v>
      </c>
      <c r="W327" t="str">
        <f t="shared" si="10"/>
        <v>Dan</v>
      </c>
      <c r="X327" t="s">
        <v>26</v>
      </c>
      <c r="Y327">
        <v>2</v>
      </c>
      <c r="Z327" t="str">
        <f>IF(D327="", "Missing", "ok")</f>
        <v>Missing</v>
      </c>
      <c r="AA327">
        <f t="shared" si="11"/>
        <v>548.64</v>
      </c>
    </row>
    <row r="328" spans="1:27" x14ac:dyDescent="0.25">
      <c r="A328" t="s">
        <v>963</v>
      </c>
      <c r="B328" s="1" t="s">
        <v>964</v>
      </c>
      <c r="C328" t="s">
        <v>965</v>
      </c>
      <c r="D328" t="s">
        <v>101</v>
      </c>
      <c r="E328" t="str">
        <f>PROPER(TRIM(D328))</f>
        <v>Grace</v>
      </c>
      <c r="F328" t="s">
        <v>20</v>
      </c>
      <c r="G328">
        <v>130</v>
      </c>
      <c r="H328" t="str">
        <f>IF(AND(G328&gt;18, G328&lt;65), "Valid", "Invalid")</f>
        <v>Invalid</v>
      </c>
      <c r="I328" t="s">
        <v>38</v>
      </c>
      <c r="J328" t="str">
        <f>PROPER(TRIM(I328))</f>
        <v>Ph</v>
      </c>
      <c r="K328" t="s">
        <v>31</v>
      </c>
      <c r="L328" t="str">
        <f>PROPER(TRIM(K328))</f>
        <v>Sports</v>
      </c>
      <c r="M328" t="s">
        <v>32</v>
      </c>
      <c r="N328" t="str">
        <f>PROPER(TRIM(M328))</f>
        <v>Ball</v>
      </c>
      <c r="O328">
        <v>325.37</v>
      </c>
      <c r="P328">
        <v>2</v>
      </c>
      <c r="Q328">
        <f>IF(P328&lt;1, 1, P328)</f>
        <v>2</v>
      </c>
      <c r="R328">
        <v>5</v>
      </c>
      <c r="S328" t="str">
        <f>IF(OR(R328&lt;0,R328&gt;100),"invalid","Valid")</f>
        <v>Valid</v>
      </c>
      <c r="T328" t="s">
        <v>64</v>
      </c>
      <c r="U328" t="str">
        <f>PROPER(TRIM(T328))</f>
        <v>Transfer</v>
      </c>
      <c r="V328" t="s">
        <v>25</v>
      </c>
      <c r="W328" t="str">
        <f t="shared" si="10"/>
        <v>Dan</v>
      </c>
      <c r="X328" t="s">
        <v>82</v>
      </c>
      <c r="Y328">
        <v>2</v>
      </c>
      <c r="Z328" t="str">
        <f>IF(D328="", "Missing", "ok")</f>
        <v>ok</v>
      </c>
      <c r="AA328">
        <f t="shared" si="11"/>
        <v>618.20299999999997</v>
      </c>
    </row>
    <row r="329" spans="1:27" x14ac:dyDescent="0.25">
      <c r="A329" t="s">
        <v>966</v>
      </c>
      <c r="B329" s="1" t="s">
        <v>967</v>
      </c>
      <c r="C329" t="s">
        <v>968</v>
      </c>
      <c r="E329" t="str">
        <f>PROPER(TRIM(D329))</f>
        <v/>
      </c>
      <c r="F329" t="s">
        <v>20</v>
      </c>
      <c r="G329">
        <v>8</v>
      </c>
      <c r="H329" t="str">
        <f>IF(AND(G329&gt;18, G329&lt;65), "Valid", "Invalid")</f>
        <v>Invalid</v>
      </c>
      <c r="I329" t="s">
        <v>30</v>
      </c>
      <c r="J329" t="str">
        <f>PROPER(TRIM(I329))</f>
        <v>Lagos</v>
      </c>
      <c r="K329" t="s">
        <v>54</v>
      </c>
      <c r="L329" t="str">
        <f>PROPER(TRIM(K329))</f>
        <v>Home</v>
      </c>
      <c r="M329" t="s">
        <v>55</v>
      </c>
      <c r="N329" t="str">
        <f>PROPER(TRIM(M329))</f>
        <v>Chair</v>
      </c>
      <c r="O329">
        <v>178.63</v>
      </c>
      <c r="P329">
        <v>-2</v>
      </c>
      <c r="Q329">
        <f>IF(P329&lt;1, 1, P329)</f>
        <v>1</v>
      </c>
      <c r="R329">
        <v>0</v>
      </c>
      <c r="S329" t="str">
        <f>IF(OR(R329&lt;0,R329&gt;100),"invalid","Valid")</f>
        <v>Valid</v>
      </c>
      <c r="T329" t="s">
        <v>24</v>
      </c>
      <c r="U329" t="str">
        <f>PROPER(TRIM(T329))</f>
        <v>Pos</v>
      </c>
      <c r="V329" t="s">
        <v>81</v>
      </c>
      <c r="W329" t="str">
        <f t="shared" si="10"/>
        <v>Ada</v>
      </c>
      <c r="X329" t="s">
        <v>26</v>
      </c>
      <c r="Z329" t="str">
        <f>IF(D329="", "Missing", "ok")</f>
        <v>Missing</v>
      </c>
      <c r="AA329">
        <f t="shared" si="11"/>
        <v>178.63</v>
      </c>
    </row>
    <row r="330" spans="1:27" x14ac:dyDescent="0.25">
      <c r="A330" t="s">
        <v>969</v>
      </c>
      <c r="B330" s="1" t="s">
        <v>665</v>
      </c>
      <c r="C330" t="s">
        <v>970</v>
      </c>
      <c r="D330" t="s">
        <v>117</v>
      </c>
      <c r="E330" t="str">
        <f>PROPER(TRIM(D330))</f>
        <v>David</v>
      </c>
      <c r="F330" t="s">
        <v>46</v>
      </c>
      <c r="G330">
        <v>41</v>
      </c>
      <c r="H330" t="str">
        <f>IF(AND(G330&gt;18, G330&lt;65), "Valid", "Invalid")</f>
        <v>Valid</v>
      </c>
      <c r="I330" t="s">
        <v>47</v>
      </c>
      <c r="J330" t="str">
        <f>PROPER(TRIM(I330))</f>
        <v>Enugu</v>
      </c>
      <c r="K330" t="s">
        <v>54</v>
      </c>
      <c r="L330" t="str">
        <f>PROPER(TRIM(K330))</f>
        <v>Home</v>
      </c>
      <c r="M330" t="s">
        <v>55</v>
      </c>
      <c r="N330" t="str">
        <f>PROPER(TRIM(M330))</f>
        <v>Chair</v>
      </c>
      <c r="O330">
        <v>299.02999999999997</v>
      </c>
      <c r="P330">
        <v>-2</v>
      </c>
      <c r="Q330">
        <f>IF(P330&lt;1, 1, P330)</f>
        <v>1</v>
      </c>
      <c r="R330">
        <v>120</v>
      </c>
      <c r="S330" t="str">
        <f>IF(OR(R330&lt;0,R330&gt;100),"invalid","Valid")</f>
        <v>invalid</v>
      </c>
      <c r="T330" t="s">
        <v>64</v>
      </c>
      <c r="U330" t="str">
        <f>PROPER(TRIM(T330))</f>
        <v>Transfer</v>
      </c>
      <c r="V330" t="s">
        <v>91</v>
      </c>
      <c r="W330" t="str">
        <f t="shared" si="10"/>
        <v>Ben</v>
      </c>
      <c r="X330" t="s">
        <v>82</v>
      </c>
      <c r="Y330">
        <v>3</v>
      </c>
      <c r="Z330" t="str">
        <f>IF(D330="", "Missing", "ok")</f>
        <v>ok</v>
      </c>
      <c r="AA330">
        <f t="shared" si="11"/>
        <v>-59.805999999999983</v>
      </c>
    </row>
    <row r="331" spans="1:27" x14ac:dyDescent="0.25">
      <c r="A331" t="s">
        <v>971</v>
      </c>
      <c r="B331" s="1" t="s">
        <v>674</v>
      </c>
      <c r="C331" t="s">
        <v>972</v>
      </c>
      <c r="D331" t="s">
        <v>63</v>
      </c>
      <c r="E331" t="str">
        <f>PROPER(TRIM(D331))</f>
        <v>John</v>
      </c>
      <c r="F331" t="s">
        <v>20</v>
      </c>
      <c r="G331">
        <v>8</v>
      </c>
      <c r="H331" t="str">
        <f>IF(AND(G331&gt;18, G331&lt;65), "Valid", "Invalid")</f>
        <v>Invalid</v>
      </c>
      <c r="I331" t="s">
        <v>21</v>
      </c>
      <c r="J331" t="str">
        <f>PROPER(TRIM(I331))</f>
        <v>Lagos</v>
      </c>
      <c r="K331" t="s">
        <v>39</v>
      </c>
      <c r="L331" t="str">
        <f>PROPER(TRIM(K331))</f>
        <v>Electronics</v>
      </c>
      <c r="M331" t="s">
        <v>40</v>
      </c>
      <c r="N331" t="str">
        <f>PROPER(TRIM(M331))</f>
        <v>Phone</v>
      </c>
      <c r="O331">
        <v>291.27</v>
      </c>
      <c r="P331">
        <v>7</v>
      </c>
      <c r="Q331">
        <f>IF(P331&lt;1, 1, P331)</f>
        <v>7</v>
      </c>
      <c r="R331">
        <v>120</v>
      </c>
      <c r="S331" t="str">
        <f>IF(OR(R331&lt;0,R331&gt;100),"invalid","Valid")</f>
        <v>invalid</v>
      </c>
      <c r="T331" t="s">
        <v>64</v>
      </c>
      <c r="U331" t="str">
        <f>PROPER(TRIM(T331))</f>
        <v>Transfer</v>
      </c>
      <c r="V331" t="s">
        <v>91</v>
      </c>
      <c r="W331" t="str">
        <f t="shared" si="10"/>
        <v>Ben</v>
      </c>
      <c r="X331" t="s">
        <v>26</v>
      </c>
      <c r="Z331" t="str">
        <f>IF(D331="", "Missing", "ok")</f>
        <v>ok</v>
      </c>
      <c r="AA331">
        <f t="shared" si="11"/>
        <v>-407.77799999999991</v>
      </c>
    </row>
    <row r="332" spans="1:27" x14ac:dyDescent="0.25">
      <c r="A332" t="s">
        <v>973</v>
      </c>
      <c r="B332" s="1" t="s">
        <v>974</v>
      </c>
      <c r="C332" t="s">
        <v>975</v>
      </c>
      <c r="D332" t="s">
        <v>63</v>
      </c>
      <c r="E332" t="str">
        <f>PROPER(TRIM(D332))</f>
        <v>John</v>
      </c>
      <c r="F332" t="s">
        <v>20</v>
      </c>
      <c r="G332">
        <v>18</v>
      </c>
      <c r="H332" t="str">
        <f>IF(AND(G332&gt;18, G332&lt;65), "Valid", "Invalid")</f>
        <v>Invalid</v>
      </c>
      <c r="I332" t="s">
        <v>70</v>
      </c>
      <c r="J332" t="str">
        <f>PROPER(TRIM(I332))</f>
        <v>Abuja</v>
      </c>
      <c r="K332" t="s">
        <v>54</v>
      </c>
      <c r="L332" t="str">
        <f>PROPER(TRIM(K332))</f>
        <v>Home</v>
      </c>
      <c r="M332" t="s">
        <v>55</v>
      </c>
      <c r="N332" t="str">
        <f>PROPER(TRIM(M332))</f>
        <v>Chair</v>
      </c>
      <c r="O332">
        <v>326.33</v>
      </c>
      <c r="P332">
        <v>-2</v>
      </c>
      <c r="Q332">
        <f>IF(P332&lt;1, 1, P332)</f>
        <v>1</v>
      </c>
      <c r="R332">
        <v>120</v>
      </c>
      <c r="S332" t="str">
        <f>IF(OR(R332&lt;0,R332&gt;100),"invalid","Valid")</f>
        <v>invalid</v>
      </c>
      <c r="T332" t="s">
        <v>59</v>
      </c>
      <c r="U332" t="str">
        <f>PROPER(TRIM(T332))</f>
        <v>Mobile Money</v>
      </c>
      <c r="V332" t="s">
        <v>25</v>
      </c>
      <c r="W332" t="str">
        <f t="shared" si="10"/>
        <v>Dan</v>
      </c>
      <c r="X332" t="s">
        <v>26</v>
      </c>
      <c r="Y332">
        <v>1</v>
      </c>
      <c r="Z332" t="str">
        <f>IF(D332="", "Missing", "ok")</f>
        <v>ok</v>
      </c>
      <c r="AA332">
        <f t="shared" si="11"/>
        <v>-65.265999999999977</v>
      </c>
    </row>
    <row r="333" spans="1:27" x14ac:dyDescent="0.25">
      <c r="A333" t="s">
        <v>976</v>
      </c>
      <c r="B333" s="1" t="s">
        <v>604</v>
      </c>
      <c r="C333" t="s">
        <v>977</v>
      </c>
      <c r="D333" t="s">
        <v>69</v>
      </c>
      <c r="E333" t="str">
        <f>PROPER(TRIM(D333))</f>
        <v>Mary</v>
      </c>
      <c r="F333" t="s">
        <v>20</v>
      </c>
      <c r="G333">
        <v>8</v>
      </c>
      <c r="H333" t="str">
        <f>IF(AND(G333&gt;18, G333&lt;65), "Valid", "Invalid")</f>
        <v>Invalid</v>
      </c>
      <c r="I333" t="s">
        <v>30</v>
      </c>
      <c r="J333" t="str">
        <f>PROPER(TRIM(I333))</f>
        <v>Lagos</v>
      </c>
      <c r="K333" t="s">
        <v>22</v>
      </c>
      <c r="L333" t="str">
        <f>PROPER(TRIM(K333))</f>
        <v>Fashion</v>
      </c>
      <c r="M333" t="s">
        <v>23</v>
      </c>
      <c r="N333" t="str">
        <f>PROPER(TRIM(M333))</f>
        <v>Shirt</v>
      </c>
      <c r="O333">
        <v>35.03</v>
      </c>
      <c r="P333">
        <v>4</v>
      </c>
      <c r="Q333">
        <f>IF(P333&lt;1, 1, P333)</f>
        <v>4</v>
      </c>
      <c r="R333">
        <v>10</v>
      </c>
      <c r="S333" t="str">
        <f>IF(OR(R333&lt;0,R333&gt;100),"invalid","Valid")</f>
        <v>Valid</v>
      </c>
      <c r="T333" t="s">
        <v>64</v>
      </c>
      <c r="U333" t="str">
        <f>PROPER(TRIM(T333))</f>
        <v>Transfer</v>
      </c>
      <c r="V333" t="s">
        <v>41</v>
      </c>
      <c r="W333" t="str">
        <f t="shared" si="10"/>
        <v>Chi</v>
      </c>
      <c r="X333" t="s">
        <v>82</v>
      </c>
      <c r="Y333">
        <v>5</v>
      </c>
      <c r="Z333" t="str">
        <f>IF(D333="", "Missing", "ok")</f>
        <v>ok</v>
      </c>
      <c r="AA333">
        <f t="shared" si="11"/>
        <v>126.108</v>
      </c>
    </row>
    <row r="334" spans="1:27" x14ac:dyDescent="0.25">
      <c r="A334" t="s">
        <v>978</v>
      </c>
      <c r="B334" s="1" t="s">
        <v>979</v>
      </c>
      <c r="C334" t="s">
        <v>980</v>
      </c>
      <c r="D334" t="s">
        <v>37</v>
      </c>
      <c r="E334" t="str">
        <f>PROPER(TRIM(D334))</f>
        <v>Aisha</v>
      </c>
      <c r="F334" t="s">
        <v>20</v>
      </c>
      <c r="G334">
        <v>130</v>
      </c>
      <c r="H334" t="str">
        <f>IF(AND(G334&gt;18, G334&lt;65), "Valid", "Invalid")</f>
        <v>Invalid</v>
      </c>
      <c r="I334" t="s">
        <v>30</v>
      </c>
      <c r="J334" t="str">
        <f>PROPER(TRIM(I334))</f>
        <v>Lagos</v>
      </c>
      <c r="K334" t="s">
        <v>39</v>
      </c>
      <c r="L334" t="str">
        <f>PROPER(TRIM(K334))</f>
        <v>Electronics</v>
      </c>
      <c r="M334" t="s">
        <v>40</v>
      </c>
      <c r="N334" t="str">
        <f>PROPER(TRIM(M334))</f>
        <v>Phone</v>
      </c>
      <c r="O334">
        <v>276.02999999999997</v>
      </c>
      <c r="P334">
        <v>5</v>
      </c>
      <c r="Q334">
        <f>IF(P334&lt;1, 1, P334)</f>
        <v>5</v>
      </c>
      <c r="R334">
        <v>120</v>
      </c>
      <c r="S334" t="str">
        <f>IF(OR(R334&lt;0,R334&gt;100),"invalid","Valid")</f>
        <v>invalid</v>
      </c>
      <c r="T334" t="s">
        <v>59</v>
      </c>
      <c r="U334" t="str">
        <f>PROPER(TRIM(T334))</f>
        <v>Mobile Money</v>
      </c>
      <c r="V334" t="s">
        <v>91</v>
      </c>
      <c r="W334" t="str">
        <f t="shared" si="10"/>
        <v>Ben</v>
      </c>
      <c r="X334" t="s">
        <v>26</v>
      </c>
      <c r="Y334">
        <v>4</v>
      </c>
      <c r="Z334" t="str">
        <f>IF(D334="", "Missing", "ok")</f>
        <v>ok</v>
      </c>
      <c r="AA334">
        <f t="shared" si="11"/>
        <v>-276.02999999999992</v>
      </c>
    </row>
    <row r="335" spans="1:27" x14ac:dyDescent="0.25">
      <c r="A335" t="s">
        <v>981</v>
      </c>
      <c r="B335" s="1" t="s">
        <v>982</v>
      </c>
      <c r="C335" t="s">
        <v>983</v>
      </c>
      <c r="D335" t="s">
        <v>63</v>
      </c>
      <c r="E335" t="str">
        <f>PROPER(TRIM(D335))</f>
        <v>John</v>
      </c>
      <c r="F335" t="s">
        <v>46</v>
      </c>
      <c r="G335">
        <v>130</v>
      </c>
      <c r="H335" t="str">
        <f>IF(AND(G335&gt;18, G335&lt;65), "Valid", "Invalid")</f>
        <v>Invalid</v>
      </c>
      <c r="I335" t="s">
        <v>53</v>
      </c>
      <c r="J335" t="str">
        <f>PROPER(TRIM(I335))</f>
        <v>Lagos</v>
      </c>
      <c r="K335" t="s">
        <v>121</v>
      </c>
      <c r="L335" t="str">
        <f>PROPER(TRIM(K335))</f>
        <v>Beauty</v>
      </c>
      <c r="M335" t="s">
        <v>122</v>
      </c>
      <c r="N335" t="str">
        <f>PROPER(TRIM(M335))</f>
        <v>Cream</v>
      </c>
      <c r="O335">
        <v>331.43</v>
      </c>
      <c r="P335">
        <v>4</v>
      </c>
      <c r="Q335">
        <f>IF(P335&lt;1, 1, P335)</f>
        <v>4</v>
      </c>
      <c r="R335">
        <v>-10</v>
      </c>
      <c r="S335" t="str">
        <f>IF(OR(R335&lt;0,R335&gt;100),"invalid","Valid")</f>
        <v>invalid</v>
      </c>
      <c r="T335" t="s">
        <v>24</v>
      </c>
      <c r="U335" t="str">
        <f>PROPER(TRIM(T335))</f>
        <v>Pos</v>
      </c>
      <c r="V335" t="s">
        <v>91</v>
      </c>
      <c r="W335" t="str">
        <f t="shared" si="10"/>
        <v>Ben</v>
      </c>
      <c r="X335" t="s">
        <v>26</v>
      </c>
      <c r="Y335">
        <v>3</v>
      </c>
      <c r="Z335" t="str">
        <f>IF(D335="", "Missing", "ok")</f>
        <v>ok</v>
      </c>
      <c r="AA335">
        <f t="shared" si="11"/>
        <v>1458.2920000000001</v>
      </c>
    </row>
    <row r="336" spans="1:27" x14ac:dyDescent="0.25">
      <c r="A336" t="s">
        <v>984</v>
      </c>
      <c r="B336" s="1" t="s">
        <v>985</v>
      </c>
      <c r="C336" t="s">
        <v>986</v>
      </c>
      <c r="D336" t="s">
        <v>101</v>
      </c>
      <c r="E336" t="str">
        <f>PROPER(TRIM(D336))</f>
        <v>Grace</v>
      </c>
      <c r="F336" t="s">
        <v>46</v>
      </c>
      <c r="G336">
        <v>130</v>
      </c>
      <c r="H336" t="str">
        <f>IF(AND(G336&gt;18, G336&lt;65), "Valid", "Invalid")</f>
        <v>Invalid</v>
      </c>
      <c r="I336" t="s">
        <v>30</v>
      </c>
      <c r="J336" t="str">
        <f>PROPER(TRIM(I336))</f>
        <v>Lagos</v>
      </c>
      <c r="K336" t="s">
        <v>22</v>
      </c>
      <c r="L336" t="str">
        <f>PROPER(TRIM(K336))</f>
        <v>Fashion</v>
      </c>
      <c r="M336" t="s">
        <v>23</v>
      </c>
      <c r="N336" t="str">
        <f>PROPER(TRIM(M336))</f>
        <v>Shirt</v>
      </c>
      <c r="O336">
        <v>381.65</v>
      </c>
      <c r="P336">
        <v>7</v>
      </c>
      <c r="Q336">
        <f>IF(P336&lt;1, 1, P336)</f>
        <v>7</v>
      </c>
      <c r="R336">
        <v>5</v>
      </c>
      <c r="S336" t="str">
        <f>IF(OR(R336&lt;0,R336&gt;100),"invalid","Valid")</f>
        <v>Valid</v>
      </c>
      <c r="T336" t="s">
        <v>64</v>
      </c>
      <c r="U336" t="str">
        <f>PROPER(TRIM(T336))</f>
        <v>Transfer</v>
      </c>
      <c r="V336" t="s">
        <v>91</v>
      </c>
      <c r="W336" t="str">
        <f t="shared" si="10"/>
        <v>Ben</v>
      </c>
      <c r="X336" t="s">
        <v>65</v>
      </c>
      <c r="Z336" t="str">
        <f>IF(D336="", "Missing", "ok")</f>
        <v>ok</v>
      </c>
      <c r="AA336">
        <f t="shared" si="11"/>
        <v>2537.9724999999994</v>
      </c>
    </row>
    <row r="337" spans="1:27" x14ac:dyDescent="0.25">
      <c r="A337" t="s">
        <v>987</v>
      </c>
      <c r="B337" s="1" t="s">
        <v>988</v>
      </c>
      <c r="C337" t="s">
        <v>989</v>
      </c>
      <c r="D337" t="s">
        <v>69</v>
      </c>
      <c r="E337" t="str">
        <f>PROPER(TRIM(D337))</f>
        <v>Mary</v>
      </c>
      <c r="F337" t="s">
        <v>20</v>
      </c>
      <c r="G337">
        <v>130</v>
      </c>
      <c r="H337" t="str">
        <f>IF(AND(G337&gt;18, G337&lt;65), "Valid", "Invalid")</f>
        <v>Invalid</v>
      </c>
      <c r="I337" t="s">
        <v>21</v>
      </c>
      <c r="J337" t="str">
        <f>PROPER(TRIM(I337))</f>
        <v>Lagos</v>
      </c>
      <c r="K337" t="s">
        <v>31</v>
      </c>
      <c r="L337" t="str">
        <f>PROPER(TRIM(K337))</f>
        <v>Sports</v>
      </c>
      <c r="M337" t="s">
        <v>32</v>
      </c>
      <c r="N337" t="str">
        <f>PROPER(TRIM(M337))</f>
        <v>Ball</v>
      </c>
      <c r="O337">
        <v>422.15</v>
      </c>
      <c r="P337">
        <v>-2</v>
      </c>
      <c r="Q337">
        <f>IF(P337&lt;1, 1, P337)</f>
        <v>1</v>
      </c>
      <c r="R337">
        <v>120</v>
      </c>
      <c r="S337" t="str">
        <f>IF(OR(R337&lt;0,R337&gt;100),"invalid","Valid")</f>
        <v>invalid</v>
      </c>
      <c r="T337" t="s">
        <v>77</v>
      </c>
      <c r="U337" t="str">
        <f>PROPER(TRIM(T337))</f>
        <v>Cash</v>
      </c>
      <c r="V337" t="s">
        <v>25</v>
      </c>
      <c r="W337" t="str">
        <f t="shared" si="10"/>
        <v>Dan</v>
      </c>
      <c r="X337" t="s">
        <v>82</v>
      </c>
      <c r="Y337">
        <v>3</v>
      </c>
      <c r="Z337" t="str">
        <f>IF(D337="", "Missing", "ok")</f>
        <v>ok</v>
      </c>
      <c r="AA337">
        <f t="shared" si="11"/>
        <v>-84.429999999999978</v>
      </c>
    </row>
    <row r="338" spans="1:27" x14ac:dyDescent="0.25">
      <c r="A338" t="s">
        <v>990</v>
      </c>
      <c r="B338" s="1" t="s">
        <v>991</v>
      </c>
      <c r="C338" t="s">
        <v>992</v>
      </c>
      <c r="D338" t="s">
        <v>101</v>
      </c>
      <c r="E338" t="str">
        <f>PROPER(TRIM(D338))</f>
        <v>Grace</v>
      </c>
      <c r="F338" t="s">
        <v>46</v>
      </c>
      <c r="G338">
        <v>34</v>
      </c>
      <c r="H338" t="str">
        <f>IF(AND(G338&gt;18, G338&lt;65), "Valid", "Invalid")</f>
        <v>Valid</v>
      </c>
      <c r="I338" t="s">
        <v>86</v>
      </c>
      <c r="J338" t="str">
        <f>PROPER(TRIM(I338))</f>
        <v>Kano</v>
      </c>
      <c r="K338" t="s">
        <v>39</v>
      </c>
      <c r="L338" t="str">
        <f>PROPER(TRIM(K338))</f>
        <v>Electronics</v>
      </c>
      <c r="M338" t="s">
        <v>40</v>
      </c>
      <c r="N338" t="str">
        <f>PROPER(TRIM(M338))</f>
        <v>Phone</v>
      </c>
      <c r="O338">
        <v>393.72</v>
      </c>
      <c r="P338">
        <v>3</v>
      </c>
      <c r="Q338">
        <f>IF(P338&lt;1, 1, P338)</f>
        <v>3</v>
      </c>
      <c r="R338">
        <v>10</v>
      </c>
      <c r="S338" t="str">
        <f>IF(OR(R338&lt;0,R338&gt;100),"invalid","Valid")</f>
        <v>Valid</v>
      </c>
      <c r="T338" t="s">
        <v>64</v>
      </c>
      <c r="U338" t="str">
        <f>PROPER(TRIM(T338))</f>
        <v>Transfer</v>
      </c>
      <c r="V338" t="s">
        <v>81</v>
      </c>
      <c r="W338" t="str">
        <f t="shared" si="10"/>
        <v>Ada</v>
      </c>
      <c r="X338" t="s">
        <v>26</v>
      </c>
      <c r="Y338">
        <v>1</v>
      </c>
      <c r="Z338" t="str">
        <f>IF(D338="", "Missing", "ok")</f>
        <v>ok</v>
      </c>
      <c r="AA338">
        <f t="shared" si="11"/>
        <v>1063.0440000000001</v>
      </c>
    </row>
    <row r="339" spans="1:27" x14ac:dyDescent="0.25">
      <c r="A339" t="s">
        <v>993</v>
      </c>
      <c r="B339" s="1" t="s">
        <v>246</v>
      </c>
      <c r="C339" t="s">
        <v>994</v>
      </c>
      <c r="D339" t="s">
        <v>101</v>
      </c>
      <c r="E339" t="str">
        <f>PROPER(TRIM(D339))</f>
        <v>Grace</v>
      </c>
      <c r="F339" t="s">
        <v>20</v>
      </c>
      <c r="G339">
        <v>130</v>
      </c>
      <c r="H339" t="str">
        <f>IF(AND(G339&gt;18, G339&lt;65), "Valid", "Invalid")</f>
        <v>Invalid</v>
      </c>
      <c r="I339" t="s">
        <v>47</v>
      </c>
      <c r="J339" t="str">
        <f>PROPER(TRIM(I339))</f>
        <v>Enugu</v>
      </c>
      <c r="K339" t="s">
        <v>48</v>
      </c>
      <c r="L339" t="str">
        <f>PROPER(TRIM(K339))</f>
        <v>Groceries</v>
      </c>
      <c r="M339" t="s">
        <v>49</v>
      </c>
      <c r="N339" t="str">
        <f>PROPER(TRIM(M339))</f>
        <v>Rice</v>
      </c>
      <c r="O339">
        <v>381.15</v>
      </c>
      <c r="P339">
        <v>10</v>
      </c>
      <c r="Q339">
        <f>IF(P339&lt;1, 1, P339)</f>
        <v>10</v>
      </c>
      <c r="R339">
        <v>0</v>
      </c>
      <c r="S339" t="str">
        <f>IF(OR(R339&lt;0,R339&gt;100),"invalid","Valid")</f>
        <v>Valid</v>
      </c>
      <c r="T339" t="s">
        <v>64</v>
      </c>
      <c r="U339" t="str">
        <f>PROPER(TRIM(T339))</f>
        <v>Transfer</v>
      </c>
      <c r="V339" t="s">
        <v>41</v>
      </c>
      <c r="W339" t="str">
        <f t="shared" si="10"/>
        <v>Chi</v>
      </c>
      <c r="X339" t="s">
        <v>65</v>
      </c>
      <c r="Y339">
        <v>5</v>
      </c>
      <c r="Z339" t="str">
        <f>IF(D339="", "Missing", "ok")</f>
        <v>ok</v>
      </c>
      <c r="AA339">
        <f t="shared" si="11"/>
        <v>3811.5</v>
      </c>
    </row>
    <row r="340" spans="1:27" x14ac:dyDescent="0.25">
      <c r="A340" t="s">
        <v>995</v>
      </c>
      <c r="B340" s="1" t="s">
        <v>752</v>
      </c>
      <c r="C340" t="s">
        <v>996</v>
      </c>
      <c r="D340" t="s">
        <v>45</v>
      </c>
      <c r="E340" t="str">
        <f>PROPER(TRIM(D340))</f>
        <v>James</v>
      </c>
      <c r="F340" t="s">
        <v>46</v>
      </c>
      <c r="G340">
        <v>8</v>
      </c>
      <c r="H340" t="str">
        <f>IF(AND(G340&gt;18, G340&lt;65), "Valid", "Invalid")</f>
        <v>Invalid</v>
      </c>
      <c r="I340" t="s">
        <v>21</v>
      </c>
      <c r="J340" t="str">
        <f>PROPER(TRIM(I340))</f>
        <v>Lagos</v>
      </c>
      <c r="K340" t="s">
        <v>31</v>
      </c>
      <c r="L340" t="str">
        <f>PROPER(TRIM(K340))</f>
        <v>Sports</v>
      </c>
      <c r="M340" t="s">
        <v>32</v>
      </c>
      <c r="N340" t="str">
        <f>PROPER(TRIM(M340))</f>
        <v>Ball</v>
      </c>
      <c r="O340">
        <v>236.19</v>
      </c>
      <c r="P340">
        <v>-2</v>
      </c>
      <c r="Q340">
        <f>IF(P340&lt;1, 1, P340)</f>
        <v>1</v>
      </c>
      <c r="R340">
        <v>10</v>
      </c>
      <c r="S340" t="str">
        <f>IF(OR(R340&lt;0,R340&gt;100),"invalid","Valid")</f>
        <v>Valid</v>
      </c>
      <c r="U340" t="str">
        <f>PROPER(TRIM(T340))</f>
        <v/>
      </c>
      <c r="V340" t="s">
        <v>81</v>
      </c>
      <c r="W340" t="str">
        <f t="shared" si="10"/>
        <v>Ada</v>
      </c>
      <c r="X340" t="s">
        <v>26</v>
      </c>
      <c r="Y340">
        <v>3</v>
      </c>
      <c r="Z340" t="str">
        <f>IF(D340="", "Missing", "ok")</f>
        <v>ok</v>
      </c>
      <c r="AA340">
        <f t="shared" si="11"/>
        <v>212.571</v>
      </c>
    </row>
    <row r="341" spans="1:27" x14ac:dyDescent="0.25">
      <c r="A341" t="s">
        <v>997</v>
      </c>
      <c r="B341" s="1" t="s">
        <v>662</v>
      </c>
      <c r="C341" t="s">
        <v>236</v>
      </c>
      <c r="D341" t="s">
        <v>63</v>
      </c>
      <c r="E341" t="str">
        <f>PROPER(TRIM(D341))</f>
        <v>John</v>
      </c>
      <c r="F341" t="s">
        <v>46</v>
      </c>
      <c r="G341">
        <v>8</v>
      </c>
      <c r="H341" t="str">
        <f>IF(AND(G341&gt;18, G341&lt;65), "Valid", "Invalid")</f>
        <v>Invalid</v>
      </c>
      <c r="I341" t="s">
        <v>38</v>
      </c>
      <c r="J341" t="str">
        <f>PROPER(TRIM(I341))</f>
        <v>Ph</v>
      </c>
      <c r="K341" t="s">
        <v>87</v>
      </c>
      <c r="L341" t="str">
        <f>PROPER(TRIM(K341))</f>
        <v>Groceris</v>
      </c>
      <c r="M341" t="s">
        <v>49</v>
      </c>
      <c r="N341" t="str">
        <f>PROPER(TRIM(M341))</f>
        <v>Rice</v>
      </c>
      <c r="O341">
        <v>308.89999999999998</v>
      </c>
      <c r="P341">
        <v>5</v>
      </c>
      <c r="Q341">
        <f>IF(P341&lt;1, 1, P341)</f>
        <v>5</v>
      </c>
      <c r="R341">
        <v>5</v>
      </c>
      <c r="S341" t="str">
        <f>IF(OR(R341&lt;0,R341&gt;100),"invalid","Valid")</f>
        <v>Valid</v>
      </c>
      <c r="T341" t="s">
        <v>59</v>
      </c>
      <c r="U341" t="str">
        <f>PROPER(TRIM(T341))</f>
        <v>Mobile Money</v>
      </c>
      <c r="V341" t="s">
        <v>91</v>
      </c>
      <c r="W341" t="str">
        <f t="shared" si="10"/>
        <v>Ben</v>
      </c>
      <c r="X341" t="s">
        <v>65</v>
      </c>
      <c r="Y341">
        <v>3</v>
      </c>
      <c r="Z341" t="str">
        <f>IF(D341="", "Missing", "ok")</f>
        <v>ok</v>
      </c>
      <c r="AA341">
        <f t="shared" si="11"/>
        <v>1467.2749999999999</v>
      </c>
    </row>
    <row r="342" spans="1:27" x14ac:dyDescent="0.25">
      <c r="A342" t="s">
        <v>998</v>
      </c>
      <c r="B342" s="1" t="s">
        <v>999</v>
      </c>
      <c r="C342" t="s">
        <v>922</v>
      </c>
      <c r="D342" t="s">
        <v>37</v>
      </c>
      <c r="E342" t="str">
        <f>PROPER(TRIM(D342))</f>
        <v>Aisha</v>
      </c>
      <c r="F342" t="s">
        <v>46</v>
      </c>
      <c r="G342">
        <v>46</v>
      </c>
      <c r="H342" t="str">
        <f>IF(AND(G342&gt;18, G342&lt;65), "Valid", "Invalid")</f>
        <v>Valid</v>
      </c>
      <c r="I342" t="s">
        <v>21</v>
      </c>
      <c r="J342" t="str">
        <f>PROPER(TRIM(I342))</f>
        <v>Lagos</v>
      </c>
      <c r="K342" t="s">
        <v>48</v>
      </c>
      <c r="L342" t="str">
        <f>PROPER(TRIM(K342))</f>
        <v>Groceries</v>
      </c>
      <c r="M342" t="s">
        <v>49</v>
      </c>
      <c r="N342" t="str">
        <f>PROPER(TRIM(M342))</f>
        <v>Rice</v>
      </c>
      <c r="O342">
        <v>309.08</v>
      </c>
      <c r="P342">
        <v>-2</v>
      </c>
      <c r="Q342">
        <f>IF(P342&lt;1, 1, P342)</f>
        <v>1</v>
      </c>
      <c r="R342">
        <v>15</v>
      </c>
      <c r="S342" t="str">
        <f>IF(OR(R342&lt;0,R342&gt;100),"invalid","Valid")</f>
        <v>Valid</v>
      </c>
      <c r="T342" t="s">
        <v>64</v>
      </c>
      <c r="U342" t="str">
        <f>PROPER(TRIM(T342))</f>
        <v>Transfer</v>
      </c>
      <c r="V342" t="s">
        <v>91</v>
      </c>
      <c r="W342" t="str">
        <f t="shared" si="10"/>
        <v>Ben</v>
      </c>
      <c r="X342" t="s">
        <v>82</v>
      </c>
      <c r="Z342" t="str">
        <f>IF(D342="", "Missing", "ok")</f>
        <v>ok</v>
      </c>
      <c r="AA342">
        <f t="shared" si="11"/>
        <v>262.71799999999996</v>
      </c>
    </row>
    <row r="343" spans="1:27" x14ac:dyDescent="0.25">
      <c r="A343" t="s">
        <v>1000</v>
      </c>
      <c r="B343" s="1" t="s">
        <v>1001</v>
      </c>
      <c r="C343" t="s">
        <v>1002</v>
      </c>
      <c r="E343" t="str">
        <f>PROPER(TRIM(D343))</f>
        <v/>
      </c>
      <c r="F343" t="s">
        <v>46</v>
      </c>
      <c r="G343">
        <v>130</v>
      </c>
      <c r="H343" t="str">
        <f>IF(AND(G343&gt;18, G343&lt;65), "Valid", "Invalid")</f>
        <v>Invalid</v>
      </c>
      <c r="I343" t="s">
        <v>70</v>
      </c>
      <c r="J343" t="str">
        <f>PROPER(TRIM(I343))</f>
        <v>Abuja</v>
      </c>
      <c r="K343" t="s">
        <v>31</v>
      </c>
      <c r="L343" t="str">
        <f>PROPER(TRIM(K343))</f>
        <v>Sports</v>
      </c>
      <c r="M343" t="s">
        <v>32</v>
      </c>
      <c r="N343" t="str">
        <f>PROPER(TRIM(M343))</f>
        <v>Ball</v>
      </c>
      <c r="O343">
        <v>496.22</v>
      </c>
      <c r="P343">
        <v>-2</v>
      </c>
      <c r="Q343">
        <f>IF(P343&lt;1, 1, P343)</f>
        <v>1</v>
      </c>
      <c r="R343">
        <v>-10</v>
      </c>
      <c r="S343" t="str">
        <f>IF(OR(R343&lt;0,R343&gt;100),"invalid","Valid")</f>
        <v>invalid</v>
      </c>
      <c r="T343" t="s">
        <v>24</v>
      </c>
      <c r="U343" t="str">
        <f>PROPER(TRIM(T343))</f>
        <v>Pos</v>
      </c>
      <c r="V343" t="s">
        <v>91</v>
      </c>
      <c r="W343" t="str">
        <f t="shared" si="10"/>
        <v>Ben</v>
      </c>
      <c r="X343" t="s">
        <v>26</v>
      </c>
      <c r="Y343">
        <v>4</v>
      </c>
      <c r="Z343" t="str">
        <f>IF(D343="", "Missing", "ok")</f>
        <v>Missing</v>
      </c>
      <c r="AA343">
        <f t="shared" si="11"/>
        <v>545.8420000000001</v>
      </c>
    </row>
    <row r="344" spans="1:27" x14ac:dyDescent="0.25">
      <c r="A344" t="s">
        <v>1003</v>
      </c>
      <c r="B344" s="1" t="s">
        <v>1004</v>
      </c>
      <c r="C344" t="s">
        <v>1005</v>
      </c>
      <c r="D344" t="s">
        <v>19</v>
      </c>
      <c r="E344" t="str">
        <f>PROPER(TRIM(D344))</f>
        <v>Peter</v>
      </c>
      <c r="F344" t="s">
        <v>46</v>
      </c>
      <c r="G344">
        <v>20</v>
      </c>
      <c r="H344" t="str">
        <f>IF(AND(G344&gt;18, G344&lt;65), "Valid", "Invalid")</f>
        <v>Valid</v>
      </c>
      <c r="I344" t="s">
        <v>53</v>
      </c>
      <c r="J344" t="str">
        <f>PROPER(TRIM(I344))</f>
        <v>Lagos</v>
      </c>
      <c r="K344" t="s">
        <v>22</v>
      </c>
      <c r="L344" t="str">
        <f>PROPER(TRIM(K344))</f>
        <v>Fashion</v>
      </c>
      <c r="M344" t="s">
        <v>23</v>
      </c>
      <c r="N344" t="str">
        <f>PROPER(TRIM(M344))</f>
        <v>Shirt</v>
      </c>
      <c r="O344">
        <v>13.53</v>
      </c>
      <c r="P344">
        <v>-2</v>
      </c>
      <c r="Q344">
        <f>IF(P344&lt;1, 1, P344)</f>
        <v>1</v>
      </c>
      <c r="R344">
        <v>-10</v>
      </c>
      <c r="S344" t="str">
        <f>IF(OR(R344&lt;0,R344&gt;100),"invalid","Valid")</f>
        <v>invalid</v>
      </c>
      <c r="T344" t="s">
        <v>24</v>
      </c>
      <c r="U344" t="str">
        <f>PROPER(TRIM(T344))</f>
        <v>Pos</v>
      </c>
      <c r="V344" t="s">
        <v>41</v>
      </c>
      <c r="W344" t="str">
        <f t="shared" si="10"/>
        <v>Chi</v>
      </c>
      <c r="X344" t="s">
        <v>82</v>
      </c>
      <c r="Y344">
        <v>3</v>
      </c>
      <c r="Z344" t="str">
        <f>IF(D344="", "Missing", "ok")</f>
        <v>ok</v>
      </c>
      <c r="AA344">
        <f t="shared" si="11"/>
        <v>14.883000000000001</v>
      </c>
    </row>
    <row r="345" spans="1:27" x14ac:dyDescent="0.25">
      <c r="A345" t="s">
        <v>1006</v>
      </c>
      <c r="B345" s="1" t="s">
        <v>303</v>
      </c>
      <c r="C345" t="s">
        <v>1007</v>
      </c>
      <c r="D345" t="s">
        <v>19</v>
      </c>
      <c r="E345" t="str">
        <f>PROPER(TRIM(D345))</f>
        <v>Peter</v>
      </c>
      <c r="F345" t="s">
        <v>46</v>
      </c>
      <c r="G345">
        <v>21</v>
      </c>
      <c r="H345" t="str">
        <f>IF(AND(G345&gt;18, G345&lt;65), "Valid", "Invalid")</f>
        <v>Valid</v>
      </c>
      <c r="I345" t="s">
        <v>47</v>
      </c>
      <c r="J345" t="str">
        <f>PROPER(TRIM(I345))</f>
        <v>Enugu</v>
      </c>
      <c r="K345" t="s">
        <v>39</v>
      </c>
      <c r="L345" t="str">
        <f>PROPER(TRIM(K345))</f>
        <v>Electronics</v>
      </c>
      <c r="M345" t="s">
        <v>40</v>
      </c>
      <c r="N345" t="str">
        <f>PROPER(TRIM(M345))</f>
        <v>Phone</v>
      </c>
      <c r="O345">
        <v>297.92</v>
      </c>
      <c r="P345">
        <v>-2</v>
      </c>
      <c r="Q345">
        <f>IF(P345&lt;1, 1, P345)</f>
        <v>1</v>
      </c>
      <c r="R345">
        <v>120</v>
      </c>
      <c r="S345" t="str">
        <f>IF(OR(R345&lt;0,R345&gt;100),"invalid","Valid")</f>
        <v>invalid</v>
      </c>
      <c r="U345" t="str">
        <f>PROPER(TRIM(T345))</f>
        <v/>
      </c>
      <c r="V345" t="s">
        <v>25</v>
      </c>
      <c r="W345" t="str">
        <f t="shared" si="10"/>
        <v>Dan</v>
      </c>
      <c r="X345" t="s">
        <v>65</v>
      </c>
      <c r="Y345">
        <v>4</v>
      </c>
      <c r="Z345" t="str">
        <f>IF(D345="", "Missing", "ok")</f>
        <v>ok</v>
      </c>
      <c r="AA345">
        <f t="shared" si="11"/>
        <v>-59.583999999999989</v>
      </c>
    </row>
    <row r="346" spans="1:27" x14ac:dyDescent="0.25">
      <c r="A346" t="s">
        <v>1008</v>
      </c>
      <c r="B346" s="1" t="s">
        <v>1009</v>
      </c>
      <c r="C346" t="s">
        <v>1010</v>
      </c>
      <c r="D346" t="s">
        <v>37</v>
      </c>
      <c r="E346" t="str">
        <f>PROPER(TRIM(D346))</f>
        <v>Aisha</v>
      </c>
      <c r="F346" t="s">
        <v>20</v>
      </c>
      <c r="G346">
        <v>8</v>
      </c>
      <c r="H346" t="str">
        <f>IF(AND(G346&gt;18, G346&lt;65), "Valid", "Invalid")</f>
        <v>Invalid</v>
      </c>
      <c r="I346" t="s">
        <v>38</v>
      </c>
      <c r="J346" t="str">
        <f>PROPER(TRIM(I346))</f>
        <v>Ph</v>
      </c>
      <c r="K346" t="s">
        <v>48</v>
      </c>
      <c r="L346" t="str">
        <f>PROPER(TRIM(K346))</f>
        <v>Groceries</v>
      </c>
      <c r="M346" t="s">
        <v>49</v>
      </c>
      <c r="N346" t="str">
        <f>PROPER(TRIM(M346))</f>
        <v>Rice</v>
      </c>
      <c r="O346">
        <v>321</v>
      </c>
      <c r="P346">
        <v>4</v>
      </c>
      <c r="Q346">
        <f>IF(P346&lt;1, 1, P346)</f>
        <v>4</v>
      </c>
      <c r="R346">
        <v>0</v>
      </c>
      <c r="S346" t="str">
        <f>IF(OR(R346&lt;0,R346&gt;100),"invalid","Valid")</f>
        <v>Valid</v>
      </c>
      <c r="T346" t="s">
        <v>77</v>
      </c>
      <c r="U346" t="str">
        <f>PROPER(TRIM(T346))</f>
        <v>Cash</v>
      </c>
      <c r="V346" t="s">
        <v>91</v>
      </c>
      <c r="W346" t="str">
        <f t="shared" si="10"/>
        <v>Ben</v>
      </c>
      <c r="X346" t="s">
        <v>33</v>
      </c>
      <c r="Y346">
        <v>2</v>
      </c>
      <c r="Z346" t="str">
        <f>IF(D346="", "Missing", "ok")</f>
        <v>ok</v>
      </c>
      <c r="AA346">
        <f t="shared" si="11"/>
        <v>1284</v>
      </c>
    </row>
    <row r="347" spans="1:27" x14ac:dyDescent="0.25">
      <c r="A347" t="s">
        <v>1011</v>
      </c>
      <c r="B347" s="1" t="s">
        <v>1012</v>
      </c>
      <c r="C347" t="s">
        <v>1013</v>
      </c>
      <c r="D347" t="s">
        <v>117</v>
      </c>
      <c r="E347" t="str">
        <f>PROPER(TRIM(D347))</f>
        <v>David</v>
      </c>
      <c r="F347" t="s">
        <v>46</v>
      </c>
      <c r="G347">
        <v>30</v>
      </c>
      <c r="H347" t="str">
        <f>IF(AND(G347&gt;18, G347&lt;65), "Valid", "Invalid")</f>
        <v>Valid</v>
      </c>
      <c r="I347" t="s">
        <v>70</v>
      </c>
      <c r="J347" t="str">
        <f>PROPER(TRIM(I347))</f>
        <v>Abuja</v>
      </c>
      <c r="K347" t="s">
        <v>22</v>
      </c>
      <c r="L347" t="str">
        <f>PROPER(TRIM(K347))</f>
        <v>Fashion</v>
      </c>
      <c r="M347" t="s">
        <v>23</v>
      </c>
      <c r="N347" t="str">
        <f>PROPER(TRIM(M347))</f>
        <v>Shirt</v>
      </c>
      <c r="O347">
        <v>277.77</v>
      </c>
      <c r="P347">
        <v>-2</v>
      </c>
      <c r="Q347">
        <f>IF(P347&lt;1, 1, P347)</f>
        <v>1</v>
      </c>
      <c r="R347">
        <v>5</v>
      </c>
      <c r="S347" t="str">
        <f>IF(OR(R347&lt;0,R347&gt;100),"invalid","Valid")</f>
        <v>Valid</v>
      </c>
      <c r="T347" t="s">
        <v>77</v>
      </c>
      <c r="U347" t="str">
        <f>PROPER(TRIM(T347))</f>
        <v>Cash</v>
      </c>
      <c r="V347" t="s">
        <v>91</v>
      </c>
      <c r="W347" t="str">
        <f t="shared" si="10"/>
        <v>Ben</v>
      </c>
      <c r="X347" t="s">
        <v>33</v>
      </c>
      <c r="Z347" t="str">
        <f>IF(D347="", "Missing", "ok")</f>
        <v>ok</v>
      </c>
      <c r="AA347">
        <f t="shared" si="11"/>
        <v>263.88149999999996</v>
      </c>
    </row>
    <row r="348" spans="1:27" x14ac:dyDescent="0.25">
      <c r="A348" t="s">
        <v>1014</v>
      </c>
      <c r="B348" s="1" t="s">
        <v>879</v>
      </c>
      <c r="C348" t="s">
        <v>1015</v>
      </c>
      <c r="E348" t="str">
        <f>PROPER(TRIM(D348))</f>
        <v/>
      </c>
      <c r="F348" t="s">
        <v>46</v>
      </c>
      <c r="G348">
        <v>130</v>
      </c>
      <c r="H348" t="str">
        <f>IF(AND(G348&gt;18, G348&lt;65), "Valid", "Invalid")</f>
        <v>Invalid</v>
      </c>
      <c r="I348" t="s">
        <v>21</v>
      </c>
      <c r="J348" t="str">
        <f>PROPER(TRIM(I348))</f>
        <v>Lagos</v>
      </c>
      <c r="K348" t="s">
        <v>22</v>
      </c>
      <c r="L348" t="str">
        <f>PROPER(TRIM(K348))</f>
        <v>Fashion</v>
      </c>
      <c r="M348" t="s">
        <v>23</v>
      </c>
      <c r="N348" t="str">
        <f>PROPER(TRIM(M348))</f>
        <v>Shirt</v>
      </c>
      <c r="O348">
        <v>175.87</v>
      </c>
      <c r="P348">
        <v>-2</v>
      </c>
      <c r="Q348">
        <f>IF(P348&lt;1, 1, P348)</f>
        <v>1</v>
      </c>
      <c r="R348">
        <v>5</v>
      </c>
      <c r="S348" t="str">
        <f>IF(OR(R348&lt;0,R348&gt;100),"invalid","Valid")</f>
        <v>Valid</v>
      </c>
      <c r="T348" t="s">
        <v>24</v>
      </c>
      <c r="U348" t="str">
        <f>PROPER(TRIM(T348))</f>
        <v>Pos</v>
      </c>
      <c r="V348" t="s">
        <v>25</v>
      </c>
      <c r="W348" t="str">
        <f t="shared" si="10"/>
        <v>Dan</v>
      </c>
      <c r="X348" t="s">
        <v>65</v>
      </c>
      <c r="Z348" t="str">
        <f>IF(D348="", "Missing", "ok")</f>
        <v>Missing</v>
      </c>
      <c r="AA348">
        <f t="shared" si="11"/>
        <v>167.07650000000001</v>
      </c>
    </row>
    <row r="349" spans="1:27" x14ac:dyDescent="0.25">
      <c r="A349" t="s">
        <v>1016</v>
      </c>
      <c r="B349" s="1" t="s">
        <v>1017</v>
      </c>
      <c r="C349" t="s">
        <v>1018</v>
      </c>
      <c r="D349" t="s">
        <v>37</v>
      </c>
      <c r="E349" t="str">
        <f>PROPER(TRIM(D349))</f>
        <v>Aisha</v>
      </c>
      <c r="F349" t="s">
        <v>46</v>
      </c>
      <c r="G349">
        <v>8</v>
      </c>
      <c r="H349" t="str">
        <f>IF(AND(G349&gt;18, G349&lt;65), "Valid", "Invalid")</f>
        <v>Invalid</v>
      </c>
      <c r="I349" t="s">
        <v>70</v>
      </c>
      <c r="J349" t="str">
        <f>PROPER(TRIM(I349))</f>
        <v>Abuja</v>
      </c>
      <c r="K349" t="s">
        <v>121</v>
      </c>
      <c r="L349" t="str">
        <f>PROPER(TRIM(K349))</f>
        <v>Beauty</v>
      </c>
      <c r="M349" t="s">
        <v>122</v>
      </c>
      <c r="N349" t="str">
        <f>PROPER(TRIM(M349))</f>
        <v>Cream</v>
      </c>
      <c r="O349">
        <v>51.27</v>
      </c>
      <c r="P349">
        <v>-2</v>
      </c>
      <c r="Q349">
        <f>IF(P349&lt;1, 1, P349)</f>
        <v>1</v>
      </c>
      <c r="R349">
        <v>-10</v>
      </c>
      <c r="S349" t="str">
        <f>IF(OR(R349&lt;0,R349&gt;100),"invalid","Valid")</f>
        <v>invalid</v>
      </c>
      <c r="T349" t="s">
        <v>59</v>
      </c>
      <c r="U349" t="str">
        <f>PROPER(TRIM(T349))</f>
        <v>Mobile Money</v>
      </c>
      <c r="V349" t="s">
        <v>41</v>
      </c>
      <c r="W349" t="str">
        <f t="shared" si="10"/>
        <v>Chi</v>
      </c>
      <c r="X349" t="s">
        <v>33</v>
      </c>
      <c r="Y349">
        <v>2</v>
      </c>
      <c r="Z349" t="str">
        <f>IF(D349="", "Missing", "ok")</f>
        <v>ok</v>
      </c>
      <c r="AA349">
        <f t="shared" si="11"/>
        <v>56.397000000000006</v>
      </c>
    </row>
    <row r="350" spans="1:27" x14ac:dyDescent="0.25">
      <c r="A350" t="s">
        <v>1019</v>
      </c>
      <c r="B350" s="1" t="s">
        <v>1020</v>
      </c>
      <c r="C350" t="s">
        <v>1021</v>
      </c>
      <c r="D350" t="s">
        <v>19</v>
      </c>
      <c r="E350" t="str">
        <f>PROPER(TRIM(D350))</f>
        <v>Peter</v>
      </c>
      <c r="F350" t="s">
        <v>20</v>
      </c>
      <c r="G350">
        <v>8</v>
      </c>
      <c r="H350" t="str">
        <f>IF(AND(G350&gt;18, G350&lt;65), "Valid", "Invalid")</f>
        <v>Invalid</v>
      </c>
      <c r="I350" t="s">
        <v>86</v>
      </c>
      <c r="J350" t="str">
        <f>PROPER(TRIM(I350))</f>
        <v>Kano</v>
      </c>
      <c r="K350" t="s">
        <v>22</v>
      </c>
      <c r="L350" t="str">
        <f>PROPER(TRIM(K350))</f>
        <v>Fashion</v>
      </c>
      <c r="M350" t="s">
        <v>23</v>
      </c>
      <c r="N350" t="str">
        <f>PROPER(TRIM(M350))</f>
        <v>Shirt</v>
      </c>
      <c r="O350">
        <v>460.11</v>
      </c>
      <c r="P350">
        <v>7</v>
      </c>
      <c r="Q350">
        <f>IF(P350&lt;1, 1, P350)</f>
        <v>7</v>
      </c>
      <c r="R350">
        <v>-10</v>
      </c>
      <c r="S350" t="str">
        <f>IF(OR(R350&lt;0,R350&gt;100),"invalid","Valid")</f>
        <v>invalid</v>
      </c>
      <c r="T350" t="s">
        <v>24</v>
      </c>
      <c r="U350" t="str">
        <f>PROPER(TRIM(T350))</f>
        <v>Pos</v>
      </c>
      <c r="V350" t="s">
        <v>81</v>
      </c>
      <c r="W350" t="str">
        <f t="shared" si="10"/>
        <v>Ada</v>
      </c>
      <c r="X350" t="s">
        <v>82</v>
      </c>
      <c r="Y350">
        <v>4</v>
      </c>
      <c r="Z350" t="str">
        <f>IF(D350="", "Missing", "ok")</f>
        <v>ok</v>
      </c>
      <c r="AA350">
        <f t="shared" si="11"/>
        <v>3542.8470000000002</v>
      </c>
    </row>
    <row r="351" spans="1:27" x14ac:dyDescent="0.25">
      <c r="A351" t="s">
        <v>1022</v>
      </c>
      <c r="B351" s="1" t="s">
        <v>831</v>
      </c>
      <c r="C351" t="s">
        <v>1023</v>
      </c>
      <c r="D351" t="s">
        <v>117</v>
      </c>
      <c r="E351" t="str">
        <f>PROPER(TRIM(D351))</f>
        <v>David</v>
      </c>
      <c r="F351" t="s">
        <v>46</v>
      </c>
      <c r="G351">
        <v>8</v>
      </c>
      <c r="H351" t="str">
        <f>IF(AND(G351&gt;18, G351&lt;65), "Valid", "Invalid")</f>
        <v>Invalid</v>
      </c>
      <c r="I351" t="s">
        <v>47</v>
      </c>
      <c r="J351" t="str">
        <f>PROPER(TRIM(I351))</f>
        <v>Enugu</v>
      </c>
      <c r="K351" t="s">
        <v>121</v>
      </c>
      <c r="L351" t="str">
        <f>PROPER(TRIM(K351))</f>
        <v>Beauty</v>
      </c>
      <c r="M351" t="s">
        <v>122</v>
      </c>
      <c r="N351" t="str">
        <f>PROPER(TRIM(M351))</f>
        <v>Cream</v>
      </c>
      <c r="O351">
        <v>440.16</v>
      </c>
      <c r="P351">
        <v>6</v>
      </c>
      <c r="Q351">
        <f>IF(P351&lt;1, 1, P351)</f>
        <v>6</v>
      </c>
      <c r="R351">
        <v>0</v>
      </c>
      <c r="S351" t="str">
        <f>IF(OR(R351&lt;0,R351&gt;100),"invalid","Valid")</f>
        <v>Valid</v>
      </c>
      <c r="U351" t="str">
        <f>PROPER(TRIM(T351))</f>
        <v/>
      </c>
      <c r="V351" t="s">
        <v>91</v>
      </c>
      <c r="W351" t="str">
        <f t="shared" si="10"/>
        <v>Ben</v>
      </c>
      <c r="X351" t="s">
        <v>26</v>
      </c>
      <c r="Y351">
        <v>5</v>
      </c>
      <c r="Z351" t="str">
        <f>IF(D351="", "Missing", "ok")</f>
        <v>ok</v>
      </c>
      <c r="AA351">
        <f t="shared" si="11"/>
        <v>2640.96</v>
      </c>
    </row>
    <row r="352" spans="1:27" x14ac:dyDescent="0.25">
      <c r="A352" t="s">
        <v>1024</v>
      </c>
      <c r="B352" s="1" t="s">
        <v>956</v>
      </c>
      <c r="C352" t="s">
        <v>1025</v>
      </c>
      <c r="D352" t="s">
        <v>63</v>
      </c>
      <c r="E352" t="str">
        <f>PROPER(TRIM(D352))</f>
        <v>John</v>
      </c>
      <c r="F352" t="s">
        <v>46</v>
      </c>
      <c r="G352">
        <v>130</v>
      </c>
      <c r="H352" t="str">
        <f>IF(AND(G352&gt;18, G352&lt;65), "Valid", "Invalid")</f>
        <v>Invalid</v>
      </c>
      <c r="I352" t="s">
        <v>53</v>
      </c>
      <c r="J352" t="str">
        <f>PROPER(TRIM(I352))</f>
        <v>Lagos</v>
      </c>
      <c r="K352" t="s">
        <v>22</v>
      </c>
      <c r="L352" t="str">
        <f>PROPER(TRIM(K352))</f>
        <v>Fashion</v>
      </c>
      <c r="M352" t="s">
        <v>23</v>
      </c>
      <c r="N352" t="str">
        <f>PROPER(TRIM(M352))</f>
        <v>Shirt</v>
      </c>
      <c r="O352">
        <v>52.46</v>
      </c>
      <c r="P352">
        <v>9</v>
      </c>
      <c r="Q352">
        <f>IF(P352&lt;1, 1, P352)</f>
        <v>9</v>
      </c>
      <c r="R352">
        <v>120</v>
      </c>
      <c r="S352" t="str">
        <f>IF(OR(R352&lt;0,R352&gt;100),"invalid","Valid")</f>
        <v>invalid</v>
      </c>
      <c r="T352" t="s">
        <v>24</v>
      </c>
      <c r="U352" t="str">
        <f>PROPER(TRIM(T352))</f>
        <v>Pos</v>
      </c>
      <c r="V352" t="s">
        <v>25</v>
      </c>
      <c r="W352" t="str">
        <f t="shared" si="10"/>
        <v>Dan</v>
      </c>
      <c r="X352" t="s">
        <v>26</v>
      </c>
      <c r="Y352">
        <v>2</v>
      </c>
      <c r="Z352" t="str">
        <f>IF(D352="", "Missing", "ok")</f>
        <v>ok</v>
      </c>
      <c r="AA352">
        <f t="shared" si="11"/>
        <v>-94.427999999999983</v>
      </c>
    </row>
    <row r="353" spans="1:27" x14ac:dyDescent="0.25">
      <c r="A353" t="s">
        <v>1026</v>
      </c>
      <c r="B353" s="1" t="s">
        <v>587</v>
      </c>
      <c r="C353" t="s">
        <v>1027</v>
      </c>
      <c r="D353" t="s">
        <v>37</v>
      </c>
      <c r="E353" t="str">
        <f>PROPER(TRIM(D353))</f>
        <v>Aisha</v>
      </c>
      <c r="F353" t="s">
        <v>20</v>
      </c>
      <c r="G353">
        <v>60</v>
      </c>
      <c r="H353" t="str">
        <f>IF(AND(G353&gt;18, G353&lt;65), "Valid", "Invalid")</f>
        <v>Valid</v>
      </c>
      <c r="I353" t="s">
        <v>86</v>
      </c>
      <c r="J353" t="str">
        <f>PROPER(TRIM(I353))</f>
        <v>Kano</v>
      </c>
      <c r="K353" t="s">
        <v>39</v>
      </c>
      <c r="L353" t="str">
        <f>PROPER(TRIM(K353))</f>
        <v>Electronics</v>
      </c>
      <c r="M353" t="s">
        <v>40</v>
      </c>
      <c r="N353" t="str">
        <f>PROPER(TRIM(M353))</f>
        <v>Phone</v>
      </c>
      <c r="O353">
        <v>413.22</v>
      </c>
      <c r="P353">
        <v>-2</v>
      </c>
      <c r="Q353">
        <f>IF(P353&lt;1, 1, P353)</f>
        <v>1</v>
      </c>
      <c r="R353">
        <v>10</v>
      </c>
      <c r="S353" t="str">
        <f>IF(OR(R353&lt;0,R353&gt;100),"invalid","Valid")</f>
        <v>Valid</v>
      </c>
      <c r="T353" t="s">
        <v>77</v>
      </c>
      <c r="U353" t="str">
        <f>PROPER(TRIM(T353))</f>
        <v>Cash</v>
      </c>
      <c r="V353" t="s">
        <v>25</v>
      </c>
      <c r="W353" t="str">
        <f t="shared" si="10"/>
        <v>Dan</v>
      </c>
      <c r="X353" t="s">
        <v>26</v>
      </c>
      <c r="Y353">
        <v>2</v>
      </c>
      <c r="Z353" t="str">
        <f>IF(D353="", "Missing", "ok")</f>
        <v>ok</v>
      </c>
      <c r="AA353">
        <f t="shared" si="11"/>
        <v>371.89800000000002</v>
      </c>
    </row>
    <row r="354" spans="1:27" x14ac:dyDescent="0.25">
      <c r="A354" t="s">
        <v>1028</v>
      </c>
      <c r="B354" s="1" t="s">
        <v>354</v>
      </c>
      <c r="C354" t="s">
        <v>1029</v>
      </c>
      <c r="D354" t="s">
        <v>101</v>
      </c>
      <c r="E354" t="str">
        <f>PROPER(TRIM(D354))</f>
        <v>Grace</v>
      </c>
      <c r="F354" t="s">
        <v>20</v>
      </c>
      <c r="G354">
        <v>130</v>
      </c>
      <c r="H354" t="str">
        <f>IF(AND(G354&gt;18, G354&lt;65), "Valid", "Invalid")</f>
        <v>Invalid</v>
      </c>
      <c r="I354" t="s">
        <v>70</v>
      </c>
      <c r="J354" t="str">
        <f>PROPER(TRIM(I354))</f>
        <v>Abuja</v>
      </c>
      <c r="K354" t="s">
        <v>22</v>
      </c>
      <c r="L354" t="str">
        <f>PROPER(TRIM(K354))</f>
        <v>Fashion</v>
      </c>
      <c r="M354" t="s">
        <v>23</v>
      </c>
      <c r="N354" t="str">
        <f>PROPER(TRIM(M354))</f>
        <v>Shirt</v>
      </c>
      <c r="O354">
        <v>281.83999999999997</v>
      </c>
      <c r="P354">
        <v>7</v>
      </c>
      <c r="Q354">
        <f>IF(P354&lt;1, 1, P354)</f>
        <v>7</v>
      </c>
      <c r="R354">
        <v>120</v>
      </c>
      <c r="S354" t="str">
        <f>IF(OR(R354&lt;0,R354&gt;100),"invalid","Valid")</f>
        <v>invalid</v>
      </c>
      <c r="U354" t="str">
        <f>PROPER(TRIM(T354))</f>
        <v/>
      </c>
      <c r="V354" t="s">
        <v>81</v>
      </c>
      <c r="W354" t="str">
        <f t="shared" si="10"/>
        <v>Ada</v>
      </c>
      <c r="X354" t="s">
        <v>65</v>
      </c>
      <c r="Y354">
        <v>3</v>
      </c>
      <c r="Z354" t="str">
        <f>IF(D354="", "Missing", "ok")</f>
        <v>ok</v>
      </c>
      <c r="AA354">
        <f t="shared" si="11"/>
        <v>-394.57599999999991</v>
      </c>
    </row>
    <row r="355" spans="1:27" x14ac:dyDescent="0.25">
      <c r="A355" t="s">
        <v>1030</v>
      </c>
      <c r="B355" s="1" t="s">
        <v>79</v>
      </c>
      <c r="C355" t="s">
        <v>1031</v>
      </c>
      <c r="D355" t="s">
        <v>69</v>
      </c>
      <c r="E355" t="str">
        <f>PROPER(TRIM(D355))</f>
        <v>Mary</v>
      </c>
      <c r="F355" t="s">
        <v>20</v>
      </c>
      <c r="G355">
        <v>130</v>
      </c>
      <c r="H355" t="str">
        <f>IF(AND(G355&gt;18, G355&lt;65), "Valid", "Invalid")</f>
        <v>Invalid</v>
      </c>
      <c r="I355" t="s">
        <v>21</v>
      </c>
      <c r="J355" t="str">
        <f>PROPER(TRIM(I355))</f>
        <v>Lagos</v>
      </c>
      <c r="K355" t="s">
        <v>54</v>
      </c>
      <c r="L355" t="str">
        <f>PROPER(TRIM(K355))</f>
        <v>Home</v>
      </c>
      <c r="M355" t="s">
        <v>55</v>
      </c>
      <c r="N355" t="str">
        <f>PROPER(TRIM(M355))</f>
        <v>Chair</v>
      </c>
      <c r="O355">
        <v>108.81</v>
      </c>
      <c r="P355">
        <v>-2</v>
      </c>
      <c r="Q355">
        <f>IF(P355&lt;1, 1, P355)</f>
        <v>1</v>
      </c>
      <c r="R355">
        <v>5</v>
      </c>
      <c r="S355" t="str">
        <f>IF(OR(R355&lt;0,R355&gt;100),"invalid","Valid")</f>
        <v>Valid</v>
      </c>
      <c r="T355" t="s">
        <v>77</v>
      </c>
      <c r="U355" t="str">
        <f>PROPER(TRIM(T355))</f>
        <v>Cash</v>
      </c>
      <c r="V355" t="s">
        <v>41</v>
      </c>
      <c r="W355" t="str">
        <f t="shared" si="10"/>
        <v>Chi</v>
      </c>
      <c r="X355" t="s">
        <v>82</v>
      </c>
      <c r="Y355">
        <v>2</v>
      </c>
      <c r="Z355" t="str">
        <f>IF(D355="", "Missing", "ok")</f>
        <v>ok</v>
      </c>
      <c r="AA355">
        <f t="shared" si="11"/>
        <v>103.3695</v>
      </c>
    </row>
    <row r="356" spans="1:27" x14ac:dyDescent="0.25">
      <c r="A356" t="s">
        <v>1032</v>
      </c>
      <c r="B356" s="1" t="s">
        <v>155</v>
      </c>
      <c r="C356" t="s">
        <v>1033</v>
      </c>
      <c r="D356" t="s">
        <v>63</v>
      </c>
      <c r="E356" t="str">
        <f>PROPER(TRIM(D356))</f>
        <v>John</v>
      </c>
      <c r="F356" t="s">
        <v>46</v>
      </c>
      <c r="G356">
        <v>30</v>
      </c>
      <c r="H356" t="str">
        <f>IF(AND(G356&gt;18, G356&lt;65), "Valid", "Invalid")</f>
        <v>Valid</v>
      </c>
      <c r="I356" t="s">
        <v>30</v>
      </c>
      <c r="J356" t="str">
        <f>PROPER(TRIM(I356))</f>
        <v>Lagos</v>
      </c>
      <c r="K356" t="s">
        <v>48</v>
      </c>
      <c r="L356" t="str">
        <f>PROPER(TRIM(K356))</f>
        <v>Groceries</v>
      </c>
      <c r="M356" t="s">
        <v>49</v>
      </c>
      <c r="N356" t="str">
        <f>PROPER(TRIM(M356))</f>
        <v>Rice</v>
      </c>
      <c r="O356">
        <v>359.28</v>
      </c>
      <c r="P356">
        <v>3</v>
      </c>
      <c r="Q356">
        <f>IF(P356&lt;1, 1, P356)</f>
        <v>3</v>
      </c>
      <c r="R356">
        <v>10</v>
      </c>
      <c r="S356" t="str">
        <f>IF(OR(R356&lt;0,R356&gt;100),"invalid","Valid")</f>
        <v>Valid</v>
      </c>
      <c r="U356" t="str">
        <f>PROPER(TRIM(T356))</f>
        <v/>
      </c>
      <c r="V356" t="s">
        <v>25</v>
      </c>
      <c r="W356" t="str">
        <f t="shared" si="10"/>
        <v>Dan</v>
      </c>
      <c r="X356" t="s">
        <v>65</v>
      </c>
      <c r="Y356">
        <v>4</v>
      </c>
      <c r="Z356" t="str">
        <f>IF(D356="", "Missing", "ok")</f>
        <v>ok</v>
      </c>
      <c r="AA356">
        <f t="shared" si="11"/>
        <v>970.05599999999993</v>
      </c>
    </row>
    <row r="357" spans="1:27" x14ac:dyDescent="0.25">
      <c r="A357" t="s">
        <v>1034</v>
      </c>
      <c r="B357" s="1" t="s">
        <v>181</v>
      </c>
      <c r="C357" t="s">
        <v>1035</v>
      </c>
      <c r="D357" t="s">
        <v>45</v>
      </c>
      <c r="E357" t="str">
        <f>PROPER(TRIM(D357))</f>
        <v>James</v>
      </c>
      <c r="F357" t="s">
        <v>46</v>
      </c>
      <c r="G357">
        <v>27</v>
      </c>
      <c r="H357" t="str">
        <f>IF(AND(G357&gt;18, G357&lt;65), "Valid", "Invalid")</f>
        <v>Valid</v>
      </c>
      <c r="I357" t="s">
        <v>21</v>
      </c>
      <c r="J357" t="str">
        <f>PROPER(TRIM(I357))</f>
        <v>Lagos</v>
      </c>
      <c r="K357" t="s">
        <v>48</v>
      </c>
      <c r="L357" t="str">
        <f>PROPER(TRIM(K357))</f>
        <v>Groceries</v>
      </c>
      <c r="M357" t="s">
        <v>49</v>
      </c>
      <c r="N357" t="str">
        <f>PROPER(TRIM(M357))</f>
        <v>Rice</v>
      </c>
      <c r="O357">
        <v>156.76</v>
      </c>
      <c r="P357">
        <v>-2</v>
      </c>
      <c r="Q357">
        <f>IF(P357&lt;1, 1, P357)</f>
        <v>1</v>
      </c>
      <c r="R357">
        <v>15</v>
      </c>
      <c r="S357" t="str">
        <f>IF(OR(R357&lt;0,R357&gt;100),"invalid","Valid")</f>
        <v>Valid</v>
      </c>
      <c r="T357" t="s">
        <v>59</v>
      </c>
      <c r="U357" t="str">
        <f>PROPER(TRIM(T357))</f>
        <v>Mobile Money</v>
      </c>
      <c r="V357" t="s">
        <v>81</v>
      </c>
      <c r="W357" t="str">
        <f t="shared" si="10"/>
        <v>Ada</v>
      </c>
      <c r="X357" t="s">
        <v>82</v>
      </c>
      <c r="Y357">
        <v>1</v>
      </c>
      <c r="Z357" t="str">
        <f>IF(D357="", "Missing", "ok")</f>
        <v>ok</v>
      </c>
      <c r="AA357">
        <f t="shared" si="11"/>
        <v>133.24599999999998</v>
      </c>
    </row>
    <row r="358" spans="1:27" x14ac:dyDescent="0.25">
      <c r="A358" t="s">
        <v>1036</v>
      </c>
      <c r="B358" s="1" t="s">
        <v>866</v>
      </c>
      <c r="C358" t="s">
        <v>1037</v>
      </c>
      <c r="D358" t="s">
        <v>19</v>
      </c>
      <c r="E358" t="str">
        <f>PROPER(TRIM(D358))</f>
        <v>Peter</v>
      </c>
      <c r="F358" t="s">
        <v>20</v>
      </c>
      <c r="G358">
        <v>8</v>
      </c>
      <c r="H358" t="str">
        <f>IF(AND(G358&gt;18, G358&lt;65), "Valid", "Invalid")</f>
        <v>Invalid</v>
      </c>
      <c r="I358" t="s">
        <v>86</v>
      </c>
      <c r="J358" t="str">
        <f>PROPER(TRIM(I358))</f>
        <v>Kano</v>
      </c>
      <c r="K358" t="s">
        <v>87</v>
      </c>
      <c r="L358" t="str">
        <f>PROPER(TRIM(K358))</f>
        <v>Groceris</v>
      </c>
      <c r="M358" t="s">
        <v>49</v>
      </c>
      <c r="N358" t="str">
        <f>PROPER(TRIM(M358))</f>
        <v>Rice</v>
      </c>
      <c r="O358">
        <v>382.92</v>
      </c>
      <c r="P358">
        <v>-2</v>
      </c>
      <c r="Q358">
        <f>IF(P358&lt;1, 1, P358)</f>
        <v>1</v>
      </c>
      <c r="R358">
        <v>15</v>
      </c>
      <c r="S358" t="str">
        <f>IF(OR(R358&lt;0,R358&gt;100),"invalid","Valid")</f>
        <v>Valid</v>
      </c>
      <c r="T358" t="s">
        <v>77</v>
      </c>
      <c r="U358" t="str">
        <f>PROPER(TRIM(T358))</f>
        <v>Cash</v>
      </c>
      <c r="V358" t="s">
        <v>41</v>
      </c>
      <c r="W358" t="str">
        <f t="shared" si="10"/>
        <v>Chi</v>
      </c>
      <c r="X358" t="s">
        <v>26</v>
      </c>
      <c r="Y358">
        <v>4</v>
      </c>
      <c r="Z358" t="str">
        <f>IF(D358="", "Missing", "ok")</f>
        <v>ok</v>
      </c>
      <c r="AA358">
        <f t="shared" si="11"/>
        <v>325.48200000000003</v>
      </c>
    </row>
    <row r="359" spans="1:27" x14ac:dyDescent="0.25">
      <c r="A359" t="s">
        <v>1038</v>
      </c>
      <c r="B359" s="1" t="s">
        <v>1039</v>
      </c>
      <c r="C359" t="s">
        <v>1040</v>
      </c>
      <c r="D359" t="s">
        <v>117</v>
      </c>
      <c r="E359" t="str">
        <f>PROPER(TRIM(D359))</f>
        <v>David</v>
      </c>
      <c r="F359" t="s">
        <v>46</v>
      </c>
      <c r="G359">
        <v>18</v>
      </c>
      <c r="H359" t="str">
        <f>IF(AND(G359&gt;18, G359&lt;65), "Valid", "Invalid")</f>
        <v>Invalid</v>
      </c>
      <c r="I359" t="s">
        <v>53</v>
      </c>
      <c r="J359" t="str">
        <f>PROPER(TRIM(I359))</f>
        <v>Lagos</v>
      </c>
      <c r="K359" t="s">
        <v>31</v>
      </c>
      <c r="L359" t="str">
        <f>PROPER(TRIM(K359))</f>
        <v>Sports</v>
      </c>
      <c r="M359" t="s">
        <v>32</v>
      </c>
      <c r="N359" t="str">
        <f>PROPER(TRIM(M359))</f>
        <v>Ball</v>
      </c>
      <c r="O359">
        <v>438.5</v>
      </c>
      <c r="P359">
        <v>-2</v>
      </c>
      <c r="Q359">
        <f>IF(P359&lt;1, 1, P359)</f>
        <v>1</v>
      </c>
      <c r="R359">
        <v>0</v>
      </c>
      <c r="S359" t="str">
        <f>IF(OR(R359&lt;0,R359&gt;100),"invalid","Valid")</f>
        <v>Valid</v>
      </c>
      <c r="T359" t="s">
        <v>24</v>
      </c>
      <c r="U359" t="str">
        <f>PROPER(TRIM(T359))</f>
        <v>Pos</v>
      </c>
      <c r="V359" t="s">
        <v>81</v>
      </c>
      <c r="W359" t="str">
        <f t="shared" si="10"/>
        <v>Ada</v>
      </c>
      <c r="X359" t="s">
        <v>26</v>
      </c>
      <c r="Y359">
        <v>4</v>
      </c>
      <c r="Z359" t="str">
        <f>IF(D359="", "Missing", "ok")</f>
        <v>ok</v>
      </c>
      <c r="AA359">
        <f t="shared" si="11"/>
        <v>438.5</v>
      </c>
    </row>
    <row r="360" spans="1:27" x14ac:dyDescent="0.25">
      <c r="A360" t="s">
        <v>1041</v>
      </c>
      <c r="B360" s="1" t="s">
        <v>1042</v>
      </c>
      <c r="C360" t="s">
        <v>904</v>
      </c>
      <c r="D360" t="s">
        <v>37</v>
      </c>
      <c r="E360" t="str">
        <f>PROPER(TRIM(D360))</f>
        <v>Aisha</v>
      </c>
      <c r="F360" t="s">
        <v>46</v>
      </c>
      <c r="G360">
        <v>8</v>
      </c>
      <c r="H360" t="str">
        <f>IF(AND(G360&gt;18, G360&lt;65), "Valid", "Invalid")</f>
        <v>Invalid</v>
      </c>
      <c r="I360" t="s">
        <v>53</v>
      </c>
      <c r="J360" t="str">
        <f>PROPER(TRIM(I360))</f>
        <v>Lagos</v>
      </c>
      <c r="K360" t="s">
        <v>22</v>
      </c>
      <c r="L360" t="str">
        <f>PROPER(TRIM(K360))</f>
        <v>Fashion</v>
      </c>
      <c r="M360" t="s">
        <v>23</v>
      </c>
      <c r="N360" t="str">
        <f>PROPER(TRIM(M360))</f>
        <v>Shirt</v>
      </c>
      <c r="O360">
        <v>416.74</v>
      </c>
      <c r="P360">
        <v>-2</v>
      </c>
      <c r="Q360">
        <f>IF(P360&lt;1, 1, P360)</f>
        <v>1</v>
      </c>
      <c r="R360">
        <v>5</v>
      </c>
      <c r="S360" t="str">
        <f>IF(OR(R360&lt;0,R360&gt;100),"invalid","Valid")</f>
        <v>Valid</v>
      </c>
      <c r="T360" t="s">
        <v>59</v>
      </c>
      <c r="U360" t="str">
        <f>PROPER(TRIM(T360))</f>
        <v>Mobile Money</v>
      </c>
      <c r="V360" t="s">
        <v>81</v>
      </c>
      <c r="W360" t="str">
        <f t="shared" si="10"/>
        <v>Ada</v>
      </c>
      <c r="X360" t="s">
        <v>33</v>
      </c>
      <c r="Y360">
        <v>5</v>
      </c>
      <c r="Z360" t="str">
        <f>IF(D360="", "Missing", "ok")</f>
        <v>ok</v>
      </c>
      <c r="AA360">
        <f t="shared" si="11"/>
        <v>395.90299999999996</v>
      </c>
    </row>
    <row r="361" spans="1:27" x14ac:dyDescent="0.25">
      <c r="A361" t="s">
        <v>1043</v>
      </c>
      <c r="B361" s="1" t="s">
        <v>711</v>
      </c>
      <c r="C361" t="s">
        <v>1044</v>
      </c>
      <c r="D361" t="s">
        <v>101</v>
      </c>
      <c r="E361" t="str">
        <f>PROPER(TRIM(D361))</f>
        <v>Grace</v>
      </c>
      <c r="F361" t="s">
        <v>20</v>
      </c>
      <c r="G361">
        <v>130</v>
      </c>
      <c r="H361" t="str">
        <f>IF(AND(G361&gt;18, G361&lt;65), "Valid", "Invalid")</f>
        <v>Invalid</v>
      </c>
      <c r="I361" t="s">
        <v>70</v>
      </c>
      <c r="J361" t="str">
        <f>PROPER(TRIM(I361))</f>
        <v>Abuja</v>
      </c>
      <c r="K361" t="s">
        <v>39</v>
      </c>
      <c r="L361" t="str">
        <f>PROPER(TRIM(K361))</f>
        <v>Electronics</v>
      </c>
      <c r="M361" t="s">
        <v>40</v>
      </c>
      <c r="N361" t="str">
        <f>PROPER(TRIM(M361))</f>
        <v>Phone</v>
      </c>
      <c r="O361">
        <v>36.94</v>
      </c>
      <c r="P361">
        <v>-2</v>
      </c>
      <c r="Q361">
        <f>IF(P361&lt;1, 1, P361)</f>
        <v>1</v>
      </c>
      <c r="R361">
        <v>-10</v>
      </c>
      <c r="S361" t="str">
        <f>IF(OR(R361&lt;0,R361&gt;100),"invalid","Valid")</f>
        <v>invalid</v>
      </c>
      <c r="U361" t="str">
        <f>PROPER(TRIM(T361))</f>
        <v/>
      </c>
      <c r="V361" t="s">
        <v>25</v>
      </c>
      <c r="W361" t="str">
        <f t="shared" si="10"/>
        <v>Dan</v>
      </c>
      <c r="X361" t="s">
        <v>82</v>
      </c>
      <c r="Y361">
        <v>2</v>
      </c>
      <c r="Z361" t="str">
        <f>IF(D361="", "Missing", "ok")</f>
        <v>ok</v>
      </c>
      <c r="AA361">
        <f t="shared" si="11"/>
        <v>40.634</v>
      </c>
    </row>
    <row r="362" spans="1:27" x14ac:dyDescent="0.25">
      <c r="A362" t="s">
        <v>1045</v>
      </c>
      <c r="B362" s="1" t="s">
        <v>1046</v>
      </c>
      <c r="C362" t="s">
        <v>1047</v>
      </c>
      <c r="D362" t="s">
        <v>117</v>
      </c>
      <c r="E362" t="str">
        <f>PROPER(TRIM(D362))</f>
        <v>David</v>
      </c>
      <c r="F362" t="s">
        <v>20</v>
      </c>
      <c r="G362">
        <v>18</v>
      </c>
      <c r="H362" t="str">
        <f>IF(AND(G362&gt;18, G362&lt;65), "Valid", "Invalid")</f>
        <v>Invalid</v>
      </c>
      <c r="I362" t="s">
        <v>21</v>
      </c>
      <c r="J362" t="str">
        <f>PROPER(TRIM(I362))</f>
        <v>Lagos</v>
      </c>
      <c r="K362" t="s">
        <v>31</v>
      </c>
      <c r="L362" t="str">
        <f>PROPER(TRIM(K362))</f>
        <v>Sports</v>
      </c>
      <c r="M362" t="s">
        <v>32</v>
      </c>
      <c r="N362" t="str">
        <f>PROPER(TRIM(M362))</f>
        <v>Ball</v>
      </c>
      <c r="O362">
        <v>396.39</v>
      </c>
      <c r="P362">
        <v>-2</v>
      </c>
      <c r="Q362">
        <f>IF(P362&lt;1, 1, P362)</f>
        <v>1</v>
      </c>
      <c r="R362">
        <v>10</v>
      </c>
      <c r="S362" t="str">
        <f>IF(OR(R362&lt;0,R362&gt;100),"invalid","Valid")</f>
        <v>Valid</v>
      </c>
      <c r="U362" t="str">
        <f>PROPER(TRIM(T362))</f>
        <v/>
      </c>
      <c r="V362" t="s">
        <v>91</v>
      </c>
      <c r="W362" t="str">
        <f t="shared" si="10"/>
        <v>Ben</v>
      </c>
      <c r="X362" t="s">
        <v>82</v>
      </c>
      <c r="Y362">
        <v>2</v>
      </c>
      <c r="Z362" t="str">
        <f>IF(D362="", "Missing", "ok")</f>
        <v>ok</v>
      </c>
      <c r="AA362">
        <f t="shared" si="11"/>
        <v>356.75099999999998</v>
      </c>
    </row>
    <row r="363" spans="1:27" x14ac:dyDescent="0.25">
      <c r="A363" t="s">
        <v>1048</v>
      </c>
      <c r="B363" s="1" t="s">
        <v>1049</v>
      </c>
      <c r="C363" t="s">
        <v>1050</v>
      </c>
      <c r="D363" t="s">
        <v>101</v>
      </c>
      <c r="E363" t="str">
        <f>PROPER(TRIM(D363))</f>
        <v>Grace</v>
      </c>
      <c r="F363" t="s">
        <v>20</v>
      </c>
      <c r="G363">
        <v>130</v>
      </c>
      <c r="H363" t="str">
        <f>IF(AND(G363&gt;18, G363&lt;65), "Valid", "Invalid")</f>
        <v>Invalid</v>
      </c>
      <c r="I363" t="s">
        <v>70</v>
      </c>
      <c r="J363" t="str">
        <f>PROPER(TRIM(I363))</f>
        <v>Abuja</v>
      </c>
      <c r="K363" t="s">
        <v>121</v>
      </c>
      <c r="L363" t="str">
        <f>PROPER(TRIM(K363))</f>
        <v>Beauty</v>
      </c>
      <c r="M363" t="s">
        <v>122</v>
      </c>
      <c r="N363" t="str">
        <f>PROPER(TRIM(M363))</f>
        <v>Cream</v>
      </c>
      <c r="O363">
        <v>12.78</v>
      </c>
      <c r="P363">
        <v>-2</v>
      </c>
      <c r="Q363">
        <f>IF(P363&lt;1, 1, P363)</f>
        <v>1</v>
      </c>
      <c r="R363">
        <v>5</v>
      </c>
      <c r="S363" t="str">
        <f>IF(OR(R363&lt;0,R363&gt;100),"invalid","Valid")</f>
        <v>Valid</v>
      </c>
      <c r="T363" t="s">
        <v>59</v>
      </c>
      <c r="U363" t="str">
        <f>PROPER(TRIM(T363))</f>
        <v>Mobile Money</v>
      </c>
      <c r="V363" t="s">
        <v>41</v>
      </c>
      <c r="W363" t="str">
        <f t="shared" si="10"/>
        <v>Chi</v>
      </c>
      <c r="X363" t="s">
        <v>82</v>
      </c>
      <c r="Z363" t="str">
        <f>IF(D363="", "Missing", "ok")</f>
        <v>ok</v>
      </c>
      <c r="AA363">
        <f t="shared" si="11"/>
        <v>12.140999999999998</v>
      </c>
    </row>
    <row r="364" spans="1:27" x14ac:dyDescent="0.25">
      <c r="A364" t="s">
        <v>1051</v>
      </c>
      <c r="B364" s="1" t="s">
        <v>178</v>
      </c>
      <c r="C364" t="s">
        <v>1052</v>
      </c>
      <c r="D364" t="s">
        <v>117</v>
      </c>
      <c r="E364" t="str">
        <f>PROPER(TRIM(D364))</f>
        <v>David</v>
      </c>
      <c r="F364" t="s">
        <v>46</v>
      </c>
      <c r="G364">
        <v>32</v>
      </c>
      <c r="H364" t="str">
        <f>IF(AND(G364&gt;18, G364&lt;65), "Valid", "Invalid")</f>
        <v>Valid</v>
      </c>
      <c r="I364" t="s">
        <v>47</v>
      </c>
      <c r="J364" t="str">
        <f>PROPER(TRIM(I364))</f>
        <v>Enugu</v>
      </c>
      <c r="K364" t="s">
        <v>48</v>
      </c>
      <c r="L364" t="str">
        <f>PROPER(TRIM(K364))</f>
        <v>Groceries</v>
      </c>
      <c r="M364" t="s">
        <v>49</v>
      </c>
      <c r="N364" t="str">
        <f>PROPER(TRIM(M364))</f>
        <v>Rice</v>
      </c>
      <c r="O364">
        <v>214.16</v>
      </c>
      <c r="P364">
        <v>10</v>
      </c>
      <c r="Q364">
        <f>IF(P364&lt;1, 1, P364)</f>
        <v>10</v>
      </c>
      <c r="R364">
        <v>5</v>
      </c>
      <c r="S364" t="str">
        <f>IF(OR(R364&lt;0,R364&gt;100),"invalid","Valid")</f>
        <v>Valid</v>
      </c>
      <c r="T364" t="s">
        <v>24</v>
      </c>
      <c r="U364" t="str">
        <f>PROPER(TRIM(T364))</f>
        <v>Pos</v>
      </c>
      <c r="V364" t="s">
        <v>81</v>
      </c>
      <c r="W364" t="str">
        <f t="shared" si="10"/>
        <v>Ada</v>
      </c>
      <c r="X364" t="s">
        <v>82</v>
      </c>
      <c r="Y364">
        <v>5</v>
      </c>
      <c r="Z364" t="str">
        <f>IF(D364="", "Missing", "ok")</f>
        <v>ok</v>
      </c>
      <c r="AA364">
        <f t="shared" si="11"/>
        <v>2034.5199999999998</v>
      </c>
    </row>
    <row r="365" spans="1:27" x14ac:dyDescent="0.25">
      <c r="A365" t="s">
        <v>1053</v>
      </c>
      <c r="B365" s="1" t="s">
        <v>1054</v>
      </c>
      <c r="C365" t="s">
        <v>1055</v>
      </c>
      <c r="D365" t="s">
        <v>63</v>
      </c>
      <c r="E365" t="str">
        <f>PROPER(TRIM(D365))</f>
        <v>John</v>
      </c>
      <c r="F365" t="s">
        <v>46</v>
      </c>
      <c r="G365">
        <v>130</v>
      </c>
      <c r="H365" t="str">
        <f>IF(AND(G365&gt;18, G365&lt;65), "Valid", "Invalid")</f>
        <v>Invalid</v>
      </c>
      <c r="I365" t="s">
        <v>30</v>
      </c>
      <c r="J365" t="str">
        <f>PROPER(TRIM(I365))</f>
        <v>Lagos</v>
      </c>
      <c r="K365" t="s">
        <v>22</v>
      </c>
      <c r="L365" t="str">
        <f>PROPER(TRIM(K365))</f>
        <v>Fashion</v>
      </c>
      <c r="M365" t="s">
        <v>23</v>
      </c>
      <c r="N365" t="str">
        <f>PROPER(TRIM(M365))</f>
        <v>Shirt</v>
      </c>
      <c r="O365">
        <v>248.84</v>
      </c>
      <c r="P365">
        <v>7</v>
      </c>
      <c r="Q365">
        <f>IF(P365&lt;1, 1, P365)</f>
        <v>7</v>
      </c>
      <c r="R365">
        <v>0</v>
      </c>
      <c r="S365" t="str">
        <f>IF(OR(R365&lt;0,R365&gt;100),"invalid","Valid")</f>
        <v>Valid</v>
      </c>
      <c r="T365" t="s">
        <v>64</v>
      </c>
      <c r="U365" t="str">
        <f>PROPER(TRIM(T365))</f>
        <v>Transfer</v>
      </c>
      <c r="V365" t="s">
        <v>25</v>
      </c>
      <c r="W365" t="str">
        <f t="shared" si="10"/>
        <v>Dan</v>
      </c>
      <c r="X365" t="s">
        <v>65</v>
      </c>
      <c r="Y365">
        <v>5</v>
      </c>
      <c r="Z365" t="str">
        <f>IF(D365="", "Missing", "ok")</f>
        <v>ok</v>
      </c>
      <c r="AA365">
        <f t="shared" si="11"/>
        <v>1741.88</v>
      </c>
    </row>
    <row r="366" spans="1:27" x14ac:dyDescent="0.25">
      <c r="A366" t="s">
        <v>1056</v>
      </c>
      <c r="B366" s="1" t="s">
        <v>736</v>
      </c>
      <c r="C366" t="s">
        <v>1057</v>
      </c>
      <c r="D366" t="s">
        <v>63</v>
      </c>
      <c r="E366" t="str">
        <f>PROPER(TRIM(D366))</f>
        <v>John</v>
      </c>
      <c r="F366" t="s">
        <v>46</v>
      </c>
      <c r="G366">
        <v>8</v>
      </c>
      <c r="H366" t="str">
        <f>IF(AND(G366&gt;18, G366&lt;65), "Valid", "Invalid")</f>
        <v>Invalid</v>
      </c>
      <c r="I366" t="s">
        <v>53</v>
      </c>
      <c r="J366" t="str">
        <f>PROPER(TRIM(I366))</f>
        <v>Lagos</v>
      </c>
      <c r="K366" t="s">
        <v>121</v>
      </c>
      <c r="L366" t="str">
        <f>PROPER(TRIM(K366))</f>
        <v>Beauty</v>
      </c>
      <c r="M366" t="s">
        <v>122</v>
      </c>
      <c r="N366" t="str">
        <f>PROPER(TRIM(M366))</f>
        <v>Cream</v>
      </c>
      <c r="O366">
        <v>60.65</v>
      </c>
      <c r="P366">
        <v>-2</v>
      </c>
      <c r="Q366">
        <f>IF(P366&lt;1, 1, P366)</f>
        <v>1</v>
      </c>
      <c r="R366">
        <v>-10</v>
      </c>
      <c r="S366" t="str">
        <f>IF(OR(R366&lt;0,R366&gt;100),"invalid","Valid")</f>
        <v>invalid</v>
      </c>
      <c r="T366" t="s">
        <v>59</v>
      </c>
      <c r="U366" t="str">
        <f>PROPER(TRIM(T366))</f>
        <v>Mobile Money</v>
      </c>
      <c r="V366" t="s">
        <v>25</v>
      </c>
      <c r="W366" t="str">
        <f t="shared" si="10"/>
        <v>Dan</v>
      </c>
      <c r="X366" t="s">
        <v>65</v>
      </c>
      <c r="Z366" t="str">
        <f>IF(D366="", "Missing", "ok")</f>
        <v>ok</v>
      </c>
      <c r="AA366">
        <f t="shared" si="11"/>
        <v>66.715000000000003</v>
      </c>
    </row>
    <row r="367" spans="1:27" x14ac:dyDescent="0.25">
      <c r="A367" t="s">
        <v>1058</v>
      </c>
      <c r="B367" s="1" t="s">
        <v>744</v>
      </c>
      <c r="C367" t="s">
        <v>1059</v>
      </c>
      <c r="D367" t="s">
        <v>45</v>
      </c>
      <c r="E367" t="str">
        <f>PROPER(TRIM(D367))</f>
        <v>James</v>
      </c>
      <c r="F367" t="s">
        <v>20</v>
      </c>
      <c r="G367">
        <v>8</v>
      </c>
      <c r="H367" t="str">
        <f>IF(AND(G367&gt;18, G367&lt;65), "Valid", "Invalid")</f>
        <v>Invalid</v>
      </c>
      <c r="I367" t="s">
        <v>38</v>
      </c>
      <c r="J367" t="str">
        <f>PROPER(TRIM(I367))</f>
        <v>Ph</v>
      </c>
      <c r="K367" t="s">
        <v>121</v>
      </c>
      <c r="L367" t="str">
        <f>PROPER(TRIM(K367))</f>
        <v>Beauty</v>
      </c>
      <c r="M367" t="s">
        <v>122</v>
      </c>
      <c r="N367" t="str">
        <f>PROPER(TRIM(M367))</f>
        <v>Cream</v>
      </c>
      <c r="O367">
        <v>24.53</v>
      </c>
      <c r="P367">
        <v>5</v>
      </c>
      <c r="Q367">
        <f>IF(P367&lt;1, 1, P367)</f>
        <v>5</v>
      </c>
      <c r="R367">
        <v>15</v>
      </c>
      <c r="S367" t="str">
        <f>IF(OR(R367&lt;0,R367&gt;100),"invalid","Valid")</f>
        <v>Valid</v>
      </c>
      <c r="U367" t="str">
        <f>PROPER(TRIM(T367))</f>
        <v/>
      </c>
      <c r="V367" t="s">
        <v>25</v>
      </c>
      <c r="W367" t="str">
        <f t="shared" si="10"/>
        <v>Dan</v>
      </c>
      <c r="X367" t="s">
        <v>26</v>
      </c>
      <c r="Y367">
        <v>4</v>
      </c>
      <c r="Z367" t="str">
        <f>IF(D367="", "Missing", "ok")</f>
        <v>ok</v>
      </c>
      <c r="AA367">
        <f t="shared" si="11"/>
        <v>104.2525</v>
      </c>
    </row>
    <row r="368" spans="1:27" x14ac:dyDescent="0.25">
      <c r="A368" t="s">
        <v>1060</v>
      </c>
      <c r="B368" s="1" t="s">
        <v>1061</v>
      </c>
      <c r="C368" t="s">
        <v>1062</v>
      </c>
      <c r="E368" t="str">
        <f>PROPER(TRIM(D368))</f>
        <v/>
      </c>
      <c r="F368" t="s">
        <v>46</v>
      </c>
      <c r="G368">
        <v>130</v>
      </c>
      <c r="H368" t="str">
        <f>IF(AND(G368&gt;18, G368&lt;65), "Valid", "Invalid")</f>
        <v>Invalid</v>
      </c>
      <c r="I368" t="s">
        <v>38</v>
      </c>
      <c r="J368" t="str">
        <f>PROPER(TRIM(I368))</f>
        <v>Ph</v>
      </c>
      <c r="K368" t="s">
        <v>48</v>
      </c>
      <c r="L368" t="str">
        <f>PROPER(TRIM(K368))</f>
        <v>Groceries</v>
      </c>
      <c r="M368" t="s">
        <v>49</v>
      </c>
      <c r="N368" t="str">
        <f>PROPER(TRIM(M368))</f>
        <v>Rice</v>
      </c>
      <c r="O368">
        <v>80.97</v>
      </c>
      <c r="P368">
        <v>7</v>
      </c>
      <c r="Q368">
        <f>IF(P368&lt;1, 1, P368)</f>
        <v>7</v>
      </c>
      <c r="R368">
        <v>5</v>
      </c>
      <c r="S368" t="str">
        <f>IF(OR(R368&lt;0,R368&gt;100),"invalid","Valid")</f>
        <v>Valid</v>
      </c>
      <c r="T368" t="s">
        <v>64</v>
      </c>
      <c r="U368" t="str">
        <f>PROPER(TRIM(T368))</f>
        <v>Transfer</v>
      </c>
      <c r="V368" t="s">
        <v>25</v>
      </c>
      <c r="W368" t="str">
        <f t="shared" si="10"/>
        <v>Dan</v>
      </c>
      <c r="X368" t="s">
        <v>33</v>
      </c>
      <c r="Y368">
        <v>5</v>
      </c>
      <c r="Z368" t="str">
        <f>IF(D368="", "Missing", "ok")</f>
        <v>Missing</v>
      </c>
      <c r="AA368">
        <f t="shared" si="11"/>
        <v>538.45049999999992</v>
      </c>
    </row>
    <row r="369" spans="1:27" x14ac:dyDescent="0.25">
      <c r="A369" t="s">
        <v>1063</v>
      </c>
      <c r="B369" s="1" t="s">
        <v>1064</v>
      </c>
      <c r="C369" t="s">
        <v>332</v>
      </c>
      <c r="D369" t="s">
        <v>101</v>
      </c>
      <c r="E369" t="str">
        <f>PROPER(TRIM(D369))</f>
        <v>Grace</v>
      </c>
      <c r="F369" t="s">
        <v>46</v>
      </c>
      <c r="G369">
        <v>8</v>
      </c>
      <c r="H369" t="str">
        <f>IF(AND(G369&gt;18, G369&lt;65), "Valid", "Invalid")</f>
        <v>Invalid</v>
      </c>
      <c r="I369" t="s">
        <v>30</v>
      </c>
      <c r="J369" t="str">
        <f>PROPER(TRIM(I369))</f>
        <v>Lagos</v>
      </c>
      <c r="K369" t="s">
        <v>39</v>
      </c>
      <c r="L369" t="str">
        <f>PROPER(TRIM(K369))</f>
        <v>Electronics</v>
      </c>
      <c r="M369" t="s">
        <v>40</v>
      </c>
      <c r="N369" t="str">
        <f>PROPER(TRIM(M369))</f>
        <v>Phone</v>
      </c>
      <c r="O369">
        <v>208.32</v>
      </c>
      <c r="P369">
        <v>3</v>
      </c>
      <c r="Q369">
        <f>IF(P369&lt;1, 1, P369)</f>
        <v>3</v>
      </c>
      <c r="R369">
        <v>15</v>
      </c>
      <c r="S369" t="str">
        <f>IF(OR(R369&lt;0,R369&gt;100),"invalid","Valid")</f>
        <v>Valid</v>
      </c>
      <c r="T369" t="s">
        <v>64</v>
      </c>
      <c r="U369" t="str">
        <f>PROPER(TRIM(T369))</f>
        <v>Transfer</v>
      </c>
      <c r="V369" t="s">
        <v>41</v>
      </c>
      <c r="W369" t="str">
        <f t="shared" si="10"/>
        <v>Chi</v>
      </c>
      <c r="X369" t="s">
        <v>33</v>
      </c>
      <c r="Y369">
        <v>1</v>
      </c>
      <c r="Z369" t="str">
        <f>IF(D369="", "Missing", "ok")</f>
        <v>ok</v>
      </c>
      <c r="AA369">
        <f t="shared" si="11"/>
        <v>531.21600000000001</v>
      </c>
    </row>
    <row r="370" spans="1:27" x14ac:dyDescent="0.25">
      <c r="A370" t="s">
        <v>1065</v>
      </c>
      <c r="B370" s="1" t="s">
        <v>1066</v>
      </c>
      <c r="C370" t="s">
        <v>1067</v>
      </c>
      <c r="D370" t="s">
        <v>37</v>
      </c>
      <c r="E370" t="str">
        <f>PROPER(TRIM(D370))</f>
        <v>Aisha</v>
      </c>
      <c r="F370" t="s">
        <v>20</v>
      </c>
      <c r="G370">
        <v>50</v>
      </c>
      <c r="H370" t="str">
        <f>IF(AND(G370&gt;18, G370&lt;65), "Valid", "Invalid")</f>
        <v>Valid</v>
      </c>
      <c r="I370" t="s">
        <v>47</v>
      </c>
      <c r="J370" t="str">
        <f>PROPER(TRIM(I370))</f>
        <v>Enugu</v>
      </c>
      <c r="K370" t="s">
        <v>121</v>
      </c>
      <c r="L370" t="str">
        <f>PROPER(TRIM(K370))</f>
        <v>Beauty</v>
      </c>
      <c r="M370" t="s">
        <v>122</v>
      </c>
      <c r="N370" t="str">
        <f>PROPER(TRIM(M370))</f>
        <v>Cream</v>
      </c>
      <c r="O370">
        <v>460.32</v>
      </c>
      <c r="P370">
        <v>-2</v>
      </c>
      <c r="Q370">
        <f>IF(P370&lt;1, 1, P370)</f>
        <v>1</v>
      </c>
      <c r="R370">
        <v>120</v>
      </c>
      <c r="S370" t="str">
        <f>IF(OR(R370&lt;0,R370&gt;100),"invalid","Valid")</f>
        <v>invalid</v>
      </c>
      <c r="T370" t="s">
        <v>59</v>
      </c>
      <c r="U370" t="str">
        <f>PROPER(TRIM(T370))</f>
        <v>Mobile Money</v>
      </c>
      <c r="V370" t="s">
        <v>41</v>
      </c>
      <c r="W370" t="str">
        <f t="shared" si="10"/>
        <v>Chi</v>
      </c>
      <c r="X370" t="s">
        <v>26</v>
      </c>
      <c r="Y370">
        <v>5</v>
      </c>
      <c r="Z370" t="str">
        <f>IF(D370="", "Missing", "ok")</f>
        <v>ok</v>
      </c>
      <c r="AA370">
        <f t="shared" si="11"/>
        <v>-92.063999999999979</v>
      </c>
    </row>
    <row r="371" spans="1:27" x14ac:dyDescent="0.25">
      <c r="A371" t="s">
        <v>1068</v>
      </c>
      <c r="B371" s="1" t="s">
        <v>887</v>
      </c>
      <c r="C371" t="s">
        <v>1069</v>
      </c>
      <c r="E371" t="str">
        <f>PROPER(TRIM(D371))</f>
        <v/>
      </c>
      <c r="F371" t="s">
        <v>20</v>
      </c>
      <c r="G371">
        <v>8</v>
      </c>
      <c r="H371" t="str">
        <f>IF(AND(G371&gt;18, G371&lt;65), "Valid", "Invalid")</f>
        <v>Invalid</v>
      </c>
      <c r="I371" t="s">
        <v>86</v>
      </c>
      <c r="J371" t="str">
        <f>PROPER(TRIM(I371))</f>
        <v>Kano</v>
      </c>
      <c r="K371" t="s">
        <v>121</v>
      </c>
      <c r="L371" t="str">
        <f>PROPER(TRIM(K371))</f>
        <v>Beauty</v>
      </c>
      <c r="M371" t="s">
        <v>122</v>
      </c>
      <c r="N371" t="str">
        <f>PROPER(TRIM(M371))</f>
        <v>Cream</v>
      </c>
      <c r="O371">
        <v>289.43</v>
      </c>
      <c r="P371">
        <v>1</v>
      </c>
      <c r="Q371">
        <f>IF(P371&lt;1, 1, P371)</f>
        <v>1</v>
      </c>
      <c r="R371">
        <v>0</v>
      </c>
      <c r="S371" t="str">
        <f>IF(OR(R371&lt;0,R371&gt;100),"invalid","Valid")</f>
        <v>Valid</v>
      </c>
      <c r="T371" t="s">
        <v>64</v>
      </c>
      <c r="U371" t="str">
        <f>PROPER(TRIM(T371))</f>
        <v>Transfer</v>
      </c>
      <c r="V371" t="s">
        <v>25</v>
      </c>
      <c r="W371" t="str">
        <f t="shared" si="10"/>
        <v>Dan</v>
      </c>
      <c r="X371" t="s">
        <v>26</v>
      </c>
      <c r="Y371">
        <v>4</v>
      </c>
      <c r="Z371" t="str">
        <f>IF(D371="", "Missing", "ok")</f>
        <v>Missing</v>
      </c>
      <c r="AA371">
        <f t="shared" si="11"/>
        <v>289.43</v>
      </c>
    </row>
    <row r="372" spans="1:27" x14ac:dyDescent="0.25">
      <c r="A372" t="s">
        <v>1070</v>
      </c>
      <c r="B372" s="1" t="s">
        <v>807</v>
      </c>
      <c r="C372" t="s">
        <v>1071</v>
      </c>
      <c r="D372" t="s">
        <v>117</v>
      </c>
      <c r="E372" t="str">
        <f>PROPER(TRIM(D372))</f>
        <v>David</v>
      </c>
      <c r="F372" t="s">
        <v>20</v>
      </c>
      <c r="G372">
        <v>8</v>
      </c>
      <c r="H372" t="str">
        <f>IF(AND(G372&gt;18, G372&lt;65), "Valid", "Invalid")</f>
        <v>Invalid</v>
      </c>
      <c r="I372" t="s">
        <v>47</v>
      </c>
      <c r="J372" t="str">
        <f>PROPER(TRIM(I372))</f>
        <v>Enugu</v>
      </c>
      <c r="K372" t="s">
        <v>54</v>
      </c>
      <c r="L372" t="str">
        <f>PROPER(TRIM(K372))</f>
        <v>Home</v>
      </c>
      <c r="M372" t="s">
        <v>55</v>
      </c>
      <c r="N372" t="str">
        <f>PROPER(TRIM(M372))</f>
        <v>Chair</v>
      </c>
      <c r="O372">
        <v>310.72000000000003</v>
      </c>
      <c r="P372">
        <v>-2</v>
      </c>
      <c r="Q372">
        <f>IF(P372&lt;1, 1, P372)</f>
        <v>1</v>
      </c>
      <c r="R372">
        <v>5</v>
      </c>
      <c r="S372" t="str">
        <f>IF(OR(R372&lt;0,R372&gt;100),"invalid","Valid")</f>
        <v>Valid</v>
      </c>
      <c r="T372" t="s">
        <v>24</v>
      </c>
      <c r="U372" t="str">
        <f>PROPER(TRIM(T372))</f>
        <v>Pos</v>
      </c>
      <c r="V372" t="s">
        <v>41</v>
      </c>
      <c r="W372" t="str">
        <f t="shared" si="10"/>
        <v>Chi</v>
      </c>
      <c r="X372" t="s">
        <v>65</v>
      </c>
      <c r="Z372" t="str">
        <f>IF(D372="", "Missing", "ok")</f>
        <v>ok</v>
      </c>
      <c r="AA372">
        <f t="shared" si="11"/>
        <v>295.18400000000003</v>
      </c>
    </row>
    <row r="373" spans="1:27" x14ac:dyDescent="0.25">
      <c r="A373" t="s">
        <v>1072</v>
      </c>
      <c r="B373" s="1" t="s">
        <v>1073</v>
      </c>
      <c r="C373" t="s">
        <v>1074</v>
      </c>
      <c r="D373" t="s">
        <v>63</v>
      </c>
      <c r="E373" t="str">
        <f>PROPER(TRIM(D373))</f>
        <v>John</v>
      </c>
      <c r="F373" t="s">
        <v>46</v>
      </c>
      <c r="G373">
        <v>8</v>
      </c>
      <c r="H373" t="str">
        <f>IF(AND(G373&gt;18, G373&lt;65), "Valid", "Invalid")</f>
        <v>Invalid</v>
      </c>
      <c r="I373" t="s">
        <v>86</v>
      </c>
      <c r="J373" t="str">
        <f>PROPER(TRIM(I373))</f>
        <v>Kano</v>
      </c>
      <c r="K373" t="s">
        <v>87</v>
      </c>
      <c r="L373" t="str">
        <f>PROPER(TRIM(K373))</f>
        <v>Groceris</v>
      </c>
      <c r="M373" t="s">
        <v>49</v>
      </c>
      <c r="N373" t="str">
        <f>PROPER(TRIM(M373))</f>
        <v>Rice</v>
      </c>
      <c r="O373">
        <v>117.3</v>
      </c>
      <c r="P373">
        <v>-2</v>
      </c>
      <c r="Q373">
        <f>IF(P373&lt;1, 1, P373)</f>
        <v>1</v>
      </c>
      <c r="R373">
        <v>5</v>
      </c>
      <c r="S373" t="str">
        <f>IF(OR(R373&lt;0,R373&gt;100),"invalid","Valid")</f>
        <v>Valid</v>
      </c>
      <c r="T373" t="s">
        <v>77</v>
      </c>
      <c r="U373" t="str">
        <f>PROPER(TRIM(T373))</f>
        <v>Cash</v>
      </c>
      <c r="V373" t="s">
        <v>91</v>
      </c>
      <c r="W373" t="str">
        <f t="shared" si="10"/>
        <v>Ben</v>
      </c>
      <c r="X373" t="s">
        <v>26</v>
      </c>
      <c r="Y373">
        <v>3</v>
      </c>
      <c r="Z373" t="str">
        <f>IF(D373="", "Missing", "ok")</f>
        <v>ok</v>
      </c>
      <c r="AA373">
        <f t="shared" si="11"/>
        <v>111.43499999999999</v>
      </c>
    </row>
    <row r="374" spans="1:27" x14ac:dyDescent="0.25">
      <c r="A374" t="s">
        <v>1075</v>
      </c>
      <c r="B374" s="1" t="s">
        <v>178</v>
      </c>
      <c r="C374" t="s">
        <v>1076</v>
      </c>
      <c r="E374" t="str">
        <f>PROPER(TRIM(D374))</f>
        <v/>
      </c>
      <c r="F374" t="s">
        <v>20</v>
      </c>
      <c r="G374">
        <v>8</v>
      </c>
      <c r="H374" t="str">
        <f>IF(AND(G374&gt;18, G374&lt;65), "Valid", "Invalid")</f>
        <v>Invalid</v>
      </c>
      <c r="I374" t="s">
        <v>30</v>
      </c>
      <c r="J374" t="str">
        <f>PROPER(TRIM(I374))</f>
        <v>Lagos</v>
      </c>
      <c r="K374" t="s">
        <v>87</v>
      </c>
      <c r="L374" t="str">
        <f>PROPER(TRIM(K374))</f>
        <v>Groceris</v>
      </c>
      <c r="M374" t="s">
        <v>49</v>
      </c>
      <c r="N374" t="str">
        <f>PROPER(TRIM(M374))</f>
        <v>Rice</v>
      </c>
      <c r="O374">
        <v>281</v>
      </c>
      <c r="P374">
        <v>8</v>
      </c>
      <c r="Q374">
        <f>IF(P374&lt;1, 1, P374)</f>
        <v>8</v>
      </c>
      <c r="R374">
        <v>15</v>
      </c>
      <c r="S374" t="str">
        <f>IF(OR(R374&lt;0,R374&gt;100),"invalid","Valid")</f>
        <v>Valid</v>
      </c>
      <c r="T374" t="s">
        <v>77</v>
      </c>
      <c r="U374" t="str">
        <f>PROPER(TRIM(T374))</f>
        <v>Cash</v>
      </c>
      <c r="V374" t="s">
        <v>41</v>
      </c>
      <c r="W374" t="str">
        <f t="shared" si="10"/>
        <v>Chi</v>
      </c>
      <c r="X374" t="s">
        <v>33</v>
      </c>
      <c r="Y374">
        <v>5</v>
      </c>
      <c r="Z374" t="str">
        <f>IF(D374="", "Missing", "ok")</f>
        <v>Missing</v>
      </c>
      <c r="AA374">
        <f t="shared" si="11"/>
        <v>1910.8</v>
      </c>
    </row>
    <row r="375" spans="1:27" x14ac:dyDescent="0.25">
      <c r="A375" t="s">
        <v>1077</v>
      </c>
      <c r="B375" s="1" t="s">
        <v>461</v>
      </c>
      <c r="C375" t="s">
        <v>1078</v>
      </c>
      <c r="D375" t="s">
        <v>101</v>
      </c>
      <c r="E375" t="str">
        <f>PROPER(TRIM(D375))</f>
        <v>Grace</v>
      </c>
      <c r="F375" t="s">
        <v>46</v>
      </c>
      <c r="G375">
        <v>130</v>
      </c>
      <c r="H375" t="str">
        <f>IF(AND(G375&gt;18, G375&lt;65), "Valid", "Invalid")</f>
        <v>Invalid</v>
      </c>
      <c r="I375" t="s">
        <v>53</v>
      </c>
      <c r="J375" t="str">
        <f>PROPER(TRIM(I375))</f>
        <v>Lagos</v>
      </c>
      <c r="K375" t="s">
        <v>39</v>
      </c>
      <c r="L375" t="str">
        <f>PROPER(TRIM(K375))</f>
        <v>Electronics</v>
      </c>
      <c r="M375" t="s">
        <v>40</v>
      </c>
      <c r="N375" t="str">
        <f>PROPER(TRIM(M375))</f>
        <v>Phone</v>
      </c>
      <c r="O375">
        <v>376.17</v>
      </c>
      <c r="P375">
        <v>-2</v>
      </c>
      <c r="Q375">
        <f>IF(P375&lt;1, 1, P375)</f>
        <v>1</v>
      </c>
      <c r="R375">
        <v>120</v>
      </c>
      <c r="S375" t="str">
        <f>IF(OR(R375&lt;0,R375&gt;100),"invalid","Valid")</f>
        <v>invalid</v>
      </c>
      <c r="T375" t="s">
        <v>77</v>
      </c>
      <c r="U375" t="str">
        <f>PROPER(TRIM(T375))</f>
        <v>Cash</v>
      </c>
      <c r="V375" t="s">
        <v>25</v>
      </c>
      <c r="W375" t="str">
        <f t="shared" si="10"/>
        <v>Dan</v>
      </c>
      <c r="X375" t="s">
        <v>33</v>
      </c>
      <c r="Y375">
        <v>1</v>
      </c>
      <c r="Z375" t="str">
        <f>IF(D375="", "Missing", "ok")</f>
        <v>ok</v>
      </c>
      <c r="AA375">
        <f t="shared" si="11"/>
        <v>-75.23399999999998</v>
      </c>
    </row>
    <row r="376" spans="1:27" x14ac:dyDescent="0.25">
      <c r="A376" t="s">
        <v>1079</v>
      </c>
      <c r="B376" s="1" t="s">
        <v>1080</v>
      </c>
      <c r="C376" t="s">
        <v>1081</v>
      </c>
      <c r="D376" t="s">
        <v>117</v>
      </c>
      <c r="E376" t="str">
        <f>PROPER(TRIM(D376))</f>
        <v>David</v>
      </c>
      <c r="F376" t="s">
        <v>46</v>
      </c>
      <c r="G376">
        <v>130</v>
      </c>
      <c r="H376" t="str">
        <f>IF(AND(G376&gt;18, G376&lt;65), "Valid", "Invalid")</f>
        <v>Invalid</v>
      </c>
      <c r="I376" t="s">
        <v>38</v>
      </c>
      <c r="J376" t="str">
        <f>PROPER(TRIM(I376))</f>
        <v>Ph</v>
      </c>
      <c r="K376" t="s">
        <v>54</v>
      </c>
      <c r="L376" t="str">
        <f>PROPER(TRIM(K376))</f>
        <v>Home</v>
      </c>
      <c r="M376" t="s">
        <v>55</v>
      </c>
      <c r="N376" t="str">
        <f>PROPER(TRIM(M376))</f>
        <v>Chair</v>
      </c>
      <c r="O376">
        <v>255.59</v>
      </c>
      <c r="P376">
        <v>9</v>
      </c>
      <c r="Q376">
        <f>IF(P376&lt;1, 1, P376)</f>
        <v>9</v>
      </c>
      <c r="R376">
        <v>15</v>
      </c>
      <c r="S376" t="str">
        <f>IF(OR(R376&lt;0,R376&gt;100),"invalid","Valid")</f>
        <v>Valid</v>
      </c>
      <c r="U376" t="str">
        <f>PROPER(TRIM(T376))</f>
        <v/>
      </c>
      <c r="V376" t="s">
        <v>91</v>
      </c>
      <c r="W376" t="str">
        <f t="shared" si="10"/>
        <v>Ben</v>
      </c>
      <c r="X376" t="s">
        <v>33</v>
      </c>
      <c r="Y376">
        <v>2</v>
      </c>
      <c r="Z376" t="str">
        <f>IF(D376="", "Missing", "ok")</f>
        <v>ok</v>
      </c>
      <c r="AA376">
        <f t="shared" si="11"/>
        <v>1955.2634999999998</v>
      </c>
    </row>
    <row r="377" spans="1:27" x14ac:dyDescent="0.25">
      <c r="A377" t="s">
        <v>1082</v>
      </c>
      <c r="B377" s="1" t="s">
        <v>1083</v>
      </c>
      <c r="C377" t="s">
        <v>1084</v>
      </c>
      <c r="D377" t="s">
        <v>37</v>
      </c>
      <c r="E377" t="str">
        <f>PROPER(TRIM(D377))</f>
        <v>Aisha</v>
      </c>
      <c r="F377" t="s">
        <v>20</v>
      </c>
      <c r="G377">
        <v>130</v>
      </c>
      <c r="H377" t="str">
        <f>IF(AND(G377&gt;18, G377&lt;65), "Valid", "Invalid")</f>
        <v>Invalid</v>
      </c>
      <c r="I377" t="s">
        <v>70</v>
      </c>
      <c r="J377" t="str">
        <f>PROPER(TRIM(I377))</f>
        <v>Abuja</v>
      </c>
      <c r="K377" t="s">
        <v>121</v>
      </c>
      <c r="L377" t="str">
        <f>PROPER(TRIM(K377))</f>
        <v>Beauty</v>
      </c>
      <c r="M377" t="s">
        <v>122</v>
      </c>
      <c r="N377" t="str">
        <f>PROPER(TRIM(M377))</f>
        <v>Cream</v>
      </c>
      <c r="O377">
        <v>358.19</v>
      </c>
      <c r="P377">
        <v>4</v>
      </c>
      <c r="Q377">
        <f>IF(P377&lt;1, 1, P377)</f>
        <v>4</v>
      </c>
      <c r="R377">
        <v>10</v>
      </c>
      <c r="S377" t="str">
        <f>IF(OR(R377&lt;0,R377&gt;100),"invalid","Valid")</f>
        <v>Valid</v>
      </c>
      <c r="U377" t="str">
        <f>PROPER(TRIM(T377))</f>
        <v/>
      </c>
      <c r="V377" t="s">
        <v>41</v>
      </c>
      <c r="W377" t="str">
        <f t="shared" si="10"/>
        <v>Chi</v>
      </c>
      <c r="X377" t="s">
        <v>82</v>
      </c>
      <c r="Y377">
        <v>5</v>
      </c>
      <c r="Z377" t="str">
        <f>IF(D377="", "Missing", "ok")</f>
        <v>ok</v>
      </c>
      <c r="AA377">
        <f t="shared" si="11"/>
        <v>1289.4839999999999</v>
      </c>
    </row>
    <row r="378" spans="1:27" x14ac:dyDescent="0.25">
      <c r="A378" t="s">
        <v>1085</v>
      </c>
      <c r="B378" s="1" t="s">
        <v>1086</v>
      </c>
      <c r="C378" t="s">
        <v>1087</v>
      </c>
      <c r="D378" t="s">
        <v>19</v>
      </c>
      <c r="E378" t="str">
        <f>PROPER(TRIM(D378))</f>
        <v>Peter</v>
      </c>
      <c r="F378" t="s">
        <v>46</v>
      </c>
      <c r="G378">
        <v>8</v>
      </c>
      <c r="H378" t="str">
        <f>IF(AND(G378&gt;18, G378&lt;65), "Valid", "Invalid")</f>
        <v>Invalid</v>
      </c>
      <c r="I378" t="s">
        <v>86</v>
      </c>
      <c r="J378" t="str">
        <f>PROPER(TRIM(I378))</f>
        <v>Kano</v>
      </c>
      <c r="K378" t="s">
        <v>31</v>
      </c>
      <c r="L378" t="str">
        <f>PROPER(TRIM(K378))</f>
        <v>Sports</v>
      </c>
      <c r="M378" t="s">
        <v>32</v>
      </c>
      <c r="N378" t="str">
        <f>PROPER(TRIM(M378))</f>
        <v>Ball</v>
      </c>
      <c r="O378">
        <v>309.97000000000003</v>
      </c>
      <c r="P378">
        <v>-2</v>
      </c>
      <c r="Q378">
        <f>IF(P378&lt;1, 1, P378)</f>
        <v>1</v>
      </c>
      <c r="R378">
        <v>5</v>
      </c>
      <c r="S378" t="str">
        <f>IF(OR(R378&lt;0,R378&gt;100),"invalid","Valid")</f>
        <v>Valid</v>
      </c>
      <c r="U378" t="str">
        <f>PROPER(TRIM(T378))</f>
        <v/>
      </c>
      <c r="V378" t="s">
        <v>25</v>
      </c>
      <c r="W378" t="str">
        <f t="shared" si="10"/>
        <v>Dan</v>
      </c>
      <c r="X378" t="s">
        <v>26</v>
      </c>
      <c r="Z378" t="str">
        <f>IF(D378="", "Missing", "ok")</f>
        <v>ok</v>
      </c>
      <c r="AA378">
        <f t="shared" si="11"/>
        <v>294.47149999999999</v>
      </c>
    </row>
    <row r="379" spans="1:27" x14ac:dyDescent="0.25">
      <c r="A379" t="s">
        <v>1088</v>
      </c>
      <c r="B379" s="1" t="s">
        <v>1089</v>
      </c>
      <c r="C379" t="s">
        <v>1090</v>
      </c>
      <c r="D379" t="s">
        <v>101</v>
      </c>
      <c r="E379" t="str">
        <f>PROPER(TRIM(D379))</f>
        <v>Grace</v>
      </c>
      <c r="F379" t="s">
        <v>20</v>
      </c>
      <c r="G379">
        <v>21</v>
      </c>
      <c r="H379" t="str">
        <f>IF(AND(G379&gt;18, G379&lt;65), "Valid", "Invalid")</f>
        <v>Valid</v>
      </c>
      <c r="I379" t="s">
        <v>21</v>
      </c>
      <c r="J379" t="str">
        <f>PROPER(TRIM(I379))</f>
        <v>Lagos</v>
      </c>
      <c r="K379" t="s">
        <v>22</v>
      </c>
      <c r="L379" t="str">
        <f>PROPER(TRIM(K379))</f>
        <v>Fashion</v>
      </c>
      <c r="M379" t="s">
        <v>23</v>
      </c>
      <c r="N379" t="str">
        <f>PROPER(TRIM(M379))</f>
        <v>Shirt</v>
      </c>
      <c r="O379">
        <v>140.69999999999999</v>
      </c>
      <c r="P379">
        <v>9</v>
      </c>
      <c r="Q379">
        <f>IF(P379&lt;1, 1, P379)</f>
        <v>9</v>
      </c>
      <c r="R379">
        <v>15</v>
      </c>
      <c r="S379" t="str">
        <f>IF(OR(R379&lt;0,R379&gt;100),"invalid","Valid")</f>
        <v>Valid</v>
      </c>
      <c r="T379" t="s">
        <v>77</v>
      </c>
      <c r="U379" t="str">
        <f>PROPER(TRIM(T379))</f>
        <v>Cash</v>
      </c>
      <c r="V379" t="s">
        <v>25</v>
      </c>
      <c r="W379" t="str">
        <f t="shared" si="10"/>
        <v>Dan</v>
      </c>
      <c r="X379" t="s">
        <v>65</v>
      </c>
      <c r="Y379">
        <v>1</v>
      </c>
      <c r="Z379" t="str">
        <f>IF(D379="", "Missing", "ok")</f>
        <v>ok</v>
      </c>
      <c r="AA379">
        <f t="shared" si="11"/>
        <v>1076.355</v>
      </c>
    </row>
    <row r="380" spans="1:27" x14ac:dyDescent="0.25">
      <c r="A380" t="s">
        <v>1091</v>
      </c>
      <c r="B380" s="1" t="s">
        <v>1092</v>
      </c>
      <c r="C380" t="s">
        <v>1093</v>
      </c>
      <c r="D380" t="s">
        <v>63</v>
      </c>
      <c r="E380" t="str">
        <f>PROPER(TRIM(D380))</f>
        <v>John</v>
      </c>
      <c r="F380" t="s">
        <v>46</v>
      </c>
      <c r="G380">
        <v>40</v>
      </c>
      <c r="H380" t="str">
        <f>IF(AND(G380&gt;18, G380&lt;65), "Valid", "Invalid")</f>
        <v>Valid</v>
      </c>
      <c r="I380" t="s">
        <v>30</v>
      </c>
      <c r="J380" t="str">
        <f>PROPER(TRIM(I380))</f>
        <v>Lagos</v>
      </c>
      <c r="K380" t="s">
        <v>31</v>
      </c>
      <c r="L380" t="str">
        <f>PROPER(TRIM(K380))</f>
        <v>Sports</v>
      </c>
      <c r="M380" t="s">
        <v>32</v>
      </c>
      <c r="N380" t="str">
        <f>PROPER(TRIM(M380))</f>
        <v>Ball</v>
      </c>
      <c r="O380">
        <v>396.08</v>
      </c>
      <c r="P380">
        <v>-2</v>
      </c>
      <c r="Q380">
        <f>IF(P380&lt;1, 1, P380)</f>
        <v>1</v>
      </c>
      <c r="R380">
        <v>-10</v>
      </c>
      <c r="S380" t="str">
        <f>IF(OR(R380&lt;0,R380&gt;100),"invalid","Valid")</f>
        <v>invalid</v>
      </c>
      <c r="U380" t="str">
        <f>PROPER(TRIM(T380))</f>
        <v/>
      </c>
      <c r="V380" t="s">
        <v>41</v>
      </c>
      <c r="W380" t="str">
        <f t="shared" si="10"/>
        <v>Chi</v>
      </c>
      <c r="X380" t="s">
        <v>26</v>
      </c>
      <c r="Y380">
        <v>1</v>
      </c>
      <c r="Z380" t="str">
        <f>IF(D380="", "Missing", "ok")</f>
        <v>ok</v>
      </c>
      <c r="AA380">
        <f t="shared" si="11"/>
        <v>435.68800000000005</v>
      </c>
    </row>
    <row r="381" spans="1:27" x14ac:dyDescent="0.25">
      <c r="A381" t="s">
        <v>1094</v>
      </c>
      <c r="B381" s="1" t="s">
        <v>1095</v>
      </c>
      <c r="C381" t="s">
        <v>1096</v>
      </c>
      <c r="D381" t="s">
        <v>19</v>
      </c>
      <c r="E381" t="str">
        <f>PROPER(TRIM(D381))</f>
        <v>Peter</v>
      </c>
      <c r="F381" t="s">
        <v>20</v>
      </c>
      <c r="G381">
        <v>130</v>
      </c>
      <c r="H381" t="str">
        <f>IF(AND(G381&gt;18, G381&lt;65), "Valid", "Invalid")</f>
        <v>Invalid</v>
      </c>
      <c r="I381" t="s">
        <v>38</v>
      </c>
      <c r="J381" t="str">
        <f>PROPER(TRIM(I381))</f>
        <v>Ph</v>
      </c>
      <c r="K381" t="s">
        <v>39</v>
      </c>
      <c r="L381" t="str">
        <f>PROPER(TRIM(K381))</f>
        <v>Electronics</v>
      </c>
      <c r="M381" t="s">
        <v>40</v>
      </c>
      <c r="N381" t="str">
        <f>PROPER(TRIM(M381))</f>
        <v>Phone</v>
      </c>
      <c r="O381">
        <v>435.65</v>
      </c>
      <c r="P381">
        <v>-2</v>
      </c>
      <c r="Q381">
        <f>IF(P381&lt;1, 1, P381)</f>
        <v>1</v>
      </c>
      <c r="R381">
        <v>10</v>
      </c>
      <c r="S381" t="str">
        <f>IF(OR(R381&lt;0,R381&gt;100),"invalid","Valid")</f>
        <v>Valid</v>
      </c>
      <c r="U381" t="str">
        <f>PROPER(TRIM(T381))</f>
        <v/>
      </c>
      <c r="V381" t="s">
        <v>91</v>
      </c>
      <c r="W381" t="str">
        <f t="shared" si="10"/>
        <v>Ben</v>
      </c>
      <c r="X381" t="s">
        <v>26</v>
      </c>
      <c r="Y381">
        <v>5</v>
      </c>
      <c r="Z381" t="str">
        <f>IF(D381="", "Missing", "ok")</f>
        <v>ok</v>
      </c>
      <c r="AA381">
        <f t="shared" si="11"/>
        <v>392.08499999999998</v>
      </c>
    </row>
    <row r="382" spans="1:27" x14ac:dyDescent="0.25">
      <c r="A382" t="s">
        <v>1097</v>
      </c>
      <c r="B382" s="1" t="s">
        <v>1098</v>
      </c>
      <c r="C382" t="s">
        <v>1099</v>
      </c>
      <c r="D382" t="s">
        <v>69</v>
      </c>
      <c r="E382" t="str">
        <f>PROPER(TRIM(D382))</f>
        <v>Mary</v>
      </c>
      <c r="F382" t="s">
        <v>46</v>
      </c>
      <c r="G382">
        <v>34</v>
      </c>
      <c r="H382" t="str">
        <f>IF(AND(G382&gt;18, G382&lt;65), "Valid", "Invalid")</f>
        <v>Valid</v>
      </c>
      <c r="I382" t="s">
        <v>21</v>
      </c>
      <c r="J382" t="str">
        <f>PROPER(TRIM(I382))</f>
        <v>Lagos</v>
      </c>
      <c r="K382" t="s">
        <v>87</v>
      </c>
      <c r="L382" t="str">
        <f>PROPER(TRIM(K382))</f>
        <v>Groceris</v>
      </c>
      <c r="M382" t="s">
        <v>49</v>
      </c>
      <c r="N382" t="str">
        <f>PROPER(TRIM(M382))</f>
        <v>Rice</v>
      </c>
      <c r="O382">
        <v>209</v>
      </c>
      <c r="P382">
        <v>1</v>
      </c>
      <c r="Q382">
        <f>IF(P382&lt;1, 1, P382)</f>
        <v>1</v>
      </c>
      <c r="R382">
        <v>120</v>
      </c>
      <c r="S382" t="str">
        <f>IF(OR(R382&lt;0,R382&gt;100),"invalid","Valid")</f>
        <v>invalid</v>
      </c>
      <c r="U382" t="str">
        <f>PROPER(TRIM(T382))</f>
        <v/>
      </c>
      <c r="V382" t="s">
        <v>41</v>
      </c>
      <c r="W382" t="str">
        <f t="shared" si="10"/>
        <v>Chi</v>
      </c>
      <c r="X382" t="s">
        <v>65</v>
      </c>
      <c r="Y382">
        <v>3</v>
      </c>
      <c r="Z382" t="str">
        <f>IF(D382="", "Missing", "ok")</f>
        <v>ok</v>
      </c>
      <c r="AA382">
        <f t="shared" si="11"/>
        <v>-41.79999999999999</v>
      </c>
    </row>
    <row r="383" spans="1:27" x14ac:dyDescent="0.25">
      <c r="A383" t="s">
        <v>1100</v>
      </c>
      <c r="B383" s="1" t="s">
        <v>943</v>
      </c>
      <c r="C383" t="s">
        <v>1101</v>
      </c>
      <c r="D383" t="s">
        <v>19</v>
      </c>
      <c r="E383" t="str">
        <f>PROPER(TRIM(D383))</f>
        <v>Peter</v>
      </c>
      <c r="F383" t="s">
        <v>20</v>
      </c>
      <c r="G383">
        <v>23</v>
      </c>
      <c r="H383" t="str">
        <f>IF(AND(G383&gt;18, G383&lt;65), "Valid", "Invalid")</f>
        <v>Valid</v>
      </c>
      <c r="I383" t="s">
        <v>38</v>
      </c>
      <c r="J383" t="str">
        <f>PROPER(TRIM(I383))</f>
        <v>Ph</v>
      </c>
      <c r="K383" t="s">
        <v>48</v>
      </c>
      <c r="L383" t="str">
        <f>PROPER(TRIM(K383))</f>
        <v>Groceries</v>
      </c>
      <c r="M383" t="s">
        <v>49</v>
      </c>
      <c r="N383" t="str">
        <f>PROPER(TRIM(M383))</f>
        <v>Rice</v>
      </c>
      <c r="O383">
        <v>158.25</v>
      </c>
      <c r="P383">
        <v>1</v>
      </c>
      <c r="Q383">
        <f>IF(P383&lt;1, 1, P383)</f>
        <v>1</v>
      </c>
      <c r="R383">
        <v>10</v>
      </c>
      <c r="S383" t="str">
        <f>IF(OR(R383&lt;0,R383&gt;100),"invalid","Valid")</f>
        <v>Valid</v>
      </c>
      <c r="U383" t="str">
        <f>PROPER(TRIM(T383))</f>
        <v/>
      </c>
      <c r="V383" t="s">
        <v>81</v>
      </c>
      <c r="W383" t="str">
        <f t="shared" si="10"/>
        <v>Ada</v>
      </c>
      <c r="X383" t="s">
        <v>82</v>
      </c>
      <c r="Z383" t="str">
        <f>IF(D383="", "Missing", "ok")</f>
        <v>ok</v>
      </c>
      <c r="AA383">
        <f t="shared" si="11"/>
        <v>142.42500000000001</v>
      </c>
    </row>
    <row r="384" spans="1:27" x14ac:dyDescent="0.25">
      <c r="A384" t="s">
        <v>1102</v>
      </c>
      <c r="B384" s="1" t="s">
        <v>1103</v>
      </c>
      <c r="C384" t="s">
        <v>1104</v>
      </c>
      <c r="D384" t="s">
        <v>63</v>
      </c>
      <c r="E384" t="str">
        <f>PROPER(TRIM(D384))</f>
        <v>John</v>
      </c>
      <c r="F384" t="s">
        <v>20</v>
      </c>
      <c r="G384">
        <v>8</v>
      </c>
      <c r="H384" t="str">
        <f>IF(AND(G384&gt;18, G384&lt;65), "Valid", "Invalid")</f>
        <v>Invalid</v>
      </c>
      <c r="I384" t="s">
        <v>21</v>
      </c>
      <c r="J384" t="str">
        <f>PROPER(TRIM(I384))</f>
        <v>Lagos</v>
      </c>
      <c r="K384" t="s">
        <v>121</v>
      </c>
      <c r="L384" t="str">
        <f>PROPER(TRIM(K384))</f>
        <v>Beauty</v>
      </c>
      <c r="M384" t="s">
        <v>122</v>
      </c>
      <c r="N384" t="str">
        <f>PROPER(TRIM(M384))</f>
        <v>Cream</v>
      </c>
      <c r="O384">
        <v>428.28</v>
      </c>
      <c r="P384">
        <v>-2</v>
      </c>
      <c r="Q384">
        <f>IF(P384&lt;1, 1, P384)</f>
        <v>1</v>
      </c>
      <c r="R384">
        <v>120</v>
      </c>
      <c r="S384" t="str">
        <f>IF(OR(R384&lt;0,R384&gt;100),"invalid","Valid")</f>
        <v>invalid</v>
      </c>
      <c r="T384" t="s">
        <v>24</v>
      </c>
      <c r="U384" t="str">
        <f>PROPER(TRIM(T384))</f>
        <v>Pos</v>
      </c>
      <c r="V384" t="s">
        <v>91</v>
      </c>
      <c r="W384" t="str">
        <f t="shared" si="10"/>
        <v>Ben</v>
      </c>
      <c r="X384" t="s">
        <v>82</v>
      </c>
      <c r="Y384">
        <v>3</v>
      </c>
      <c r="Z384" t="str">
        <f>IF(D384="", "Missing", "ok")</f>
        <v>ok</v>
      </c>
      <c r="AA384">
        <f t="shared" si="11"/>
        <v>-85.655999999999977</v>
      </c>
    </row>
    <row r="385" spans="1:27" x14ac:dyDescent="0.25">
      <c r="A385" t="s">
        <v>1105</v>
      </c>
      <c r="B385" s="1" t="s">
        <v>820</v>
      </c>
      <c r="C385" t="s">
        <v>1106</v>
      </c>
      <c r="E385" t="str">
        <f>PROPER(TRIM(D385))</f>
        <v/>
      </c>
      <c r="F385" t="s">
        <v>46</v>
      </c>
      <c r="G385">
        <v>26</v>
      </c>
      <c r="H385" t="str">
        <f>IF(AND(G385&gt;18, G385&lt;65), "Valid", "Invalid")</f>
        <v>Valid</v>
      </c>
      <c r="I385" t="s">
        <v>86</v>
      </c>
      <c r="J385" t="str">
        <f>PROPER(TRIM(I385))</f>
        <v>Kano</v>
      </c>
      <c r="K385" t="s">
        <v>22</v>
      </c>
      <c r="L385" t="str">
        <f>PROPER(TRIM(K385))</f>
        <v>Fashion</v>
      </c>
      <c r="M385" t="s">
        <v>23</v>
      </c>
      <c r="N385" t="str">
        <f>PROPER(TRIM(M385))</f>
        <v>Shirt</v>
      </c>
      <c r="O385">
        <v>254.75</v>
      </c>
      <c r="P385">
        <v>5</v>
      </c>
      <c r="Q385">
        <f>IF(P385&lt;1, 1, P385)</f>
        <v>5</v>
      </c>
      <c r="R385">
        <v>-10</v>
      </c>
      <c r="S385" t="str">
        <f>IF(OR(R385&lt;0,R385&gt;100),"invalid","Valid")</f>
        <v>invalid</v>
      </c>
      <c r="T385" t="s">
        <v>77</v>
      </c>
      <c r="U385" t="str">
        <f>PROPER(TRIM(T385))</f>
        <v>Cash</v>
      </c>
      <c r="V385" t="s">
        <v>81</v>
      </c>
      <c r="W385" t="str">
        <f t="shared" si="10"/>
        <v>Ada</v>
      </c>
      <c r="X385" t="s">
        <v>82</v>
      </c>
      <c r="Y385">
        <v>4</v>
      </c>
      <c r="Z385" t="str">
        <f>IF(D385="", "Missing", "ok")</f>
        <v>Missing</v>
      </c>
      <c r="AA385">
        <f t="shared" si="11"/>
        <v>1401.125</v>
      </c>
    </row>
    <row r="386" spans="1:27" x14ac:dyDescent="0.25">
      <c r="A386" t="s">
        <v>1107</v>
      </c>
      <c r="B386" s="1" t="s">
        <v>708</v>
      </c>
      <c r="C386" t="s">
        <v>1108</v>
      </c>
      <c r="D386" t="s">
        <v>19</v>
      </c>
      <c r="E386" t="str">
        <f>PROPER(TRIM(D386))</f>
        <v>Peter</v>
      </c>
      <c r="F386" t="s">
        <v>20</v>
      </c>
      <c r="G386">
        <v>130</v>
      </c>
      <c r="H386" t="str">
        <f>IF(AND(G386&gt;18, G386&lt;65), "Valid", "Invalid")</f>
        <v>Invalid</v>
      </c>
      <c r="I386" t="s">
        <v>53</v>
      </c>
      <c r="J386" t="str">
        <f>PROPER(TRIM(I386))</f>
        <v>Lagos</v>
      </c>
      <c r="K386" t="s">
        <v>54</v>
      </c>
      <c r="L386" t="str">
        <f>PROPER(TRIM(K386))</f>
        <v>Home</v>
      </c>
      <c r="M386" t="s">
        <v>55</v>
      </c>
      <c r="N386" t="str">
        <f>PROPER(TRIM(M386))</f>
        <v>Chair</v>
      </c>
      <c r="O386">
        <v>312.45</v>
      </c>
      <c r="P386">
        <v>7</v>
      </c>
      <c r="Q386">
        <f>IF(P386&lt;1, 1, P386)</f>
        <v>7</v>
      </c>
      <c r="R386">
        <v>0</v>
      </c>
      <c r="S386" t="str">
        <f>IF(OR(R386&lt;0,R386&gt;100),"invalid","Valid")</f>
        <v>Valid</v>
      </c>
      <c r="T386" t="s">
        <v>77</v>
      </c>
      <c r="U386" t="str">
        <f>PROPER(TRIM(T386))</f>
        <v>Cash</v>
      </c>
      <c r="V386" t="s">
        <v>91</v>
      </c>
      <c r="W386" t="str">
        <f t="shared" ref="W386:W449" si="12">PROPER(TRIM(V386))</f>
        <v>Ben</v>
      </c>
      <c r="X386" t="s">
        <v>82</v>
      </c>
      <c r="Y386">
        <v>4</v>
      </c>
      <c r="Z386" t="str">
        <f>IF(D386="", "Missing", "ok")</f>
        <v>ok</v>
      </c>
      <c r="AA386">
        <f t="shared" si="11"/>
        <v>2187.15</v>
      </c>
    </row>
    <row r="387" spans="1:27" x14ac:dyDescent="0.25">
      <c r="A387" t="s">
        <v>1109</v>
      </c>
      <c r="B387" s="1" t="s">
        <v>568</v>
      </c>
      <c r="C387" t="s">
        <v>1110</v>
      </c>
      <c r="D387" t="s">
        <v>45</v>
      </c>
      <c r="E387" t="str">
        <f>PROPER(TRIM(D387))</f>
        <v>James</v>
      </c>
      <c r="F387" t="s">
        <v>20</v>
      </c>
      <c r="G387">
        <v>130</v>
      </c>
      <c r="H387" t="str">
        <f>IF(AND(G387&gt;18, G387&lt;65), "Valid", "Invalid")</f>
        <v>Invalid</v>
      </c>
      <c r="I387" t="s">
        <v>21</v>
      </c>
      <c r="J387" t="str">
        <f>PROPER(TRIM(I387))</f>
        <v>Lagos</v>
      </c>
      <c r="K387" t="s">
        <v>31</v>
      </c>
      <c r="L387" t="str">
        <f>PROPER(TRIM(K387))</f>
        <v>Sports</v>
      </c>
      <c r="M387" t="s">
        <v>32</v>
      </c>
      <c r="N387" t="str">
        <f>PROPER(TRIM(M387))</f>
        <v>Ball</v>
      </c>
      <c r="O387">
        <v>78.42</v>
      </c>
      <c r="P387">
        <v>9</v>
      </c>
      <c r="Q387">
        <f>IF(P387&lt;1, 1, P387)</f>
        <v>9</v>
      </c>
      <c r="R387">
        <v>5</v>
      </c>
      <c r="S387" t="str">
        <f>IF(OR(R387&lt;0,R387&gt;100),"invalid","Valid")</f>
        <v>Valid</v>
      </c>
      <c r="U387" t="str">
        <f>PROPER(TRIM(T387))</f>
        <v/>
      </c>
      <c r="V387" t="s">
        <v>81</v>
      </c>
      <c r="W387" t="str">
        <f t="shared" si="12"/>
        <v>Ada</v>
      </c>
      <c r="X387" t="s">
        <v>82</v>
      </c>
      <c r="Y387">
        <v>1</v>
      </c>
      <c r="Z387" t="str">
        <f>IF(D387="", "Missing", "ok")</f>
        <v>ok</v>
      </c>
      <c r="AA387">
        <f t="shared" ref="AA387:AA450" si="13">(O387*Q387)*(1-R387/100)</f>
        <v>670.49099999999999</v>
      </c>
    </row>
    <row r="388" spans="1:27" x14ac:dyDescent="0.25">
      <c r="A388" t="s">
        <v>1111</v>
      </c>
      <c r="B388" s="1" t="s">
        <v>911</v>
      </c>
      <c r="C388" t="s">
        <v>1112</v>
      </c>
      <c r="D388" t="s">
        <v>19</v>
      </c>
      <c r="E388" t="str">
        <f>PROPER(TRIM(D388))</f>
        <v>Peter</v>
      </c>
      <c r="F388" t="s">
        <v>46</v>
      </c>
      <c r="G388">
        <v>130</v>
      </c>
      <c r="H388" t="str">
        <f>IF(AND(G388&gt;18, G388&lt;65), "Valid", "Invalid")</f>
        <v>Invalid</v>
      </c>
      <c r="I388" t="s">
        <v>38</v>
      </c>
      <c r="J388" t="str">
        <f>PROPER(TRIM(I388))</f>
        <v>Ph</v>
      </c>
      <c r="K388" t="s">
        <v>22</v>
      </c>
      <c r="L388" t="str">
        <f>PROPER(TRIM(K388))</f>
        <v>Fashion</v>
      </c>
      <c r="M388" t="s">
        <v>23</v>
      </c>
      <c r="N388" t="str">
        <f>PROPER(TRIM(M388))</f>
        <v>Shirt</v>
      </c>
      <c r="O388">
        <v>150.21</v>
      </c>
      <c r="P388">
        <v>-2</v>
      </c>
      <c r="Q388">
        <f>IF(P388&lt;1, 1, P388)</f>
        <v>1</v>
      </c>
      <c r="R388">
        <v>5</v>
      </c>
      <c r="S388" t="str">
        <f>IF(OR(R388&lt;0,R388&gt;100),"invalid","Valid")</f>
        <v>Valid</v>
      </c>
      <c r="T388" t="s">
        <v>24</v>
      </c>
      <c r="U388" t="str">
        <f>PROPER(TRIM(T388))</f>
        <v>Pos</v>
      </c>
      <c r="V388" t="s">
        <v>25</v>
      </c>
      <c r="W388" t="str">
        <f t="shared" si="12"/>
        <v>Dan</v>
      </c>
      <c r="X388" t="s">
        <v>33</v>
      </c>
      <c r="Y388">
        <v>3</v>
      </c>
      <c r="Z388" t="str">
        <f>IF(D388="", "Missing", "ok")</f>
        <v>ok</v>
      </c>
      <c r="AA388">
        <f t="shared" si="13"/>
        <v>142.6995</v>
      </c>
    </row>
    <row r="389" spans="1:27" x14ac:dyDescent="0.25">
      <c r="A389" t="s">
        <v>1113</v>
      </c>
      <c r="B389" s="1" t="s">
        <v>1114</v>
      </c>
      <c r="C389" t="s">
        <v>1115</v>
      </c>
      <c r="D389" t="s">
        <v>63</v>
      </c>
      <c r="E389" t="str">
        <f>PROPER(TRIM(D389))</f>
        <v>John</v>
      </c>
      <c r="F389" t="s">
        <v>20</v>
      </c>
      <c r="G389">
        <v>130</v>
      </c>
      <c r="H389" t="str">
        <f>IF(AND(G389&gt;18, G389&lt;65), "Valid", "Invalid")</f>
        <v>Invalid</v>
      </c>
      <c r="I389" t="s">
        <v>86</v>
      </c>
      <c r="J389" t="str">
        <f>PROPER(TRIM(I389))</f>
        <v>Kano</v>
      </c>
      <c r="K389" t="s">
        <v>54</v>
      </c>
      <c r="L389" t="str">
        <f>PROPER(TRIM(K389))</f>
        <v>Home</v>
      </c>
      <c r="M389" t="s">
        <v>55</v>
      </c>
      <c r="N389" t="str">
        <f>PROPER(TRIM(M389))</f>
        <v>Chair</v>
      </c>
      <c r="O389">
        <v>205.39</v>
      </c>
      <c r="P389">
        <v>6</v>
      </c>
      <c r="Q389">
        <f>IF(P389&lt;1, 1, P389)</f>
        <v>6</v>
      </c>
      <c r="R389">
        <v>10</v>
      </c>
      <c r="S389" t="str">
        <f>IF(OR(R389&lt;0,R389&gt;100),"invalid","Valid")</f>
        <v>Valid</v>
      </c>
      <c r="T389" t="s">
        <v>59</v>
      </c>
      <c r="U389" t="str">
        <f>PROPER(TRIM(T389))</f>
        <v>Mobile Money</v>
      </c>
      <c r="V389" t="s">
        <v>25</v>
      </c>
      <c r="W389" t="str">
        <f t="shared" si="12"/>
        <v>Dan</v>
      </c>
      <c r="X389" t="s">
        <v>65</v>
      </c>
      <c r="Y389">
        <v>3</v>
      </c>
      <c r="Z389" t="str">
        <f>IF(D389="", "Missing", "ok")</f>
        <v>ok</v>
      </c>
      <c r="AA389">
        <f t="shared" si="13"/>
        <v>1109.106</v>
      </c>
    </row>
    <row r="390" spans="1:27" x14ac:dyDescent="0.25">
      <c r="A390" t="s">
        <v>1116</v>
      </c>
      <c r="B390" s="1" t="s">
        <v>1117</v>
      </c>
      <c r="C390" t="s">
        <v>1118</v>
      </c>
      <c r="D390" t="s">
        <v>63</v>
      </c>
      <c r="E390" t="str">
        <f>PROPER(TRIM(D390))</f>
        <v>John</v>
      </c>
      <c r="F390" t="s">
        <v>20</v>
      </c>
      <c r="G390">
        <v>130</v>
      </c>
      <c r="H390" t="str">
        <f>IF(AND(G390&gt;18, G390&lt;65), "Valid", "Invalid")</f>
        <v>Invalid</v>
      </c>
      <c r="I390" t="s">
        <v>47</v>
      </c>
      <c r="J390" t="str">
        <f>PROPER(TRIM(I390))</f>
        <v>Enugu</v>
      </c>
      <c r="K390" t="s">
        <v>22</v>
      </c>
      <c r="L390" t="str">
        <f>PROPER(TRIM(K390))</f>
        <v>Fashion</v>
      </c>
      <c r="M390" t="s">
        <v>23</v>
      </c>
      <c r="N390" t="str">
        <f>PROPER(TRIM(M390))</f>
        <v>Shirt</v>
      </c>
      <c r="O390">
        <v>145.66999999999999</v>
      </c>
      <c r="P390">
        <v>9</v>
      </c>
      <c r="Q390">
        <f>IF(P390&lt;1, 1, P390)</f>
        <v>9</v>
      </c>
      <c r="R390">
        <v>15</v>
      </c>
      <c r="S390" t="str">
        <f>IF(OR(R390&lt;0,R390&gt;100),"invalid","Valid")</f>
        <v>Valid</v>
      </c>
      <c r="U390" t="str">
        <f>PROPER(TRIM(T390))</f>
        <v/>
      </c>
      <c r="V390" t="s">
        <v>41</v>
      </c>
      <c r="W390" t="str">
        <f t="shared" si="12"/>
        <v>Chi</v>
      </c>
      <c r="X390" t="s">
        <v>26</v>
      </c>
      <c r="Z390" t="str">
        <f>IF(D390="", "Missing", "ok")</f>
        <v>ok</v>
      </c>
      <c r="AA390">
        <f t="shared" si="13"/>
        <v>1114.3754999999999</v>
      </c>
    </row>
    <row r="391" spans="1:27" x14ac:dyDescent="0.25">
      <c r="A391" t="s">
        <v>1119</v>
      </c>
      <c r="B391" s="1" t="s">
        <v>1120</v>
      </c>
      <c r="C391" t="s">
        <v>1121</v>
      </c>
      <c r="D391" t="s">
        <v>117</v>
      </c>
      <c r="E391" t="str">
        <f>PROPER(TRIM(D391))</f>
        <v>David</v>
      </c>
      <c r="F391" t="s">
        <v>46</v>
      </c>
      <c r="G391">
        <v>8</v>
      </c>
      <c r="H391" t="str">
        <f>IF(AND(G391&gt;18, G391&lt;65), "Valid", "Invalid")</f>
        <v>Invalid</v>
      </c>
      <c r="I391" t="s">
        <v>30</v>
      </c>
      <c r="J391" t="str">
        <f>PROPER(TRIM(I391))</f>
        <v>Lagos</v>
      </c>
      <c r="K391" t="s">
        <v>48</v>
      </c>
      <c r="L391" t="str">
        <f>PROPER(TRIM(K391))</f>
        <v>Groceries</v>
      </c>
      <c r="M391" t="s">
        <v>49</v>
      </c>
      <c r="N391" t="str">
        <f>PROPER(TRIM(M391))</f>
        <v>Rice</v>
      </c>
      <c r="O391">
        <v>182.22</v>
      </c>
      <c r="P391">
        <v>10</v>
      </c>
      <c r="Q391">
        <f>IF(P391&lt;1, 1, P391)</f>
        <v>10</v>
      </c>
      <c r="R391">
        <v>15</v>
      </c>
      <c r="S391" t="str">
        <f>IF(OR(R391&lt;0,R391&gt;100),"invalid","Valid")</f>
        <v>Valid</v>
      </c>
      <c r="U391" t="str">
        <f>PROPER(TRIM(T391))</f>
        <v/>
      </c>
      <c r="V391" t="s">
        <v>25</v>
      </c>
      <c r="W391" t="str">
        <f t="shared" si="12"/>
        <v>Dan</v>
      </c>
      <c r="X391" t="s">
        <v>26</v>
      </c>
      <c r="Y391">
        <v>1</v>
      </c>
      <c r="Z391" t="str">
        <f>IF(D391="", "Missing", "ok")</f>
        <v>ok</v>
      </c>
      <c r="AA391">
        <f t="shared" si="13"/>
        <v>1548.87</v>
      </c>
    </row>
    <row r="392" spans="1:27" x14ac:dyDescent="0.25">
      <c r="A392" t="s">
        <v>1122</v>
      </c>
      <c r="B392" s="1" t="s">
        <v>794</v>
      </c>
      <c r="C392" t="s">
        <v>1123</v>
      </c>
      <c r="D392" t="s">
        <v>63</v>
      </c>
      <c r="E392" t="str">
        <f>PROPER(TRIM(D392))</f>
        <v>John</v>
      </c>
      <c r="F392" t="s">
        <v>46</v>
      </c>
      <c r="G392">
        <v>30</v>
      </c>
      <c r="H392" t="str">
        <f>IF(AND(G392&gt;18, G392&lt;65), "Valid", "Invalid")</f>
        <v>Valid</v>
      </c>
      <c r="I392" t="s">
        <v>53</v>
      </c>
      <c r="J392" t="str">
        <f>PROPER(TRIM(I392))</f>
        <v>Lagos</v>
      </c>
      <c r="K392" t="s">
        <v>48</v>
      </c>
      <c r="L392" t="str">
        <f>PROPER(TRIM(K392))</f>
        <v>Groceries</v>
      </c>
      <c r="M392" t="s">
        <v>49</v>
      </c>
      <c r="N392" t="str">
        <f>PROPER(TRIM(M392))</f>
        <v>Rice</v>
      </c>
      <c r="O392">
        <v>376.62</v>
      </c>
      <c r="P392">
        <v>-2</v>
      </c>
      <c r="Q392">
        <f>IF(P392&lt;1, 1, P392)</f>
        <v>1</v>
      </c>
      <c r="R392">
        <v>10</v>
      </c>
      <c r="S392" t="str">
        <f>IF(OR(R392&lt;0,R392&gt;100),"invalid","Valid")</f>
        <v>Valid</v>
      </c>
      <c r="T392" t="s">
        <v>77</v>
      </c>
      <c r="U392" t="str">
        <f>PROPER(TRIM(T392))</f>
        <v>Cash</v>
      </c>
      <c r="V392" t="s">
        <v>81</v>
      </c>
      <c r="W392" t="str">
        <f t="shared" si="12"/>
        <v>Ada</v>
      </c>
      <c r="X392" t="s">
        <v>82</v>
      </c>
      <c r="Y392">
        <v>2</v>
      </c>
      <c r="Z392" t="str">
        <f>IF(D392="", "Missing", "ok")</f>
        <v>ok</v>
      </c>
      <c r="AA392">
        <f t="shared" si="13"/>
        <v>338.95800000000003</v>
      </c>
    </row>
    <row r="393" spans="1:27" x14ac:dyDescent="0.25">
      <c r="A393" t="s">
        <v>1124</v>
      </c>
      <c r="B393" s="1" t="s">
        <v>568</v>
      </c>
      <c r="C393" t="s">
        <v>1125</v>
      </c>
      <c r="D393" t="s">
        <v>37</v>
      </c>
      <c r="E393" t="str">
        <f>PROPER(TRIM(D393))</f>
        <v>Aisha</v>
      </c>
      <c r="F393" t="s">
        <v>20</v>
      </c>
      <c r="G393">
        <v>8</v>
      </c>
      <c r="H393" t="str">
        <f>IF(AND(G393&gt;18, G393&lt;65), "Valid", "Invalid")</f>
        <v>Invalid</v>
      </c>
      <c r="I393" t="s">
        <v>21</v>
      </c>
      <c r="J393" t="str">
        <f>PROPER(TRIM(I393))</f>
        <v>Lagos</v>
      </c>
      <c r="K393" t="s">
        <v>31</v>
      </c>
      <c r="L393" t="str">
        <f>PROPER(TRIM(K393))</f>
        <v>Sports</v>
      </c>
      <c r="M393" t="s">
        <v>32</v>
      </c>
      <c r="N393" t="str">
        <f>PROPER(TRIM(M393))</f>
        <v>Ball</v>
      </c>
      <c r="O393">
        <v>141.85</v>
      </c>
      <c r="P393">
        <v>6</v>
      </c>
      <c r="Q393">
        <f>IF(P393&lt;1, 1, P393)</f>
        <v>6</v>
      </c>
      <c r="R393">
        <v>120</v>
      </c>
      <c r="S393" t="str">
        <f>IF(OR(R393&lt;0,R393&gt;100),"invalid","Valid")</f>
        <v>invalid</v>
      </c>
      <c r="T393" t="s">
        <v>24</v>
      </c>
      <c r="U393" t="str">
        <f>PROPER(TRIM(T393))</f>
        <v>Pos</v>
      </c>
      <c r="V393" t="s">
        <v>91</v>
      </c>
      <c r="W393" t="str">
        <f t="shared" si="12"/>
        <v>Ben</v>
      </c>
      <c r="X393" t="s">
        <v>65</v>
      </c>
      <c r="Y393">
        <v>4</v>
      </c>
      <c r="Z393" t="str">
        <f>IF(D393="", "Missing", "ok")</f>
        <v>ok</v>
      </c>
      <c r="AA393">
        <f t="shared" si="13"/>
        <v>-170.21999999999994</v>
      </c>
    </row>
    <row r="394" spans="1:27" x14ac:dyDescent="0.25">
      <c r="A394" t="s">
        <v>1126</v>
      </c>
      <c r="B394" s="1" t="s">
        <v>1127</v>
      </c>
      <c r="C394" t="s">
        <v>1128</v>
      </c>
      <c r="D394" t="s">
        <v>19</v>
      </c>
      <c r="E394" t="str">
        <f>PROPER(TRIM(D394))</f>
        <v>Peter</v>
      </c>
      <c r="F394" t="s">
        <v>20</v>
      </c>
      <c r="G394">
        <v>48</v>
      </c>
      <c r="H394" t="str">
        <f>IF(AND(G394&gt;18, G394&lt;65), "Valid", "Invalid")</f>
        <v>Valid</v>
      </c>
      <c r="I394" t="s">
        <v>53</v>
      </c>
      <c r="J394" t="str">
        <f>PROPER(TRIM(I394))</f>
        <v>Lagos</v>
      </c>
      <c r="K394" t="s">
        <v>87</v>
      </c>
      <c r="L394" t="str">
        <f>PROPER(TRIM(K394))</f>
        <v>Groceris</v>
      </c>
      <c r="M394" t="s">
        <v>49</v>
      </c>
      <c r="N394" t="str">
        <f>PROPER(TRIM(M394))</f>
        <v>Rice</v>
      </c>
      <c r="O394">
        <v>462.99</v>
      </c>
      <c r="P394">
        <v>1</v>
      </c>
      <c r="Q394">
        <f>IF(P394&lt;1, 1, P394)</f>
        <v>1</v>
      </c>
      <c r="R394">
        <v>120</v>
      </c>
      <c r="S394" t="str">
        <f>IF(OR(R394&lt;0,R394&gt;100),"invalid","Valid")</f>
        <v>invalid</v>
      </c>
      <c r="T394" t="s">
        <v>59</v>
      </c>
      <c r="U394" t="str">
        <f>PROPER(TRIM(T394))</f>
        <v>Mobile Money</v>
      </c>
      <c r="V394" t="s">
        <v>91</v>
      </c>
      <c r="W394" t="str">
        <f t="shared" si="12"/>
        <v>Ben</v>
      </c>
      <c r="X394" t="s">
        <v>82</v>
      </c>
      <c r="Y394">
        <v>2</v>
      </c>
      <c r="Z394" t="str">
        <f>IF(D394="", "Missing", "ok")</f>
        <v>ok</v>
      </c>
      <c r="AA394">
        <f t="shared" si="13"/>
        <v>-92.597999999999985</v>
      </c>
    </row>
    <row r="395" spans="1:27" x14ac:dyDescent="0.25">
      <c r="A395" t="s">
        <v>1129</v>
      </c>
      <c r="B395" s="1" t="s">
        <v>1130</v>
      </c>
      <c r="C395" t="s">
        <v>1131</v>
      </c>
      <c r="D395" t="s">
        <v>45</v>
      </c>
      <c r="E395" t="str">
        <f>PROPER(TRIM(D395))</f>
        <v>James</v>
      </c>
      <c r="F395" t="s">
        <v>20</v>
      </c>
      <c r="G395">
        <v>25</v>
      </c>
      <c r="H395" t="str">
        <f>IF(AND(G395&gt;18, G395&lt;65), "Valid", "Invalid")</f>
        <v>Valid</v>
      </c>
      <c r="I395" t="s">
        <v>38</v>
      </c>
      <c r="J395" t="str">
        <f>PROPER(TRIM(I395))</f>
        <v>Ph</v>
      </c>
      <c r="K395" t="s">
        <v>31</v>
      </c>
      <c r="L395" t="str">
        <f>PROPER(TRIM(K395))</f>
        <v>Sports</v>
      </c>
      <c r="M395" t="s">
        <v>32</v>
      </c>
      <c r="N395" t="str">
        <f>PROPER(TRIM(M395))</f>
        <v>Ball</v>
      </c>
      <c r="O395">
        <v>211.77</v>
      </c>
      <c r="P395">
        <v>7</v>
      </c>
      <c r="Q395">
        <f>IF(P395&lt;1, 1, P395)</f>
        <v>7</v>
      </c>
      <c r="R395">
        <v>-10</v>
      </c>
      <c r="S395" t="str">
        <f>IF(OR(R395&lt;0,R395&gt;100),"invalid","Valid")</f>
        <v>invalid</v>
      </c>
      <c r="T395" t="s">
        <v>64</v>
      </c>
      <c r="U395" t="str">
        <f>PROPER(TRIM(T395))</f>
        <v>Transfer</v>
      </c>
      <c r="V395" t="s">
        <v>25</v>
      </c>
      <c r="W395" t="str">
        <f t="shared" si="12"/>
        <v>Dan</v>
      </c>
      <c r="X395" t="s">
        <v>33</v>
      </c>
      <c r="Y395">
        <v>4</v>
      </c>
      <c r="Z395" t="str">
        <f>IF(D395="", "Missing", "ok")</f>
        <v>ok</v>
      </c>
      <c r="AA395">
        <f t="shared" si="13"/>
        <v>1630.6290000000001</v>
      </c>
    </row>
    <row r="396" spans="1:27" x14ac:dyDescent="0.25">
      <c r="A396" t="s">
        <v>1132</v>
      </c>
      <c r="B396" s="1" t="s">
        <v>1117</v>
      </c>
      <c r="C396" t="s">
        <v>1133</v>
      </c>
      <c r="D396" t="s">
        <v>117</v>
      </c>
      <c r="E396" t="str">
        <f>PROPER(TRIM(D396))</f>
        <v>David</v>
      </c>
      <c r="F396" t="s">
        <v>46</v>
      </c>
      <c r="G396">
        <v>21</v>
      </c>
      <c r="H396" t="str">
        <f>IF(AND(G396&gt;18, G396&lt;65), "Valid", "Invalid")</f>
        <v>Valid</v>
      </c>
      <c r="I396" t="s">
        <v>53</v>
      </c>
      <c r="J396" t="str">
        <f>PROPER(TRIM(I396))</f>
        <v>Lagos</v>
      </c>
      <c r="K396" t="s">
        <v>22</v>
      </c>
      <c r="L396" t="str">
        <f>PROPER(TRIM(K396))</f>
        <v>Fashion</v>
      </c>
      <c r="M396" t="s">
        <v>23</v>
      </c>
      <c r="N396" t="str">
        <f>PROPER(TRIM(M396))</f>
        <v>Shirt</v>
      </c>
      <c r="O396">
        <v>98.25</v>
      </c>
      <c r="P396">
        <v>-2</v>
      </c>
      <c r="Q396">
        <f>IF(P396&lt;1, 1, P396)</f>
        <v>1</v>
      </c>
      <c r="R396">
        <v>-10</v>
      </c>
      <c r="S396" t="str">
        <f>IF(OR(R396&lt;0,R396&gt;100),"invalid","Valid")</f>
        <v>invalid</v>
      </c>
      <c r="T396" t="s">
        <v>64</v>
      </c>
      <c r="U396" t="str">
        <f>PROPER(TRIM(T396))</f>
        <v>Transfer</v>
      </c>
      <c r="V396" t="s">
        <v>25</v>
      </c>
      <c r="W396" t="str">
        <f t="shared" si="12"/>
        <v>Dan</v>
      </c>
      <c r="X396" t="s">
        <v>26</v>
      </c>
      <c r="Y396">
        <v>4</v>
      </c>
      <c r="Z396" t="str">
        <f>IF(D396="", "Missing", "ok")</f>
        <v>ok</v>
      </c>
      <c r="AA396">
        <f t="shared" si="13"/>
        <v>108.075</v>
      </c>
    </row>
    <row r="397" spans="1:27" x14ac:dyDescent="0.25">
      <c r="A397" t="s">
        <v>1134</v>
      </c>
      <c r="B397" s="1" t="s">
        <v>1135</v>
      </c>
      <c r="C397" t="s">
        <v>994</v>
      </c>
      <c r="D397" t="s">
        <v>37</v>
      </c>
      <c r="E397" t="str">
        <f>PROPER(TRIM(D397))</f>
        <v>Aisha</v>
      </c>
      <c r="F397" t="s">
        <v>20</v>
      </c>
      <c r="G397">
        <v>130</v>
      </c>
      <c r="H397" t="str">
        <f>IF(AND(G397&gt;18, G397&lt;65), "Valid", "Invalid")</f>
        <v>Invalid</v>
      </c>
      <c r="I397" t="s">
        <v>70</v>
      </c>
      <c r="J397" t="str">
        <f>PROPER(TRIM(I397))</f>
        <v>Abuja</v>
      </c>
      <c r="K397" t="s">
        <v>39</v>
      </c>
      <c r="L397" t="str">
        <f>PROPER(TRIM(K397))</f>
        <v>Electronics</v>
      </c>
      <c r="M397" t="s">
        <v>40</v>
      </c>
      <c r="N397" t="str">
        <f>PROPER(TRIM(M397))</f>
        <v>Phone</v>
      </c>
      <c r="O397">
        <v>345.05</v>
      </c>
      <c r="P397">
        <v>-2</v>
      </c>
      <c r="Q397">
        <f>IF(P397&lt;1, 1, P397)</f>
        <v>1</v>
      </c>
      <c r="R397">
        <v>10</v>
      </c>
      <c r="S397" t="str">
        <f>IF(OR(R397&lt;0,R397&gt;100),"invalid","Valid")</f>
        <v>Valid</v>
      </c>
      <c r="T397" t="s">
        <v>77</v>
      </c>
      <c r="U397" t="str">
        <f>PROPER(TRIM(T397))</f>
        <v>Cash</v>
      </c>
      <c r="V397" t="s">
        <v>81</v>
      </c>
      <c r="W397" t="str">
        <f t="shared" si="12"/>
        <v>Ada</v>
      </c>
      <c r="X397" t="s">
        <v>65</v>
      </c>
      <c r="Y397">
        <v>3</v>
      </c>
      <c r="Z397" t="str">
        <f>IF(D397="", "Missing", "ok")</f>
        <v>ok</v>
      </c>
      <c r="AA397">
        <f t="shared" si="13"/>
        <v>310.54500000000002</v>
      </c>
    </row>
    <row r="398" spans="1:27" x14ac:dyDescent="0.25">
      <c r="A398" t="s">
        <v>1136</v>
      </c>
      <c r="B398" s="1" t="s">
        <v>1137</v>
      </c>
      <c r="C398" t="s">
        <v>1138</v>
      </c>
      <c r="D398" t="s">
        <v>101</v>
      </c>
      <c r="E398" t="str">
        <f>PROPER(TRIM(D398))</f>
        <v>Grace</v>
      </c>
      <c r="F398" t="s">
        <v>20</v>
      </c>
      <c r="G398">
        <v>130</v>
      </c>
      <c r="H398" t="str">
        <f>IF(AND(G398&gt;18, G398&lt;65), "Valid", "Invalid")</f>
        <v>Invalid</v>
      </c>
      <c r="I398" t="s">
        <v>21</v>
      </c>
      <c r="J398" t="str">
        <f>PROPER(TRIM(I398))</f>
        <v>Lagos</v>
      </c>
      <c r="K398" t="s">
        <v>48</v>
      </c>
      <c r="L398" t="str">
        <f>PROPER(TRIM(K398))</f>
        <v>Groceries</v>
      </c>
      <c r="M398" t="s">
        <v>49</v>
      </c>
      <c r="N398" t="str">
        <f>PROPER(TRIM(M398))</f>
        <v>Rice</v>
      </c>
      <c r="O398">
        <v>204.61</v>
      </c>
      <c r="P398">
        <v>6</v>
      </c>
      <c r="Q398">
        <f>IF(P398&lt;1, 1, P398)</f>
        <v>6</v>
      </c>
      <c r="R398">
        <v>120</v>
      </c>
      <c r="S398" t="str">
        <f>IF(OR(R398&lt;0,R398&gt;100),"invalid","Valid")</f>
        <v>invalid</v>
      </c>
      <c r="T398" t="s">
        <v>64</v>
      </c>
      <c r="U398" t="str">
        <f>PROPER(TRIM(T398))</f>
        <v>Transfer</v>
      </c>
      <c r="V398" t="s">
        <v>25</v>
      </c>
      <c r="W398" t="str">
        <f t="shared" si="12"/>
        <v>Dan</v>
      </c>
      <c r="X398" t="s">
        <v>26</v>
      </c>
      <c r="Y398">
        <v>1</v>
      </c>
      <c r="Z398" t="str">
        <f>IF(D398="", "Missing", "ok")</f>
        <v>ok</v>
      </c>
      <c r="AA398">
        <f t="shared" si="13"/>
        <v>-245.53199999999995</v>
      </c>
    </row>
    <row r="399" spans="1:27" x14ac:dyDescent="0.25">
      <c r="A399" t="s">
        <v>1139</v>
      </c>
      <c r="B399" s="1" t="s">
        <v>917</v>
      </c>
      <c r="C399" t="s">
        <v>1140</v>
      </c>
      <c r="E399" t="str">
        <f>PROPER(TRIM(D399))</f>
        <v/>
      </c>
      <c r="F399" t="s">
        <v>46</v>
      </c>
      <c r="G399">
        <v>62</v>
      </c>
      <c r="H399" t="str">
        <f>IF(AND(G399&gt;18, G399&lt;65), "Valid", "Invalid")</f>
        <v>Valid</v>
      </c>
      <c r="I399" t="s">
        <v>38</v>
      </c>
      <c r="J399" t="str">
        <f>PROPER(TRIM(I399))</f>
        <v>Ph</v>
      </c>
      <c r="K399" t="s">
        <v>39</v>
      </c>
      <c r="L399" t="str">
        <f>PROPER(TRIM(K399))</f>
        <v>Electronics</v>
      </c>
      <c r="M399" t="s">
        <v>40</v>
      </c>
      <c r="N399" t="str">
        <f>PROPER(TRIM(M399))</f>
        <v>Phone</v>
      </c>
      <c r="O399">
        <v>468.2</v>
      </c>
      <c r="P399">
        <v>-2</v>
      </c>
      <c r="Q399">
        <f>IF(P399&lt;1, 1, P399)</f>
        <v>1</v>
      </c>
      <c r="R399">
        <v>120</v>
      </c>
      <c r="S399" t="str">
        <f>IF(OR(R399&lt;0,R399&gt;100),"invalid","Valid")</f>
        <v>invalid</v>
      </c>
      <c r="T399" t="s">
        <v>77</v>
      </c>
      <c r="U399" t="str">
        <f>PROPER(TRIM(T399))</f>
        <v>Cash</v>
      </c>
      <c r="V399" t="s">
        <v>91</v>
      </c>
      <c r="W399" t="str">
        <f t="shared" si="12"/>
        <v>Ben</v>
      </c>
      <c r="X399" t="s">
        <v>65</v>
      </c>
      <c r="Y399">
        <v>4</v>
      </c>
      <c r="Z399" t="str">
        <f>IF(D399="", "Missing", "ok")</f>
        <v>Missing</v>
      </c>
      <c r="AA399">
        <f t="shared" si="13"/>
        <v>-93.639999999999972</v>
      </c>
    </row>
    <row r="400" spans="1:27" x14ac:dyDescent="0.25">
      <c r="A400" t="s">
        <v>1141</v>
      </c>
      <c r="B400" s="1" t="s">
        <v>1142</v>
      </c>
      <c r="C400" t="s">
        <v>1143</v>
      </c>
      <c r="D400" t="s">
        <v>45</v>
      </c>
      <c r="E400" t="str">
        <f>PROPER(TRIM(D400))</f>
        <v>James</v>
      </c>
      <c r="F400" t="s">
        <v>20</v>
      </c>
      <c r="G400">
        <v>8</v>
      </c>
      <c r="H400" t="str">
        <f>IF(AND(G400&gt;18, G400&lt;65), "Valid", "Invalid")</f>
        <v>Invalid</v>
      </c>
      <c r="I400" t="s">
        <v>70</v>
      </c>
      <c r="J400" t="str">
        <f>PROPER(TRIM(I400))</f>
        <v>Abuja</v>
      </c>
      <c r="K400" t="s">
        <v>31</v>
      </c>
      <c r="L400" t="str">
        <f>PROPER(TRIM(K400))</f>
        <v>Sports</v>
      </c>
      <c r="M400" t="s">
        <v>32</v>
      </c>
      <c r="N400" t="str">
        <f>PROPER(TRIM(M400))</f>
        <v>Ball</v>
      </c>
      <c r="O400">
        <v>75.900000000000006</v>
      </c>
      <c r="P400">
        <v>-2</v>
      </c>
      <c r="Q400">
        <f>IF(P400&lt;1, 1, P400)</f>
        <v>1</v>
      </c>
      <c r="R400">
        <v>10</v>
      </c>
      <c r="S400" t="str">
        <f>IF(OR(R400&lt;0,R400&gt;100),"invalid","Valid")</f>
        <v>Valid</v>
      </c>
      <c r="U400" t="str">
        <f>PROPER(TRIM(T400))</f>
        <v/>
      </c>
      <c r="V400" t="s">
        <v>91</v>
      </c>
      <c r="W400" t="str">
        <f t="shared" si="12"/>
        <v>Ben</v>
      </c>
      <c r="X400" t="s">
        <v>26</v>
      </c>
      <c r="Y400">
        <v>5</v>
      </c>
      <c r="Z400" t="str">
        <f>IF(D400="", "Missing", "ok")</f>
        <v>ok</v>
      </c>
      <c r="AA400">
        <f t="shared" si="13"/>
        <v>68.31</v>
      </c>
    </row>
    <row r="401" spans="1:27" x14ac:dyDescent="0.25">
      <c r="A401" t="s">
        <v>1144</v>
      </c>
      <c r="B401" s="1" t="s">
        <v>581</v>
      </c>
      <c r="C401" t="s">
        <v>1145</v>
      </c>
      <c r="D401" t="s">
        <v>45</v>
      </c>
      <c r="E401" t="str">
        <f>PROPER(TRIM(D401))</f>
        <v>James</v>
      </c>
      <c r="F401" t="s">
        <v>46</v>
      </c>
      <c r="G401">
        <v>130</v>
      </c>
      <c r="H401" t="str">
        <f>IF(AND(G401&gt;18, G401&lt;65), "Valid", "Invalid")</f>
        <v>Invalid</v>
      </c>
      <c r="I401" t="s">
        <v>21</v>
      </c>
      <c r="J401" t="str">
        <f>PROPER(TRIM(I401))</f>
        <v>Lagos</v>
      </c>
      <c r="K401" t="s">
        <v>48</v>
      </c>
      <c r="L401" t="str">
        <f>PROPER(TRIM(K401))</f>
        <v>Groceries</v>
      </c>
      <c r="M401" t="s">
        <v>49</v>
      </c>
      <c r="N401" t="str">
        <f>PROPER(TRIM(M401))</f>
        <v>Rice</v>
      </c>
      <c r="O401">
        <v>122.21</v>
      </c>
      <c r="P401">
        <v>-2</v>
      </c>
      <c r="Q401">
        <f>IF(P401&lt;1, 1, P401)</f>
        <v>1</v>
      </c>
      <c r="R401">
        <v>10</v>
      </c>
      <c r="S401" t="str">
        <f>IF(OR(R401&lt;0,R401&gt;100),"invalid","Valid")</f>
        <v>Valid</v>
      </c>
      <c r="T401" t="s">
        <v>59</v>
      </c>
      <c r="U401" t="str">
        <f>PROPER(TRIM(T401))</f>
        <v>Mobile Money</v>
      </c>
      <c r="V401" t="s">
        <v>41</v>
      </c>
      <c r="W401" t="str">
        <f t="shared" si="12"/>
        <v>Chi</v>
      </c>
      <c r="X401" t="s">
        <v>82</v>
      </c>
      <c r="Z401" t="str">
        <f>IF(D401="", "Missing", "ok")</f>
        <v>ok</v>
      </c>
      <c r="AA401">
        <f t="shared" si="13"/>
        <v>109.98899999999999</v>
      </c>
    </row>
    <row r="402" spans="1:27" x14ac:dyDescent="0.25">
      <c r="A402" t="s">
        <v>1146</v>
      </c>
      <c r="B402" s="1" t="s">
        <v>849</v>
      </c>
      <c r="C402" t="s">
        <v>1147</v>
      </c>
      <c r="E402" t="str">
        <f>PROPER(TRIM(D402))</f>
        <v/>
      </c>
      <c r="F402" t="s">
        <v>46</v>
      </c>
      <c r="G402">
        <v>8</v>
      </c>
      <c r="H402" t="str">
        <f>IF(AND(G402&gt;18, G402&lt;65), "Valid", "Invalid")</f>
        <v>Invalid</v>
      </c>
      <c r="I402" t="s">
        <v>38</v>
      </c>
      <c r="J402" t="str">
        <f>PROPER(TRIM(I402))</f>
        <v>Ph</v>
      </c>
      <c r="K402" t="s">
        <v>48</v>
      </c>
      <c r="L402" t="str">
        <f>PROPER(TRIM(K402))</f>
        <v>Groceries</v>
      </c>
      <c r="M402" t="s">
        <v>49</v>
      </c>
      <c r="N402" t="str">
        <f>PROPER(TRIM(M402))</f>
        <v>Rice</v>
      </c>
      <c r="O402">
        <v>70.89</v>
      </c>
      <c r="P402">
        <v>-2</v>
      </c>
      <c r="Q402">
        <f>IF(P402&lt;1, 1, P402)</f>
        <v>1</v>
      </c>
      <c r="R402">
        <v>-10</v>
      </c>
      <c r="S402" t="str">
        <f>IF(OR(R402&lt;0,R402&gt;100),"invalid","Valid")</f>
        <v>invalid</v>
      </c>
      <c r="T402" t="s">
        <v>64</v>
      </c>
      <c r="U402" t="str">
        <f>PROPER(TRIM(T402))</f>
        <v>Transfer</v>
      </c>
      <c r="V402" t="s">
        <v>91</v>
      </c>
      <c r="W402" t="str">
        <f t="shared" si="12"/>
        <v>Ben</v>
      </c>
      <c r="X402" t="s">
        <v>26</v>
      </c>
      <c r="Y402">
        <v>4</v>
      </c>
      <c r="Z402" t="str">
        <f>IF(D402="", "Missing", "ok")</f>
        <v>Missing</v>
      </c>
      <c r="AA402">
        <f t="shared" si="13"/>
        <v>77.979000000000013</v>
      </c>
    </row>
    <row r="403" spans="1:27" x14ac:dyDescent="0.25">
      <c r="A403" t="s">
        <v>1148</v>
      </c>
      <c r="B403" s="1" t="s">
        <v>1149</v>
      </c>
      <c r="C403" t="s">
        <v>1150</v>
      </c>
      <c r="D403" t="s">
        <v>63</v>
      </c>
      <c r="E403" t="str">
        <f>PROPER(TRIM(D403))</f>
        <v>John</v>
      </c>
      <c r="F403" t="s">
        <v>20</v>
      </c>
      <c r="G403">
        <v>130</v>
      </c>
      <c r="H403" t="str">
        <f>IF(AND(G403&gt;18, G403&lt;65), "Valid", "Invalid")</f>
        <v>Invalid</v>
      </c>
      <c r="I403" t="s">
        <v>21</v>
      </c>
      <c r="J403" t="str">
        <f>PROPER(TRIM(I403))</f>
        <v>Lagos</v>
      </c>
      <c r="K403" t="s">
        <v>39</v>
      </c>
      <c r="L403" t="str">
        <f>PROPER(TRIM(K403))</f>
        <v>Electronics</v>
      </c>
      <c r="M403" t="s">
        <v>40</v>
      </c>
      <c r="N403" t="str">
        <f>PROPER(TRIM(M403))</f>
        <v>Phone</v>
      </c>
      <c r="O403">
        <v>46.65</v>
      </c>
      <c r="P403">
        <v>-2</v>
      </c>
      <c r="Q403">
        <f>IF(P403&lt;1, 1, P403)</f>
        <v>1</v>
      </c>
      <c r="R403">
        <v>-10</v>
      </c>
      <c r="S403" t="str">
        <f>IF(OR(R403&lt;0,R403&gt;100),"invalid","Valid")</f>
        <v>invalid</v>
      </c>
      <c r="T403" t="s">
        <v>77</v>
      </c>
      <c r="U403" t="str">
        <f>PROPER(TRIM(T403))</f>
        <v>Cash</v>
      </c>
      <c r="V403" t="s">
        <v>91</v>
      </c>
      <c r="W403" t="str">
        <f t="shared" si="12"/>
        <v>Ben</v>
      </c>
      <c r="X403" t="s">
        <v>65</v>
      </c>
      <c r="Z403" t="str">
        <f>IF(D403="", "Missing", "ok")</f>
        <v>ok</v>
      </c>
      <c r="AA403">
        <f t="shared" si="13"/>
        <v>51.315000000000005</v>
      </c>
    </row>
    <row r="404" spans="1:27" x14ac:dyDescent="0.25">
      <c r="A404" t="s">
        <v>1151</v>
      </c>
      <c r="B404" s="1" t="s">
        <v>178</v>
      </c>
      <c r="C404" t="s">
        <v>1152</v>
      </c>
      <c r="D404" t="s">
        <v>69</v>
      </c>
      <c r="E404" t="str">
        <f>PROPER(TRIM(D404))</f>
        <v>Mary</v>
      </c>
      <c r="F404" t="s">
        <v>46</v>
      </c>
      <c r="G404">
        <v>24</v>
      </c>
      <c r="H404" t="str">
        <f>IF(AND(G404&gt;18, G404&lt;65), "Valid", "Invalid")</f>
        <v>Valid</v>
      </c>
      <c r="I404" t="s">
        <v>30</v>
      </c>
      <c r="J404" t="str">
        <f>PROPER(TRIM(I404))</f>
        <v>Lagos</v>
      </c>
      <c r="K404" t="s">
        <v>54</v>
      </c>
      <c r="L404" t="str">
        <f>PROPER(TRIM(K404))</f>
        <v>Home</v>
      </c>
      <c r="M404" t="s">
        <v>55</v>
      </c>
      <c r="N404" t="str">
        <f>PROPER(TRIM(M404))</f>
        <v>Chair</v>
      </c>
      <c r="O404">
        <v>92.95</v>
      </c>
      <c r="P404">
        <v>1</v>
      </c>
      <c r="Q404">
        <f>IF(P404&lt;1, 1, P404)</f>
        <v>1</v>
      </c>
      <c r="R404">
        <v>0</v>
      </c>
      <c r="S404" t="str">
        <f>IF(OR(R404&lt;0,R404&gt;100),"invalid","Valid")</f>
        <v>Valid</v>
      </c>
      <c r="T404" t="s">
        <v>59</v>
      </c>
      <c r="U404" t="str">
        <f>PROPER(TRIM(T404))</f>
        <v>Mobile Money</v>
      </c>
      <c r="V404" t="s">
        <v>81</v>
      </c>
      <c r="W404" t="str">
        <f t="shared" si="12"/>
        <v>Ada</v>
      </c>
      <c r="X404" t="s">
        <v>65</v>
      </c>
      <c r="Z404" t="str">
        <f>IF(D404="", "Missing", "ok")</f>
        <v>ok</v>
      </c>
      <c r="AA404">
        <f t="shared" si="13"/>
        <v>92.95</v>
      </c>
    </row>
    <row r="405" spans="1:27" x14ac:dyDescent="0.25">
      <c r="A405" t="s">
        <v>1153</v>
      </c>
      <c r="B405" s="1" t="s">
        <v>1154</v>
      </c>
      <c r="C405" t="s">
        <v>1155</v>
      </c>
      <c r="D405" t="s">
        <v>69</v>
      </c>
      <c r="E405" t="str">
        <f>PROPER(TRIM(D405))</f>
        <v>Mary</v>
      </c>
      <c r="F405" t="s">
        <v>46</v>
      </c>
      <c r="G405">
        <v>25</v>
      </c>
      <c r="H405" t="str">
        <f>IF(AND(G405&gt;18, G405&lt;65), "Valid", "Invalid")</f>
        <v>Valid</v>
      </c>
      <c r="I405" t="s">
        <v>70</v>
      </c>
      <c r="J405" t="str">
        <f>PROPER(TRIM(I405))</f>
        <v>Abuja</v>
      </c>
      <c r="K405" t="s">
        <v>39</v>
      </c>
      <c r="L405" t="str">
        <f>PROPER(TRIM(K405))</f>
        <v>Electronics</v>
      </c>
      <c r="M405" t="s">
        <v>40</v>
      </c>
      <c r="N405" t="str">
        <f>PROPER(TRIM(M405))</f>
        <v>Phone</v>
      </c>
      <c r="O405">
        <v>358.53</v>
      </c>
      <c r="P405">
        <v>5</v>
      </c>
      <c r="Q405">
        <f>IF(P405&lt;1, 1, P405)</f>
        <v>5</v>
      </c>
      <c r="R405">
        <v>5</v>
      </c>
      <c r="S405" t="str">
        <f>IF(OR(R405&lt;0,R405&gt;100),"invalid","Valid")</f>
        <v>Valid</v>
      </c>
      <c r="T405" t="s">
        <v>77</v>
      </c>
      <c r="U405" t="str">
        <f>PROPER(TRIM(T405))</f>
        <v>Cash</v>
      </c>
      <c r="V405" t="s">
        <v>91</v>
      </c>
      <c r="W405" t="str">
        <f t="shared" si="12"/>
        <v>Ben</v>
      </c>
      <c r="X405" t="s">
        <v>82</v>
      </c>
      <c r="Y405">
        <v>4</v>
      </c>
      <c r="Z405" t="str">
        <f>IF(D405="", "Missing", "ok")</f>
        <v>ok</v>
      </c>
      <c r="AA405">
        <f t="shared" si="13"/>
        <v>1703.0174999999997</v>
      </c>
    </row>
    <row r="406" spans="1:27" x14ac:dyDescent="0.25">
      <c r="A406" t="s">
        <v>1156</v>
      </c>
      <c r="B406" s="1" t="s">
        <v>144</v>
      </c>
      <c r="C406" t="s">
        <v>1157</v>
      </c>
      <c r="D406" t="s">
        <v>19</v>
      </c>
      <c r="E406" t="str">
        <f>PROPER(TRIM(D406))</f>
        <v>Peter</v>
      </c>
      <c r="F406" t="s">
        <v>20</v>
      </c>
      <c r="G406">
        <v>27</v>
      </c>
      <c r="H406" t="str">
        <f>IF(AND(G406&gt;18, G406&lt;65), "Valid", "Invalid")</f>
        <v>Valid</v>
      </c>
      <c r="I406" t="s">
        <v>30</v>
      </c>
      <c r="J406" t="str">
        <f>PROPER(TRIM(I406))</f>
        <v>Lagos</v>
      </c>
      <c r="K406" t="s">
        <v>54</v>
      </c>
      <c r="L406" t="str">
        <f>PROPER(TRIM(K406))</f>
        <v>Home</v>
      </c>
      <c r="M406" t="s">
        <v>55</v>
      </c>
      <c r="N406" t="str">
        <f>PROPER(TRIM(M406))</f>
        <v>Chair</v>
      </c>
      <c r="O406">
        <v>192.58</v>
      </c>
      <c r="P406">
        <v>-2</v>
      </c>
      <c r="Q406">
        <f>IF(P406&lt;1, 1, P406)</f>
        <v>1</v>
      </c>
      <c r="R406">
        <v>0</v>
      </c>
      <c r="S406" t="str">
        <f>IF(OR(R406&lt;0,R406&gt;100),"invalid","Valid")</f>
        <v>Valid</v>
      </c>
      <c r="T406" t="s">
        <v>77</v>
      </c>
      <c r="U406" t="str">
        <f>PROPER(TRIM(T406))</f>
        <v>Cash</v>
      </c>
      <c r="V406" t="s">
        <v>41</v>
      </c>
      <c r="W406" t="str">
        <f t="shared" si="12"/>
        <v>Chi</v>
      </c>
      <c r="X406" t="s">
        <v>82</v>
      </c>
      <c r="Y406">
        <v>4</v>
      </c>
      <c r="Z406" t="str">
        <f>IF(D406="", "Missing", "ok")</f>
        <v>ok</v>
      </c>
      <c r="AA406">
        <f t="shared" si="13"/>
        <v>192.58</v>
      </c>
    </row>
    <row r="407" spans="1:27" x14ac:dyDescent="0.25">
      <c r="A407" t="s">
        <v>1158</v>
      </c>
      <c r="B407" s="1" t="s">
        <v>1159</v>
      </c>
      <c r="C407" t="s">
        <v>1160</v>
      </c>
      <c r="D407" t="s">
        <v>19</v>
      </c>
      <c r="E407" t="str">
        <f>PROPER(TRIM(D407))</f>
        <v>Peter</v>
      </c>
      <c r="F407" t="s">
        <v>46</v>
      </c>
      <c r="G407">
        <v>130</v>
      </c>
      <c r="H407" t="str">
        <f>IF(AND(G407&gt;18, G407&lt;65), "Valid", "Invalid")</f>
        <v>Invalid</v>
      </c>
      <c r="I407" t="s">
        <v>21</v>
      </c>
      <c r="J407" t="str">
        <f>PROPER(TRIM(I407))</f>
        <v>Lagos</v>
      </c>
      <c r="K407" t="s">
        <v>22</v>
      </c>
      <c r="L407" t="str">
        <f>PROPER(TRIM(K407))</f>
        <v>Fashion</v>
      </c>
      <c r="M407" t="s">
        <v>23</v>
      </c>
      <c r="N407" t="str">
        <f>PROPER(TRIM(M407))</f>
        <v>Shirt</v>
      </c>
      <c r="O407">
        <v>190.34</v>
      </c>
      <c r="P407">
        <v>5</v>
      </c>
      <c r="Q407">
        <f>IF(P407&lt;1, 1, P407)</f>
        <v>5</v>
      </c>
      <c r="R407">
        <v>10</v>
      </c>
      <c r="S407" t="str">
        <f>IF(OR(R407&lt;0,R407&gt;100),"invalid","Valid")</f>
        <v>Valid</v>
      </c>
      <c r="T407" t="s">
        <v>24</v>
      </c>
      <c r="U407" t="str">
        <f>PROPER(TRIM(T407))</f>
        <v>Pos</v>
      </c>
      <c r="V407" t="s">
        <v>91</v>
      </c>
      <c r="W407" t="str">
        <f t="shared" si="12"/>
        <v>Ben</v>
      </c>
      <c r="X407" t="s">
        <v>26</v>
      </c>
      <c r="Y407">
        <v>4</v>
      </c>
      <c r="Z407" t="str">
        <f>IF(D407="", "Missing", "ok")</f>
        <v>ok</v>
      </c>
      <c r="AA407">
        <f t="shared" si="13"/>
        <v>856.53000000000009</v>
      </c>
    </row>
    <row r="408" spans="1:27" x14ac:dyDescent="0.25">
      <c r="A408" t="s">
        <v>1161</v>
      </c>
      <c r="B408" s="1" t="s">
        <v>1162</v>
      </c>
      <c r="C408" t="s">
        <v>1163</v>
      </c>
      <c r="D408" t="s">
        <v>117</v>
      </c>
      <c r="E408" t="str">
        <f>PROPER(TRIM(D408))</f>
        <v>David</v>
      </c>
      <c r="F408" t="s">
        <v>20</v>
      </c>
      <c r="G408">
        <v>26</v>
      </c>
      <c r="H408" t="str">
        <f>IF(AND(G408&gt;18, G408&lt;65), "Valid", "Invalid")</f>
        <v>Valid</v>
      </c>
      <c r="I408" t="s">
        <v>38</v>
      </c>
      <c r="J408" t="str">
        <f>PROPER(TRIM(I408))</f>
        <v>Ph</v>
      </c>
      <c r="K408" t="s">
        <v>22</v>
      </c>
      <c r="L408" t="str">
        <f>PROPER(TRIM(K408))</f>
        <v>Fashion</v>
      </c>
      <c r="M408" t="s">
        <v>23</v>
      </c>
      <c r="N408" t="str">
        <f>PROPER(TRIM(M408))</f>
        <v>Shirt</v>
      </c>
      <c r="O408">
        <v>238.8</v>
      </c>
      <c r="P408">
        <v>1</v>
      </c>
      <c r="Q408">
        <f>IF(P408&lt;1, 1, P408)</f>
        <v>1</v>
      </c>
      <c r="R408">
        <v>5</v>
      </c>
      <c r="S408" t="str">
        <f>IF(OR(R408&lt;0,R408&gt;100),"invalid","Valid")</f>
        <v>Valid</v>
      </c>
      <c r="T408" t="s">
        <v>64</v>
      </c>
      <c r="U408" t="str">
        <f>PROPER(TRIM(T408))</f>
        <v>Transfer</v>
      </c>
      <c r="V408" t="s">
        <v>91</v>
      </c>
      <c r="W408" t="str">
        <f t="shared" si="12"/>
        <v>Ben</v>
      </c>
      <c r="X408" t="s">
        <v>33</v>
      </c>
      <c r="Y408">
        <v>3</v>
      </c>
      <c r="Z408" t="str">
        <f>IF(D408="", "Missing", "ok")</f>
        <v>ok</v>
      </c>
      <c r="AA408">
        <f t="shared" si="13"/>
        <v>226.86</v>
      </c>
    </row>
    <row r="409" spans="1:27" x14ac:dyDescent="0.25">
      <c r="A409" t="s">
        <v>1164</v>
      </c>
      <c r="B409" s="1" t="s">
        <v>1165</v>
      </c>
      <c r="C409" t="s">
        <v>1166</v>
      </c>
      <c r="D409" t="s">
        <v>117</v>
      </c>
      <c r="E409" t="str">
        <f>PROPER(TRIM(D409))</f>
        <v>David</v>
      </c>
      <c r="F409" t="s">
        <v>46</v>
      </c>
      <c r="G409">
        <v>130</v>
      </c>
      <c r="H409" t="str">
        <f>IF(AND(G409&gt;18, G409&lt;65), "Valid", "Invalid")</f>
        <v>Invalid</v>
      </c>
      <c r="I409" t="s">
        <v>30</v>
      </c>
      <c r="J409" t="str">
        <f>PROPER(TRIM(I409))</f>
        <v>Lagos</v>
      </c>
      <c r="K409" t="s">
        <v>22</v>
      </c>
      <c r="L409" t="str">
        <f>PROPER(TRIM(K409))</f>
        <v>Fashion</v>
      </c>
      <c r="M409" t="s">
        <v>23</v>
      </c>
      <c r="N409" t="str">
        <f>PROPER(TRIM(M409))</f>
        <v>Shirt</v>
      </c>
      <c r="O409">
        <v>332.02</v>
      </c>
      <c r="P409">
        <v>-2</v>
      </c>
      <c r="Q409">
        <f>IF(P409&lt;1, 1, P409)</f>
        <v>1</v>
      </c>
      <c r="R409">
        <v>0</v>
      </c>
      <c r="S409" t="str">
        <f>IF(OR(R409&lt;0,R409&gt;100),"invalid","Valid")</f>
        <v>Valid</v>
      </c>
      <c r="T409" t="s">
        <v>24</v>
      </c>
      <c r="U409" t="str">
        <f>PROPER(TRIM(T409))</f>
        <v>Pos</v>
      </c>
      <c r="V409" t="s">
        <v>81</v>
      </c>
      <c r="W409" t="str">
        <f t="shared" si="12"/>
        <v>Ada</v>
      </c>
      <c r="X409" t="s">
        <v>26</v>
      </c>
      <c r="Y409">
        <v>4</v>
      </c>
      <c r="Z409" t="str">
        <f>IF(D409="", "Missing", "ok")</f>
        <v>ok</v>
      </c>
      <c r="AA409">
        <f t="shared" si="13"/>
        <v>332.02</v>
      </c>
    </row>
    <row r="410" spans="1:27" x14ac:dyDescent="0.25">
      <c r="A410" t="s">
        <v>1167</v>
      </c>
      <c r="B410" s="1" t="s">
        <v>884</v>
      </c>
      <c r="C410" t="s">
        <v>1168</v>
      </c>
      <c r="D410" t="s">
        <v>45</v>
      </c>
      <c r="E410" t="str">
        <f>PROPER(TRIM(D410))</f>
        <v>James</v>
      </c>
      <c r="F410" t="s">
        <v>20</v>
      </c>
      <c r="G410">
        <v>8</v>
      </c>
      <c r="H410" t="str">
        <f>IF(AND(G410&gt;18, G410&lt;65), "Valid", "Invalid")</f>
        <v>Invalid</v>
      </c>
      <c r="I410" t="s">
        <v>21</v>
      </c>
      <c r="J410" t="str">
        <f>PROPER(TRIM(I410))</f>
        <v>Lagos</v>
      </c>
      <c r="K410" t="s">
        <v>48</v>
      </c>
      <c r="L410" t="str">
        <f>PROPER(TRIM(K410))</f>
        <v>Groceries</v>
      </c>
      <c r="M410" t="s">
        <v>49</v>
      </c>
      <c r="N410" t="str">
        <f>PROPER(TRIM(M410))</f>
        <v>Rice</v>
      </c>
      <c r="O410">
        <v>61.45</v>
      </c>
      <c r="P410">
        <v>3</v>
      </c>
      <c r="Q410">
        <f>IF(P410&lt;1, 1, P410)</f>
        <v>3</v>
      </c>
      <c r="R410">
        <v>0</v>
      </c>
      <c r="S410" t="str">
        <f>IF(OR(R410&lt;0,R410&gt;100),"invalid","Valid")</f>
        <v>Valid</v>
      </c>
      <c r="T410" t="s">
        <v>77</v>
      </c>
      <c r="U410" t="str">
        <f>PROPER(TRIM(T410))</f>
        <v>Cash</v>
      </c>
      <c r="V410" t="s">
        <v>81</v>
      </c>
      <c r="W410" t="str">
        <f t="shared" si="12"/>
        <v>Ada</v>
      </c>
      <c r="X410" t="s">
        <v>65</v>
      </c>
      <c r="Y410">
        <v>5</v>
      </c>
      <c r="Z410" t="str">
        <f>IF(D410="", "Missing", "ok")</f>
        <v>ok</v>
      </c>
      <c r="AA410">
        <f t="shared" si="13"/>
        <v>184.35000000000002</v>
      </c>
    </row>
    <row r="411" spans="1:27" x14ac:dyDescent="0.25">
      <c r="A411" t="s">
        <v>1169</v>
      </c>
      <c r="B411" s="1" t="s">
        <v>1170</v>
      </c>
      <c r="C411" t="s">
        <v>1171</v>
      </c>
      <c r="D411" t="s">
        <v>69</v>
      </c>
      <c r="E411" t="str">
        <f>PROPER(TRIM(D411))</f>
        <v>Mary</v>
      </c>
      <c r="F411" t="s">
        <v>46</v>
      </c>
      <c r="G411">
        <v>43</v>
      </c>
      <c r="H411" t="str">
        <f>IF(AND(G411&gt;18, G411&lt;65), "Valid", "Invalid")</f>
        <v>Valid</v>
      </c>
      <c r="I411" t="s">
        <v>47</v>
      </c>
      <c r="J411" t="str">
        <f>PROPER(TRIM(I411))</f>
        <v>Enugu</v>
      </c>
      <c r="K411" t="s">
        <v>121</v>
      </c>
      <c r="L411" t="str">
        <f>PROPER(TRIM(K411))</f>
        <v>Beauty</v>
      </c>
      <c r="M411" t="s">
        <v>122</v>
      </c>
      <c r="N411" t="str">
        <f>PROPER(TRIM(M411))</f>
        <v>Cream</v>
      </c>
      <c r="O411">
        <v>194.23</v>
      </c>
      <c r="P411">
        <v>10</v>
      </c>
      <c r="Q411">
        <f>IF(P411&lt;1, 1, P411)</f>
        <v>10</v>
      </c>
      <c r="R411">
        <v>10</v>
      </c>
      <c r="S411" t="str">
        <f>IF(OR(R411&lt;0,R411&gt;100),"invalid","Valid")</f>
        <v>Valid</v>
      </c>
      <c r="T411" t="s">
        <v>59</v>
      </c>
      <c r="U411" t="str">
        <f>PROPER(TRIM(T411))</f>
        <v>Mobile Money</v>
      </c>
      <c r="V411" t="s">
        <v>41</v>
      </c>
      <c r="W411" t="str">
        <f t="shared" si="12"/>
        <v>Chi</v>
      </c>
      <c r="X411" t="s">
        <v>33</v>
      </c>
      <c r="Y411">
        <v>2</v>
      </c>
      <c r="Z411" t="str">
        <f>IF(D411="", "Missing", "ok")</f>
        <v>ok</v>
      </c>
      <c r="AA411">
        <f t="shared" si="13"/>
        <v>1748.07</v>
      </c>
    </row>
    <row r="412" spans="1:27" x14ac:dyDescent="0.25">
      <c r="A412" t="s">
        <v>1172</v>
      </c>
      <c r="B412" s="1" t="s">
        <v>1173</v>
      </c>
      <c r="C412" t="s">
        <v>1174</v>
      </c>
      <c r="D412" t="s">
        <v>19</v>
      </c>
      <c r="E412" t="str">
        <f>PROPER(TRIM(D412))</f>
        <v>Peter</v>
      </c>
      <c r="F412" t="s">
        <v>20</v>
      </c>
      <c r="G412">
        <v>58</v>
      </c>
      <c r="H412" t="str">
        <f>IF(AND(G412&gt;18, G412&lt;65), "Valid", "Invalid")</f>
        <v>Valid</v>
      </c>
      <c r="I412" t="s">
        <v>86</v>
      </c>
      <c r="J412" t="str">
        <f>PROPER(TRIM(I412))</f>
        <v>Kano</v>
      </c>
      <c r="K412" t="s">
        <v>54</v>
      </c>
      <c r="L412" t="str">
        <f>PROPER(TRIM(K412))</f>
        <v>Home</v>
      </c>
      <c r="M412" t="s">
        <v>55</v>
      </c>
      <c r="N412" t="str">
        <f>PROPER(TRIM(M412))</f>
        <v>Chair</v>
      </c>
      <c r="O412">
        <v>45.44</v>
      </c>
      <c r="P412">
        <v>4</v>
      </c>
      <c r="Q412">
        <f>IF(P412&lt;1, 1, P412)</f>
        <v>4</v>
      </c>
      <c r="R412">
        <v>5</v>
      </c>
      <c r="S412" t="str">
        <f>IF(OR(R412&lt;0,R412&gt;100),"invalid","Valid")</f>
        <v>Valid</v>
      </c>
      <c r="T412" t="s">
        <v>24</v>
      </c>
      <c r="U412" t="str">
        <f>PROPER(TRIM(T412))</f>
        <v>Pos</v>
      </c>
      <c r="V412" t="s">
        <v>91</v>
      </c>
      <c r="W412" t="str">
        <f t="shared" si="12"/>
        <v>Ben</v>
      </c>
      <c r="X412" t="s">
        <v>65</v>
      </c>
      <c r="Y412">
        <v>5</v>
      </c>
      <c r="Z412" t="str">
        <f>IF(D412="", "Missing", "ok")</f>
        <v>ok</v>
      </c>
      <c r="AA412">
        <f t="shared" si="13"/>
        <v>172.672</v>
      </c>
    </row>
    <row r="413" spans="1:27" x14ac:dyDescent="0.25">
      <c r="A413" t="s">
        <v>1175</v>
      </c>
      <c r="B413" s="1" t="s">
        <v>178</v>
      </c>
      <c r="C413" t="s">
        <v>1176</v>
      </c>
      <c r="D413" t="s">
        <v>63</v>
      </c>
      <c r="E413" t="str">
        <f>PROPER(TRIM(D413))</f>
        <v>John</v>
      </c>
      <c r="F413" t="s">
        <v>46</v>
      </c>
      <c r="G413">
        <v>39</v>
      </c>
      <c r="H413" t="str">
        <f>IF(AND(G413&gt;18, G413&lt;65), "Valid", "Invalid")</f>
        <v>Valid</v>
      </c>
      <c r="I413" t="s">
        <v>30</v>
      </c>
      <c r="J413" t="str">
        <f>PROPER(TRIM(I413))</f>
        <v>Lagos</v>
      </c>
      <c r="K413" t="s">
        <v>48</v>
      </c>
      <c r="L413" t="str">
        <f>PROPER(TRIM(K413))</f>
        <v>Groceries</v>
      </c>
      <c r="M413" t="s">
        <v>49</v>
      </c>
      <c r="N413" t="str">
        <f>PROPER(TRIM(M413))</f>
        <v>Rice</v>
      </c>
      <c r="O413">
        <v>21.21</v>
      </c>
      <c r="P413">
        <v>-2</v>
      </c>
      <c r="Q413">
        <f>IF(P413&lt;1, 1, P413)</f>
        <v>1</v>
      </c>
      <c r="R413">
        <v>-10</v>
      </c>
      <c r="S413" t="str">
        <f>IF(OR(R413&lt;0,R413&gt;100),"invalid","Valid")</f>
        <v>invalid</v>
      </c>
      <c r="T413" t="s">
        <v>64</v>
      </c>
      <c r="U413" t="str">
        <f>PROPER(TRIM(T413))</f>
        <v>Transfer</v>
      </c>
      <c r="V413" t="s">
        <v>81</v>
      </c>
      <c r="W413" t="str">
        <f t="shared" si="12"/>
        <v>Ada</v>
      </c>
      <c r="X413" t="s">
        <v>82</v>
      </c>
      <c r="Y413">
        <v>5</v>
      </c>
      <c r="Z413" t="str">
        <f>IF(D413="", "Missing", "ok")</f>
        <v>ok</v>
      </c>
      <c r="AA413">
        <f t="shared" si="13"/>
        <v>23.331000000000003</v>
      </c>
    </row>
    <row r="414" spans="1:27" x14ac:dyDescent="0.25">
      <c r="A414" t="s">
        <v>1177</v>
      </c>
      <c r="B414" s="1" t="s">
        <v>671</v>
      </c>
      <c r="C414" t="s">
        <v>1178</v>
      </c>
      <c r="D414" t="s">
        <v>69</v>
      </c>
      <c r="E414" t="str">
        <f>PROPER(TRIM(D414))</f>
        <v>Mary</v>
      </c>
      <c r="F414" t="s">
        <v>20</v>
      </c>
      <c r="G414">
        <v>130</v>
      </c>
      <c r="H414" t="str">
        <f>IF(AND(G414&gt;18, G414&lt;65), "Valid", "Invalid")</f>
        <v>Invalid</v>
      </c>
      <c r="I414" t="s">
        <v>70</v>
      </c>
      <c r="J414" t="str">
        <f>PROPER(TRIM(I414))</f>
        <v>Abuja</v>
      </c>
      <c r="K414" t="s">
        <v>39</v>
      </c>
      <c r="L414" t="str">
        <f>PROPER(TRIM(K414))</f>
        <v>Electronics</v>
      </c>
      <c r="M414" t="s">
        <v>40</v>
      </c>
      <c r="N414" t="str">
        <f>PROPER(TRIM(M414))</f>
        <v>Phone</v>
      </c>
      <c r="O414">
        <v>429.36</v>
      </c>
      <c r="P414">
        <v>3</v>
      </c>
      <c r="Q414">
        <f>IF(P414&lt;1, 1, P414)</f>
        <v>3</v>
      </c>
      <c r="R414">
        <v>0</v>
      </c>
      <c r="S414" t="str">
        <f>IF(OR(R414&lt;0,R414&gt;100),"invalid","Valid")</f>
        <v>Valid</v>
      </c>
      <c r="U414" t="str">
        <f>PROPER(TRIM(T414))</f>
        <v/>
      </c>
      <c r="V414" t="s">
        <v>81</v>
      </c>
      <c r="W414" t="str">
        <f t="shared" si="12"/>
        <v>Ada</v>
      </c>
      <c r="X414" t="s">
        <v>33</v>
      </c>
      <c r="Y414">
        <v>2</v>
      </c>
      <c r="Z414" t="str">
        <f>IF(D414="", "Missing", "ok")</f>
        <v>ok</v>
      </c>
      <c r="AA414">
        <f t="shared" si="13"/>
        <v>1288.08</v>
      </c>
    </row>
    <row r="415" spans="1:27" x14ac:dyDescent="0.25">
      <c r="A415" t="s">
        <v>1179</v>
      </c>
      <c r="B415" s="1" t="s">
        <v>1114</v>
      </c>
      <c r="C415" t="s">
        <v>1180</v>
      </c>
      <c r="D415" t="s">
        <v>45</v>
      </c>
      <c r="E415" t="str">
        <f>PROPER(TRIM(D415))</f>
        <v>James</v>
      </c>
      <c r="F415" t="s">
        <v>20</v>
      </c>
      <c r="G415">
        <v>130</v>
      </c>
      <c r="H415" t="str">
        <f>IF(AND(G415&gt;18, G415&lt;65), "Valid", "Invalid")</f>
        <v>Invalid</v>
      </c>
      <c r="I415" t="s">
        <v>47</v>
      </c>
      <c r="J415" t="str">
        <f>PROPER(TRIM(I415))</f>
        <v>Enugu</v>
      </c>
      <c r="K415" t="s">
        <v>54</v>
      </c>
      <c r="L415" t="str">
        <f>PROPER(TRIM(K415))</f>
        <v>Home</v>
      </c>
      <c r="M415" t="s">
        <v>55</v>
      </c>
      <c r="N415" t="str">
        <f>PROPER(TRIM(M415))</f>
        <v>Chair</v>
      </c>
      <c r="O415">
        <v>216.04</v>
      </c>
      <c r="P415">
        <v>6</v>
      </c>
      <c r="Q415">
        <f>IF(P415&lt;1, 1, P415)</f>
        <v>6</v>
      </c>
      <c r="R415">
        <v>15</v>
      </c>
      <c r="S415" t="str">
        <f>IF(OR(R415&lt;0,R415&gt;100),"invalid","Valid")</f>
        <v>Valid</v>
      </c>
      <c r="U415" t="str">
        <f>PROPER(TRIM(T415))</f>
        <v/>
      </c>
      <c r="V415" t="s">
        <v>91</v>
      </c>
      <c r="W415" t="str">
        <f t="shared" si="12"/>
        <v>Ben</v>
      </c>
      <c r="X415" t="s">
        <v>82</v>
      </c>
      <c r="Z415" t="str">
        <f>IF(D415="", "Missing", "ok")</f>
        <v>ok</v>
      </c>
      <c r="AA415">
        <f t="shared" si="13"/>
        <v>1101.8040000000001</v>
      </c>
    </row>
    <row r="416" spans="1:27" x14ac:dyDescent="0.25">
      <c r="A416" t="s">
        <v>1181</v>
      </c>
      <c r="B416" s="1" t="s">
        <v>1182</v>
      </c>
      <c r="C416" t="s">
        <v>1183</v>
      </c>
      <c r="D416" t="s">
        <v>45</v>
      </c>
      <c r="E416" t="str">
        <f>PROPER(TRIM(D416))</f>
        <v>James</v>
      </c>
      <c r="F416" t="s">
        <v>46</v>
      </c>
      <c r="G416">
        <v>8</v>
      </c>
      <c r="H416" t="str">
        <f>IF(AND(G416&gt;18, G416&lt;65), "Valid", "Invalid")</f>
        <v>Invalid</v>
      </c>
      <c r="I416" t="s">
        <v>21</v>
      </c>
      <c r="J416" t="str">
        <f>PROPER(TRIM(I416))</f>
        <v>Lagos</v>
      </c>
      <c r="K416" t="s">
        <v>22</v>
      </c>
      <c r="L416" t="str">
        <f>PROPER(TRIM(K416))</f>
        <v>Fashion</v>
      </c>
      <c r="M416" t="s">
        <v>23</v>
      </c>
      <c r="N416" t="str">
        <f>PROPER(TRIM(M416))</f>
        <v>Shirt</v>
      </c>
      <c r="O416">
        <v>30.72</v>
      </c>
      <c r="P416">
        <v>-2</v>
      </c>
      <c r="Q416">
        <f>IF(P416&lt;1, 1, P416)</f>
        <v>1</v>
      </c>
      <c r="R416">
        <v>0</v>
      </c>
      <c r="S416" t="str">
        <f>IF(OR(R416&lt;0,R416&gt;100),"invalid","Valid")</f>
        <v>Valid</v>
      </c>
      <c r="T416" t="s">
        <v>77</v>
      </c>
      <c r="U416" t="str">
        <f>PROPER(TRIM(T416))</f>
        <v>Cash</v>
      </c>
      <c r="V416" t="s">
        <v>91</v>
      </c>
      <c r="W416" t="str">
        <f t="shared" si="12"/>
        <v>Ben</v>
      </c>
      <c r="X416" t="s">
        <v>65</v>
      </c>
      <c r="Y416">
        <v>1</v>
      </c>
      <c r="Z416" t="str">
        <f>IF(D416="", "Missing", "ok")</f>
        <v>ok</v>
      </c>
      <c r="AA416">
        <f t="shared" si="13"/>
        <v>30.72</v>
      </c>
    </row>
    <row r="417" spans="1:27" x14ac:dyDescent="0.25">
      <c r="A417" t="s">
        <v>1184</v>
      </c>
      <c r="B417" s="1" t="s">
        <v>403</v>
      </c>
      <c r="C417" t="s">
        <v>361</v>
      </c>
      <c r="D417" t="s">
        <v>69</v>
      </c>
      <c r="E417" t="str">
        <f>PROPER(TRIM(D417))</f>
        <v>Mary</v>
      </c>
      <c r="F417" t="s">
        <v>20</v>
      </c>
      <c r="G417">
        <v>8</v>
      </c>
      <c r="H417" t="str">
        <f>IF(AND(G417&gt;18, G417&lt;65), "Valid", "Invalid")</f>
        <v>Invalid</v>
      </c>
      <c r="I417" t="s">
        <v>38</v>
      </c>
      <c r="J417" t="str">
        <f>PROPER(TRIM(I417))</f>
        <v>Ph</v>
      </c>
      <c r="K417" t="s">
        <v>54</v>
      </c>
      <c r="L417" t="str">
        <f>PROPER(TRIM(K417))</f>
        <v>Home</v>
      </c>
      <c r="M417" t="s">
        <v>55</v>
      </c>
      <c r="N417" t="str">
        <f>PROPER(TRIM(M417))</f>
        <v>Chair</v>
      </c>
      <c r="O417">
        <v>353.56</v>
      </c>
      <c r="P417">
        <v>2</v>
      </c>
      <c r="Q417">
        <f>IF(P417&lt;1, 1, P417)</f>
        <v>2</v>
      </c>
      <c r="R417">
        <v>120</v>
      </c>
      <c r="S417" t="str">
        <f>IF(OR(R417&lt;0,R417&gt;100),"invalid","Valid")</f>
        <v>invalid</v>
      </c>
      <c r="T417" t="s">
        <v>64</v>
      </c>
      <c r="U417" t="str">
        <f>PROPER(TRIM(T417))</f>
        <v>Transfer</v>
      </c>
      <c r="V417" t="s">
        <v>25</v>
      </c>
      <c r="W417" t="str">
        <f t="shared" si="12"/>
        <v>Dan</v>
      </c>
      <c r="X417" t="s">
        <v>26</v>
      </c>
      <c r="Y417">
        <v>4</v>
      </c>
      <c r="Z417" t="str">
        <f>IF(D417="", "Missing", "ok")</f>
        <v>ok</v>
      </c>
      <c r="AA417">
        <f t="shared" si="13"/>
        <v>-141.42399999999998</v>
      </c>
    </row>
    <row r="418" spans="1:27" x14ac:dyDescent="0.25">
      <c r="A418" t="s">
        <v>1185</v>
      </c>
      <c r="B418" s="1" t="s">
        <v>1186</v>
      </c>
      <c r="C418" t="s">
        <v>805</v>
      </c>
      <c r="D418" t="s">
        <v>101</v>
      </c>
      <c r="E418" t="str">
        <f>PROPER(TRIM(D418))</f>
        <v>Grace</v>
      </c>
      <c r="F418" t="s">
        <v>46</v>
      </c>
      <c r="G418">
        <v>8</v>
      </c>
      <c r="H418" t="str">
        <f>IF(AND(G418&gt;18, G418&lt;65), "Valid", "Invalid")</f>
        <v>Invalid</v>
      </c>
      <c r="I418" t="s">
        <v>47</v>
      </c>
      <c r="J418" t="str">
        <f>PROPER(TRIM(I418))</f>
        <v>Enugu</v>
      </c>
      <c r="K418" t="s">
        <v>121</v>
      </c>
      <c r="L418" t="str">
        <f>PROPER(TRIM(K418))</f>
        <v>Beauty</v>
      </c>
      <c r="M418" t="s">
        <v>122</v>
      </c>
      <c r="N418" t="str">
        <f>PROPER(TRIM(M418))</f>
        <v>Cream</v>
      </c>
      <c r="O418">
        <v>219.36</v>
      </c>
      <c r="P418">
        <v>-2</v>
      </c>
      <c r="Q418">
        <f>IF(P418&lt;1, 1, P418)</f>
        <v>1</v>
      </c>
      <c r="R418">
        <v>5</v>
      </c>
      <c r="S418" t="str">
        <f>IF(OR(R418&lt;0,R418&gt;100),"invalid","Valid")</f>
        <v>Valid</v>
      </c>
      <c r="T418" t="s">
        <v>59</v>
      </c>
      <c r="U418" t="str">
        <f>PROPER(TRIM(T418))</f>
        <v>Mobile Money</v>
      </c>
      <c r="V418" t="s">
        <v>25</v>
      </c>
      <c r="W418" t="str">
        <f t="shared" si="12"/>
        <v>Dan</v>
      </c>
      <c r="X418" t="s">
        <v>33</v>
      </c>
      <c r="Y418">
        <v>2</v>
      </c>
      <c r="Z418" t="str">
        <f>IF(D418="", "Missing", "ok")</f>
        <v>ok</v>
      </c>
      <c r="AA418">
        <f t="shared" si="13"/>
        <v>208.392</v>
      </c>
    </row>
    <row r="419" spans="1:27" x14ac:dyDescent="0.25">
      <c r="A419" t="s">
        <v>1187</v>
      </c>
      <c r="B419" s="1" t="s">
        <v>1188</v>
      </c>
      <c r="C419" t="s">
        <v>1189</v>
      </c>
      <c r="D419" t="s">
        <v>19</v>
      </c>
      <c r="E419" t="str">
        <f>PROPER(TRIM(D419))</f>
        <v>Peter</v>
      </c>
      <c r="F419" t="s">
        <v>46</v>
      </c>
      <c r="G419">
        <v>18</v>
      </c>
      <c r="H419" t="str">
        <f>IF(AND(G419&gt;18, G419&lt;65), "Valid", "Invalid")</f>
        <v>Invalid</v>
      </c>
      <c r="I419" t="s">
        <v>86</v>
      </c>
      <c r="J419" t="str">
        <f>PROPER(TRIM(I419))</f>
        <v>Kano</v>
      </c>
      <c r="K419" t="s">
        <v>121</v>
      </c>
      <c r="L419" t="str">
        <f>PROPER(TRIM(K419))</f>
        <v>Beauty</v>
      </c>
      <c r="M419" t="s">
        <v>122</v>
      </c>
      <c r="N419" t="str">
        <f>PROPER(TRIM(M419))</f>
        <v>Cream</v>
      </c>
      <c r="O419">
        <v>307.70999999999998</v>
      </c>
      <c r="P419">
        <v>3</v>
      </c>
      <c r="Q419">
        <f>IF(P419&lt;1, 1, P419)</f>
        <v>3</v>
      </c>
      <c r="R419">
        <v>120</v>
      </c>
      <c r="S419" t="str">
        <f>IF(OR(R419&lt;0,R419&gt;100),"invalid","Valid")</f>
        <v>invalid</v>
      </c>
      <c r="U419" t="str">
        <f>PROPER(TRIM(T419))</f>
        <v/>
      </c>
      <c r="V419" t="s">
        <v>25</v>
      </c>
      <c r="W419" t="str">
        <f t="shared" si="12"/>
        <v>Dan</v>
      </c>
      <c r="X419" t="s">
        <v>65</v>
      </c>
      <c r="Y419">
        <v>2</v>
      </c>
      <c r="Z419" t="str">
        <f>IF(D419="", "Missing", "ok")</f>
        <v>ok</v>
      </c>
      <c r="AA419">
        <f t="shared" si="13"/>
        <v>-184.62599999999995</v>
      </c>
    </row>
    <row r="420" spans="1:27" x14ac:dyDescent="0.25">
      <c r="A420" t="s">
        <v>1190</v>
      </c>
      <c r="B420" s="1" t="s">
        <v>1191</v>
      </c>
      <c r="C420" t="s">
        <v>1192</v>
      </c>
      <c r="D420" t="s">
        <v>19</v>
      </c>
      <c r="E420" t="str">
        <f>PROPER(TRIM(D420))</f>
        <v>Peter</v>
      </c>
      <c r="F420" t="s">
        <v>46</v>
      </c>
      <c r="G420">
        <v>52</v>
      </c>
      <c r="H420" t="str">
        <f>IF(AND(G420&gt;18, G420&lt;65), "Valid", "Invalid")</f>
        <v>Valid</v>
      </c>
      <c r="I420" t="s">
        <v>70</v>
      </c>
      <c r="J420" t="str">
        <f>PROPER(TRIM(I420))</f>
        <v>Abuja</v>
      </c>
      <c r="K420" t="s">
        <v>31</v>
      </c>
      <c r="L420" t="str">
        <f>PROPER(TRIM(K420))</f>
        <v>Sports</v>
      </c>
      <c r="M420" t="s">
        <v>32</v>
      </c>
      <c r="N420" t="str">
        <f>PROPER(TRIM(M420))</f>
        <v>Ball</v>
      </c>
      <c r="O420">
        <v>345.48</v>
      </c>
      <c r="P420">
        <v>1</v>
      </c>
      <c r="Q420">
        <f>IF(P420&lt;1, 1, P420)</f>
        <v>1</v>
      </c>
      <c r="R420">
        <v>15</v>
      </c>
      <c r="S420" t="str">
        <f>IF(OR(R420&lt;0,R420&gt;100),"invalid","Valid")</f>
        <v>Valid</v>
      </c>
      <c r="T420" t="s">
        <v>77</v>
      </c>
      <c r="U420" t="str">
        <f>PROPER(TRIM(T420))</f>
        <v>Cash</v>
      </c>
      <c r="V420" t="s">
        <v>41</v>
      </c>
      <c r="W420" t="str">
        <f t="shared" si="12"/>
        <v>Chi</v>
      </c>
      <c r="X420" t="s">
        <v>82</v>
      </c>
      <c r="Z420" t="str">
        <f>IF(D420="", "Missing", "ok")</f>
        <v>ok</v>
      </c>
      <c r="AA420">
        <f t="shared" si="13"/>
        <v>293.65800000000002</v>
      </c>
    </row>
    <row r="421" spans="1:27" x14ac:dyDescent="0.25">
      <c r="A421" t="s">
        <v>1193</v>
      </c>
      <c r="B421" s="1" t="s">
        <v>1194</v>
      </c>
      <c r="C421" t="s">
        <v>1195</v>
      </c>
      <c r="D421" t="s">
        <v>69</v>
      </c>
      <c r="E421" t="str">
        <f>PROPER(TRIM(D421))</f>
        <v>Mary</v>
      </c>
      <c r="F421" t="s">
        <v>46</v>
      </c>
      <c r="G421">
        <v>8</v>
      </c>
      <c r="H421" t="str">
        <f>IF(AND(G421&gt;18, G421&lt;65), "Valid", "Invalid")</f>
        <v>Invalid</v>
      </c>
      <c r="I421" t="s">
        <v>47</v>
      </c>
      <c r="J421" t="str">
        <f>PROPER(TRIM(I421))</f>
        <v>Enugu</v>
      </c>
      <c r="K421" t="s">
        <v>31</v>
      </c>
      <c r="L421" t="str">
        <f>PROPER(TRIM(K421))</f>
        <v>Sports</v>
      </c>
      <c r="M421" t="s">
        <v>32</v>
      </c>
      <c r="N421" t="str">
        <f>PROPER(TRIM(M421))</f>
        <v>Ball</v>
      </c>
      <c r="O421">
        <v>71.7</v>
      </c>
      <c r="P421">
        <v>-2</v>
      </c>
      <c r="Q421">
        <f>IF(P421&lt;1, 1, P421)</f>
        <v>1</v>
      </c>
      <c r="R421">
        <v>15</v>
      </c>
      <c r="S421" t="str">
        <f>IF(OR(R421&lt;0,R421&gt;100),"invalid","Valid")</f>
        <v>Valid</v>
      </c>
      <c r="T421" t="s">
        <v>59</v>
      </c>
      <c r="U421" t="str">
        <f>PROPER(TRIM(T421))</f>
        <v>Mobile Money</v>
      </c>
      <c r="V421" t="s">
        <v>91</v>
      </c>
      <c r="W421" t="str">
        <f t="shared" si="12"/>
        <v>Ben</v>
      </c>
      <c r="X421" t="s">
        <v>26</v>
      </c>
      <c r="Y421">
        <v>5</v>
      </c>
      <c r="Z421" t="str">
        <f>IF(D421="", "Missing", "ok")</f>
        <v>ok</v>
      </c>
      <c r="AA421">
        <f t="shared" si="13"/>
        <v>60.945</v>
      </c>
    </row>
    <row r="422" spans="1:27" x14ac:dyDescent="0.25">
      <c r="A422" t="s">
        <v>1196</v>
      </c>
      <c r="B422" s="1" t="s">
        <v>1073</v>
      </c>
      <c r="C422" t="s">
        <v>1197</v>
      </c>
      <c r="D422" t="s">
        <v>117</v>
      </c>
      <c r="E422" t="str">
        <f>PROPER(TRIM(D422))</f>
        <v>David</v>
      </c>
      <c r="F422" t="s">
        <v>20</v>
      </c>
      <c r="G422">
        <v>60</v>
      </c>
      <c r="H422" t="str">
        <f>IF(AND(G422&gt;18, G422&lt;65), "Valid", "Invalid")</f>
        <v>Valid</v>
      </c>
      <c r="I422" t="s">
        <v>47</v>
      </c>
      <c r="J422" t="str">
        <f>PROPER(TRIM(I422))</f>
        <v>Enugu</v>
      </c>
      <c r="K422" t="s">
        <v>54</v>
      </c>
      <c r="L422" t="str">
        <f>PROPER(TRIM(K422))</f>
        <v>Home</v>
      </c>
      <c r="M422" t="s">
        <v>55</v>
      </c>
      <c r="N422" t="str">
        <f>PROPER(TRIM(M422))</f>
        <v>Chair</v>
      </c>
      <c r="O422">
        <v>410.43</v>
      </c>
      <c r="P422">
        <v>-2</v>
      </c>
      <c r="Q422">
        <f>IF(P422&lt;1, 1, P422)</f>
        <v>1</v>
      </c>
      <c r="R422">
        <v>10</v>
      </c>
      <c r="S422" t="str">
        <f>IF(OR(R422&lt;0,R422&gt;100),"invalid","Valid")</f>
        <v>Valid</v>
      </c>
      <c r="T422" t="s">
        <v>24</v>
      </c>
      <c r="U422" t="str">
        <f>PROPER(TRIM(T422))</f>
        <v>Pos</v>
      </c>
      <c r="V422" t="s">
        <v>91</v>
      </c>
      <c r="W422" t="str">
        <f t="shared" si="12"/>
        <v>Ben</v>
      </c>
      <c r="X422" t="s">
        <v>33</v>
      </c>
      <c r="Y422">
        <v>3</v>
      </c>
      <c r="Z422" t="str">
        <f>IF(D422="", "Missing", "ok")</f>
        <v>ok</v>
      </c>
      <c r="AA422">
        <f t="shared" si="13"/>
        <v>369.387</v>
      </c>
    </row>
    <row r="423" spans="1:27" x14ac:dyDescent="0.25">
      <c r="A423" t="s">
        <v>1198</v>
      </c>
      <c r="B423" s="1" t="s">
        <v>1199</v>
      </c>
      <c r="C423" t="s">
        <v>1200</v>
      </c>
      <c r="D423" t="s">
        <v>37</v>
      </c>
      <c r="E423" t="str">
        <f>PROPER(TRIM(D423))</f>
        <v>Aisha</v>
      </c>
      <c r="F423" t="s">
        <v>20</v>
      </c>
      <c r="G423">
        <v>130</v>
      </c>
      <c r="H423" t="str">
        <f>IF(AND(G423&gt;18, G423&lt;65), "Valid", "Invalid")</f>
        <v>Invalid</v>
      </c>
      <c r="I423" t="s">
        <v>70</v>
      </c>
      <c r="J423" t="str">
        <f>PROPER(TRIM(I423))</f>
        <v>Abuja</v>
      </c>
      <c r="K423" t="s">
        <v>39</v>
      </c>
      <c r="L423" t="str">
        <f>PROPER(TRIM(K423))</f>
        <v>Electronics</v>
      </c>
      <c r="M423" t="s">
        <v>40</v>
      </c>
      <c r="N423" t="str">
        <f>PROPER(TRIM(M423))</f>
        <v>Phone</v>
      </c>
      <c r="O423">
        <v>383.71</v>
      </c>
      <c r="P423">
        <v>5</v>
      </c>
      <c r="Q423">
        <f>IF(P423&lt;1, 1, P423)</f>
        <v>5</v>
      </c>
      <c r="R423">
        <v>0</v>
      </c>
      <c r="S423" t="str">
        <f>IF(OR(R423&lt;0,R423&gt;100),"invalid","Valid")</f>
        <v>Valid</v>
      </c>
      <c r="T423" t="s">
        <v>59</v>
      </c>
      <c r="U423" t="str">
        <f>PROPER(TRIM(T423))</f>
        <v>Mobile Money</v>
      </c>
      <c r="V423" t="s">
        <v>41</v>
      </c>
      <c r="W423" t="str">
        <f t="shared" si="12"/>
        <v>Chi</v>
      </c>
      <c r="X423" t="s">
        <v>82</v>
      </c>
      <c r="Y423">
        <v>5</v>
      </c>
      <c r="Z423" t="str">
        <f>IF(D423="", "Missing", "ok")</f>
        <v>ok</v>
      </c>
      <c r="AA423">
        <f t="shared" si="13"/>
        <v>1918.55</v>
      </c>
    </row>
    <row r="424" spans="1:27" x14ac:dyDescent="0.25">
      <c r="A424" t="s">
        <v>1201</v>
      </c>
      <c r="B424" s="1" t="s">
        <v>1202</v>
      </c>
      <c r="C424" t="s">
        <v>1203</v>
      </c>
      <c r="D424" t="s">
        <v>19</v>
      </c>
      <c r="E424" t="str">
        <f>PROPER(TRIM(D424))</f>
        <v>Peter</v>
      </c>
      <c r="F424" t="s">
        <v>20</v>
      </c>
      <c r="G424">
        <v>8</v>
      </c>
      <c r="H424" t="str">
        <f>IF(AND(G424&gt;18, G424&lt;65), "Valid", "Invalid")</f>
        <v>Invalid</v>
      </c>
      <c r="I424" t="s">
        <v>70</v>
      </c>
      <c r="J424" t="str">
        <f>PROPER(TRIM(I424))</f>
        <v>Abuja</v>
      </c>
      <c r="K424" t="s">
        <v>87</v>
      </c>
      <c r="L424" t="str">
        <f>PROPER(TRIM(K424))</f>
        <v>Groceris</v>
      </c>
      <c r="M424" t="s">
        <v>49</v>
      </c>
      <c r="N424" t="str">
        <f>PROPER(TRIM(M424))</f>
        <v>Rice</v>
      </c>
      <c r="O424">
        <v>9.83</v>
      </c>
      <c r="P424">
        <v>-2</v>
      </c>
      <c r="Q424">
        <f>IF(P424&lt;1, 1, P424)</f>
        <v>1</v>
      </c>
      <c r="R424">
        <v>-10</v>
      </c>
      <c r="S424" t="str">
        <f>IF(OR(R424&lt;0,R424&gt;100),"invalid","Valid")</f>
        <v>invalid</v>
      </c>
      <c r="T424" t="s">
        <v>24</v>
      </c>
      <c r="U424" t="str">
        <f>PROPER(TRIM(T424))</f>
        <v>Pos</v>
      </c>
      <c r="V424" t="s">
        <v>81</v>
      </c>
      <c r="W424" t="str">
        <f t="shared" si="12"/>
        <v>Ada</v>
      </c>
      <c r="X424" t="s">
        <v>26</v>
      </c>
      <c r="Y424">
        <v>2</v>
      </c>
      <c r="Z424" t="str">
        <f>IF(D424="", "Missing", "ok")</f>
        <v>ok</v>
      </c>
      <c r="AA424">
        <f t="shared" si="13"/>
        <v>10.813000000000001</v>
      </c>
    </row>
    <row r="425" spans="1:27" x14ac:dyDescent="0.25">
      <c r="A425" t="s">
        <v>1204</v>
      </c>
      <c r="B425" s="1" t="s">
        <v>1205</v>
      </c>
      <c r="C425" t="s">
        <v>1206</v>
      </c>
      <c r="D425" t="s">
        <v>45</v>
      </c>
      <c r="E425" t="str">
        <f>PROPER(TRIM(D425))</f>
        <v>James</v>
      </c>
      <c r="F425" t="s">
        <v>20</v>
      </c>
      <c r="G425">
        <v>130</v>
      </c>
      <c r="H425" t="str">
        <f>IF(AND(G425&gt;18, G425&lt;65), "Valid", "Invalid")</f>
        <v>Invalid</v>
      </c>
      <c r="I425" t="s">
        <v>21</v>
      </c>
      <c r="J425" t="str">
        <f>PROPER(TRIM(I425))</f>
        <v>Lagos</v>
      </c>
      <c r="K425" t="s">
        <v>48</v>
      </c>
      <c r="L425" t="str">
        <f>PROPER(TRIM(K425))</f>
        <v>Groceries</v>
      </c>
      <c r="M425" t="s">
        <v>49</v>
      </c>
      <c r="N425" t="str">
        <f>PROPER(TRIM(M425))</f>
        <v>Rice</v>
      </c>
      <c r="O425">
        <v>48.19</v>
      </c>
      <c r="P425">
        <v>6</v>
      </c>
      <c r="Q425">
        <f>IF(P425&lt;1, 1, P425)</f>
        <v>6</v>
      </c>
      <c r="R425">
        <v>5</v>
      </c>
      <c r="S425" t="str">
        <f>IF(OR(R425&lt;0,R425&gt;100),"invalid","Valid")</f>
        <v>Valid</v>
      </c>
      <c r="T425" t="s">
        <v>64</v>
      </c>
      <c r="U425" t="str">
        <f>PROPER(TRIM(T425))</f>
        <v>Transfer</v>
      </c>
      <c r="V425" t="s">
        <v>25</v>
      </c>
      <c r="W425" t="str">
        <f t="shared" si="12"/>
        <v>Dan</v>
      </c>
      <c r="X425" t="s">
        <v>26</v>
      </c>
      <c r="Z425" t="str">
        <f>IF(D425="", "Missing", "ok")</f>
        <v>ok</v>
      </c>
      <c r="AA425">
        <f t="shared" si="13"/>
        <v>274.68299999999999</v>
      </c>
    </row>
    <row r="426" spans="1:27" x14ac:dyDescent="0.25">
      <c r="A426" t="s">
        <v>1207</v>
      </c>
      <c r="B426" s="1" t="s">
        <v>1208</v>
      </c>
      <c r="C426" t="s">
        <v>1209</v>
      </c>
      <c r="D426" t="s">
        <v>37</v>
      </c>
      <c r="E426" t="str">
        <f>PROPER(TRIM(D426))</f>
        <v>Aisha</v>
      </c>
      <c r="F426" t="s">
        <v>46</v>
      </c>
      <c r="G426">
        <v>47</v>
      </c>
      <c r="H426" t="str">
        <f>IF(AND(G426&gt;18, G426&lt;65), "Valid", "Invalid")</f>
        <v>Valid</v>
      </c>
      <c r="I426" t="s">
        <v>21</v>
      </c>
      <c r="J426" t="str">
        <f>PROPER(TRIM(I426))</f>
        <v>Lagos</v>
      </c>
      <c r="K426" t="s">
        <v>22</v>
      </c>
      <c r="L426" t="str">
        <f>PROPER(TRIM(K426))</f>
        <v>Fashion</v>
      </c>
      <c r="M426" t="s">
        <v>23</v>
      </c>
      <c r="N426" t="str">
        <f>PROPER(TRIM(M426))</f>
        <v>Shirt</v>
      </c>
      <c r="O426">
        <v>100.53</v>
      </c>
      <c r="P426">
        <v>-2</v>
      </c>
      <c r="Q426">
        <f>IF(P426&lt;1, 1, P426)</f>
        <v>1</v>
      </c>
      <c r="R426">
        <v>5</v>
      </c>
      <c r="S426" t="str">
        <f>IF(OR(R426&lt;0,R426&gt;100),"invalid","Valid")</f>
        <v>Valid</v>
      </c>
      <c r="T426" t="s">
        <v>64</v>
      </c>
      <c r="U426" t="str">
        <f>PROPER(TRIM(T426))</f>
        <v>Transfer</v>
      </c>
      <c r="V426" t="s">
        <v>41</v>
      </c>
      <c r="W426" t="str">
        <f t="shared" si="12"/>
        <v>Chi</v>
      </c>
      <c r="X426" t="s">
        <v>65</v>
      </c>
      <c r="Y426">
        <v>3</v>
      </c>
      <c r="Z426" t="str">
        <f>IF(D426="", "Missing", "ok")</f>
        <v>ok</v>
      </c>
      <c r="AA426">
        <f t="shared" si="13"/>
        <v>95.503500000000003</v>
      </c>
    </row>
    <row r="427" spans="1:27" x14ac:dyDescent="0.25">
      <c r="A427" t="s">
        <v>1210</v>
      </c>
      <c r="B427" s="1" t="s">
        <v>1211</v>
      </c>
      <c r="C427" t="s">
        <v>1212</v>
      </c>
      <c r="D427" t="s">
        <v>63</v>
      </c>
      <c r="E427" t="str">
        <f>PROPER(TRIM(D427))</f>
        <v>John</v>
      </c>
      <c r="F427" t="s">
        <v>20</v>
      </c>
      <c r="G427">
        <v>8</v>
      </c>
      <c r="H427" t="str">
        <f>IF(AND(G427&gt;18, G427&lt;65), "Valid", "Invalid")</f>
        <v>Invalid</v>
      </c>
      <c r="I427" t="s">
        <v>53</v>
      </c>
      <c r="J427" t="str">
        <f>PROPER(TRIM(I427))</f>
        <v>Lagos</v>
      </c>
      <c r="K427" t="s">
        <v>39</v>
      </c>
      <c r="L427" t="str">
        <f>PROPER(TRIM(K427))</f>
        <v>Electronics</v>
      </c>
      <c r="M427" t="s">
        <v>40</v>
      </c>
      <c r="N427" t="str">
        <f>PROPER(TRIM(M427))</f>
        <v>Phone</v>
      </c>
      <c r="O427">
        <v>319.33999999999997</v>
      </c>
      <c r="P427">
        <v>2</v>
      </c>
      <c r="Q427">
        <f>IF(P427&lt;1, 1, P427)</f>
        <v>2</v>
      </c>
      <c r="R427">
        <v>15</v>
      </c>
      <c r="S427" t="str">
        <f>IF(OR(R427&lt;0,R427&gt;100),"invalid","Valid")</f>
        <v>Valid</v>
      </c>
      <c r="T427" t="s">
        <v>77</v>
      </c>
      <c r="U427" t="str">
        <f>PROPER(TRIM(T427))</f>
        <v>Cash</v>
      </c>
      <c r="V427" t="s">
        <v>81</v>
      </c>
      <c r="W427" t="str">
        <f t="shared" si="12"/>
        <v>Ada</v>
      </c>
      <c r="X427" t="s">
        <v>82</v>
      </c>
      <c r="Y427">
        <v>5</v>
      </c>
      <c r="Z427" t="str">
        <f>IF(D427="", "Missing", "ok")</f>
        <v>ok</v>
      </c>
      <c r="AA427">
        <f t="shared" si="13"/>
        <v>542.87799999999993</v>
      </c>
    </row>
    <row r="428" spans="1:27" x14ac:dyDescent="0.25">
      <c r="A428" t="s">
        <v>1213</v>
      </c>
      <c r="B428" s="1" t="s">
        <v>1214</v>
      </c>
      <c r="C428" t="s">
        <v>1215</v>
      </c>
      <c r="E428" t="str">
        <f>PROPER(TRIM(D428))</f>
        <v/>
      </c>
      <c r="F428" t="s">
        <v>20</v>
      </c>
      <c r="G428">
        <v>39</v>
      </c>
      <c r="H428" t="str">
        <f>IF(AND(G428&gt;18, G428&lt;65), "Valid", "Invalid")</f>
        <v>Valid</v>
      </c>
      <c r="I428" t="s">
        <v>21</v>
      </c>
      <c r="J428" t="str">
        <f>PROPER(TRIM(I428))</f>
        <v>Lagos</v>
      </c>
      <c r="K428" t="s">
        <v>22</v>
      </c>
      <c r="L428" t="str">
        <f>PROPER(TRIM(K428))</f>
        <v>Fashion</v>
      </c>
      <c r="M428" t="s">
        <v>23</v>
      </c>
      <c r="N428" t="str">
        <f>PROPER(TRIM(M428))</f>
        <v>Shirt</v>
      </c>
      <c r="O428">
        <v>417.29</v>
      </c>
      <c r="P428">
        <v>7</v>
      </c>
      <c r="Q428">
        <f>IF(P428&lt;1, 1, P428)</f>
        <v>7</v>
      </c>
      <c r="R428">
        <v>5</v>
      </c>
      <c r="S428" t="str">
        <f>IF(OR(R428&lt;0,R428&gt;100),"invalid","Valid")</f>
        <v>Valid</v>
      </c>
      <c r="T428" t="s">
        <v>64</v>
      </c>
      <c r="U428" t="str">
        <f>PROPER(TRIM(T428))</f>
        <v>Transfer</v>
      </c>
      <c r="V428" t="s">
        <v>41</v>
      </c>
      <c r="W428" t="str">
        <f t="shared" si="12"/>
        <v>Chi</v>
      </c>
      <c r="X428" t="s">
        <v>82</v>
      </c>
      <c r="Y428">
        <v>1</v>
      </c>
      <c r="Z428" t="str">
        <f>IF(D428="", "Missing", "ok")</f>
        <v>Missing</v>
      </c>
      <c r="AA428">
        <f t="shared" si="13"/>
        <v>2774.9785000000002</v>
      </c>
    </row>
    <row r="429" spans="1:27" x14ac:dyDescent="0.25">
      <c r="A429" t="s">
        <v>1216</v>
      </c>
      <c r="B429" s="1" t="s">
        <v>1217</v>
      </c>
      <c r="C429" t="s">
        <v>1218</v>
      </c>
      <c r="D429" t="s">
        <v>101</v>
      </c>
      <c r="E429" t="str">
        <f>PROPER(TRIM(D429))</f>
        <v>Grace</v>
      </c>
      <c r="F429" t="s">
        <v>20</v>
      </c>
      <c r="G429">
        <v>36</v>
      </c>
      <c r="H429" t="str">
        <f>IF(AND(G429&gt;18, G429&lt;65), "Valid", "Invalid")</f>
        <v>Valid</v>
      </c>
      <c r="I429" t="s">
        <v>70</v>
      </c>
      <c r="J429" t="str">
        <f>PROPER(TRIM(I429))</f>
        <v>Abuja</v>
      </c>
      <c r="K429" t="s">
        <v>87</v>
      </c>
      <c r="L429" t="str">
        <f>PROPER(TRIM(K429))</f>
        <v>Groceris</v>
      </c>
      <c r="M429" t="s">
        <v>49</v>
      </c>
      <c r="N429" t="str">
        <f>PROPER(TRIM(M429))</f>
        <v>Rice</v>
      </c>
      <c r="O429">
        <v>465.27</v>
      </c>
      <c r="P429">
        <v>6</v>
      </c>
      <c r="Q429">
        <f>IF(P429&lt;1, 1, P429)</f>
        <v>6</v>
      </c>
      <c r="R429">
        <v>5</v>
      </c>
      <c r="S429" t="str">
        <f>IF(OR(R429&lt;0,R429&gt;100),"invalid","Valid")</f>
        <v>Valid</v>
      </c>
      <c r="T429" t="s">
        <v>59</v>
      </c>
      <c r="U429" t="str">
        <f>PROPER(TRIM(T429))</f>
        <v>Mobile Money</v>
      </c>
      <c r="V429" t="s">
        <v>25</v>
      </c>
      <c r="W429" t="str">
        <f t="shared" si="12"/>
        <v>Dan</v>
      </c>
      <c r="X429" t="s">
        <v>65</v>
      </c>
      <c r="Y429">
        <v>4</v>
      </c>
      <c r="Z429" t="str">
        <f>IF(D429="", "Missing", "ok")</f>
        <v>ok</v>
      </c>
      <c r="AA429">
        <f t="shared" si="13"/>
        <v>2652.0389999999998</v>
      </c>
    </row>
    <row r="430" spans="1:27" x14ac:dyDescent="0.25">
      <c r="A430" t="s">
        <v>1219</v>
      </c>
      <c r="B430" s="1" t="s">
        <v>1220</v>
      </c>
      <c r="C430" t="s">
        <v>1221</v>
      </c>
      <c r="D430" t="s">
        <v>69</v>
      </c>
      <c r="E430" t="str">
        <f>PROPER(TRIM(D430))</f>
        <v>Mary</v>
      </c>
      <c r="F430" t="s">
        <v>20</v>
      </c>
      <c r="G430">
        <v>130</v>
      </c>
      <c r="H430" t="str">
        <f>IF(AND(G430&gt;18, G430&lt;65), "Valid", "Invalid")</f>
        <v>Invalid</v>
      </c>
      <c r="I430" t="s">
        <v>47</v>
      </c>
      <c r="J430" t="str">
        <f>PROPER(TRIM(I430))</f>
        <v>Enugu</v>
      </c>
      <c r="K430" t="s">
        <v>121</v>
      </c>
      <c r="L430" t="str">
        <f>PROPER(TRIM(K430))</f>
        <v>Beauty</v>
      </c>
      <c r="M430" t="s">
        <v>122</v>
      </c>
      <c r="N430" t="str">
        <f>PROPER(TRIM(M430))</f>
        <v>Cream</v>
      </c>
      <c r="O430">
        <v>137.16</v>
      </c>
      <c r="P430">
        <v>-2</v>
      </c>
      <c r="Q430">
        <f>IF(P430&lt;1, 1, P430)</f>
        <v>1</v>
      </c>
      <c r="R430">
        <v>0</v>
      </c>
      <c r="S430" t="str">
        <f>IF(OR(R430&lt;0,R430&gt;100),"invalid","Valid")</f>
        <v>Valid</v>
      </c>
      <c r="T430" t="s">
        <v>77</v>
      </c>
      <c r="U430" t="str">
        <f>PROPER(TRIM(T430))</f>
        <v>Cash</v>
      </c>
      <c r="V430" t="s">
        <v>25</v>
      </c>
      <c r="W430" t="str">
        <f t="shared" si="12"/>
        <v>Dan</v>
      </c>
      <c r="X430" t="s">
        <v>82</v>
      </c>
      <c r="Y430">
        <v>2</v>
      </c>
      <c r="Z430" t="str">
        <f>IF(D430="", "Missing", "ok")</f>
        <v>ok</v>
      </c>
      <c r="AA430">
        <f t="shared" si="13"/>
        <v>137.16</v>
      </c>
    </row>
    <row r="431" spans="1:27" x14ac:dyDescent="0.25">
      <c r="A431" t="s">
        <v>1222</v>
      </c>
      <c r="B431" s="1" t="s">
        <v>1223</v>
      </c>
      <c r="C431" t="s">
        <v>1224</v>
      </c>
      <c r="D431" t="s">
        <v>101</v>
      </c>
      <c r="E431" t="str">
        <f>PROPER(TRIM(D431))</f>
        <v>Grace</v>
      </c>
      <c r="F431" t="s">
        <v>46</v>
      </c>
      <c r="G431">
        <v>130</v>
      </c>
      <c r="H431" t="str">
        <f>IF(AND(G431&gt;18, G431&lt;65), "Valid", "Invalid")</f>
        <v>Invalid</v>
      </c>
      <c r="I431" t="s">
        <v>86</v>
      </c>
      <c r="J431" t="str">
        <f>PROPER(TRIM(I431))</f>
        <v>Kano</v>
      </c>
      <c r="K431" t="s">
        <v>39</v>
      </c>
      <c r="L431" t="str">
        <f>PROPER(TRIM(K431))</f>
        <v>Electronics</v>
      </c>
      <c r="M431" t="s">
        <v>40</v>
      </c>
      <c r="N431" t="str">
        <f>PROPER(TRIM(M431))</f>
        <v>Phone</v>
      </c>
      <c r="O431">
        <v>337.18</v>
      </c>
      <c r="P431">
        <v>-2</v>
      </c>
      <c r="Q431">
        <f>IF(P431&lt;1, 1, P431)</f>
        <v>1</v>
      </c>
      <c r="R431">
        <v>10</v>
      </c>
      <c r="S431" t="str">
        <f>IF(OR(R431&lt;0,R431&gt;100),"invalid","Valid")</f>
        <v>Valid</v>
      </c>
      <c r="T431" t="s">
        <v>64</v>
      </c>
      <c r="U431" t="str">
        <f>PROPER(TRIM(T431))</f>
        <v>Transfer</v>
      </c>
      <c r="V431" t="s">
        <v>81</v>
      </c>
      <c r="W431" t="str">
        <f t="shared" si="12"/>
        <v>Ada</v>
      </c>
      <c r="X431" t="s">
        <v>65</v>
      </c>
      <c r="Y431">
        <v>5</v>
      </c>
      <c r="Z431" t="str">
        <f>IF(D431="", "Missing", "ok")</f>
        <v>ok</v>
      </c>
      <c r="AA431">
        <f t="shared" si="13"/>
        <v>303.46199999999999</v>
      </c>
    </row>
    <row r="432" spans="1:27" x14ac:dyDescent="0.25">
      <c r="A432" t="s">
        <v>1225</v>
      </c>
      <c r="B432" s="1" t="s">
        <v>1226</v>
      </c>
      <c r="C432" t="s">
        <v>1227</v>
      </c>
      <c r="D432" t="s">
        <v>19</v>
      </c>
      <c r="E432" t="str">
        <f>PROPER(TRIM(D432))</f>
        <v>Peter</v>
      </c>
      <c r="F432" t="s">
        <v>20</v>
      </c>
      <c r="G432">
        <v>130</v>
      </c>
      <c r="H432" t="str">
        <f>IF(AND(G432&gt;18, G432&lt;65), "Valid", "Invalid")</f>
        <v>Invalid</v>
      </c>
      <c r="I432" t="s">
        <v>21</v>
      </c>
      <c r="J432" t="str">
        <f>PROPER(TRIM(I432))</f>
        <v>Lagos</v>
      </c>
      <c r="K432" t="s">
        <v>87</v>
      </c>
      <c r="L432" t="str">
        <f>PROPER(TRIM(K432))</f>
        <v>Groceris</v>
      </c>
      <c r="M432" t="s">
        <v>49</v>
      </c>
      <c r="N432" t="str">
        <f>PROPER(TRIM(M432))</f>
        <v>Rice</v>
      </c>
      <c r="O432">
        <v>120.73</v>
      </c>
      <c r="P432">
        <v>-2</v>
      </c>
      <c r="Q432">
        <f>IF(P432&lt;1, 1, P432)</f>
        <v>1</v>
      </c>
      <c r="R432">
        <v>10</v>
      </c>
      <c r="S432" t="str">
        <f>IF(OR(R432&lt;0,R432&gt;100),"invalid","Valid")</f>
        <v>Valid</v>
      </c>
      <c r="U432" t="str">
        <f>PROPER(TRIM(T432))</f>
        <v/>
      </c>
      <c r="V432" t="s">
        <v>81</v>
      </c>
      <c r="W432" t="str">
        <f t="shared" si="12"/>
        <v>Ada</v>
      </c>
      <c r="X432" t="s">
        <v>82</v>
      </c>
      <c r="Z432" t="str">
        <f>IF(D432="", "Missing", "ok")</f>
        <v>ok</v>
      </c>
      <c r="AA432">
        <f t="shared" si="13"/>
        <v>108.65700000000001</v>
      </c>
    </row>
    <row r="433" spans="1:27" x14ac:dyDescent="0.25">
      <c r="A433" t="s">
        <v>1228</v>
      </c>
      <c r="B433" s="1" t="s">
        <v>1229</v>
      </c>
      <c r="C433" t="s">
        <v>1230</v>
      </c>
      <c r="D433" t="s">
        <v>63</v>
      </c>
      <c r="E433" t="str">
        <f>PROPER(TRIM(D433))</f>
        <v>John</v>
      </c>
      <c r="F433" t="s">
        <v>46</v>
      </c>
      <c r="G433">
        <v>65</v>
      </c>
      <c r="H433" t="str">
        <f>IF(AND(G433&gt;18, G433&lt;65), "Valid", "Invalid")</f>
        <v>Invalid</v>
      </c>
      <c r="I433" t="s">
        <v>86</v>
      </c>
      <c r="J433" t="str">
        <f>PROPER(TRIM(I433))</f>
        <v>Kano</v>
      </c>
      <c r="K433" t="s">
        <v>31</v>
      </c>
      <c r="L433" t="str">
        <f>PROPER(TRIM(K433))</f>
        <v>Sports</v>
      </c>
      <c r="M433" t="s">
        <v>32</v>
      </c>
      <c r="N433" t="str">
        <f>PROPER(TRIM(M433))</f>
        <v>Ball</v>
      </c>
      <c r="O433">
        <v>186.05</v>
      </c>
      <c r="P433">
        <v>-2</v>
      </c>
      <c r="Q433">
        <f>IF(P433&lt;1, 1, P433)</f>
        <v>1</v>
      </c>
      <c r="R433">
        <v>15</v>
      </c>
      <c r="S433" t="str">
        <f>IF(OR(R433&lt;0,R433&gt;100),"invalid","Valid")</f>
        <v>Valid</v>
      </c>
      <c r="T433" t="s">
        <v>24</v>
      </c>
      <c r="U433" t="str">
        <f>PROPER(TRIM(T433))</f>
        <v>Pos</v>
      </c>
      <c r="V433" t="s">
        <v>91</v>
      </c>
      <c r="W433" t="str">
        <f t="shared" si="12"/>
        <v>Ben</v>
      </c>
      <c r="X433" t="s">
        <v>65</v>
      </c>
      <c r="Y433">
        <v>5</v>
      </c>
      <c r="Z433" t="str">
        <f>IF(D433="", "Missing", "ok")</f>
        <v>ok</v>
      </c>
      <c r="AA433">
        <f t="shared" si="13"/>
        <v>158.14250000000001</v>
      </c>
    </row>
    <row r="434" spans="1:27" x14ac:dyDescent="0.25">
      <c r="A434" t="s">
        <v>1231</v>
      </c>
      <c r="B434" s="1" t="s">
        <v>1117</v>
      </c>
      <c r="C434" t="s">
        <v>1232</v>
      </c>
      <c r="D434" t="s">
        <v>37</v>
      </c>
      <c r="E434" t="str">
        <f>PROPER(TRIM(D434))</f>
        <v>Aisha</v>
      </c>
      <c r="F434" t="s">
        <v>46</v>
      </c>
      <c r="G434">
        <v>8</v>
      </c>
      <c r="H434" t="str">
        <f>IF(AND(G434&gt;18, G434&lt;65), "Valid", "Invalid")</f>
        <v>Invalid</v>
      </c>
      <c r="I434" t="s">
        <v>53</v>
      </c>
      <c r="J434" t="str">
        <f>PROPER(TRIM(I434))</f>
        <v>Lagos</v>
      </c>
      <c r="K434" t="s">
        <v>54</v>
      </c>
      <c r="L434" t="str">
        <f>PROPER(TRIM(K434))</f>
        <v>Home</v>
      </c>
      <c r="M434" t="s">
        <v>55</v>
      </c>
      <c r="N434" t="str">
        <f>PROPER(TRIM(M434))</f>
        <v>Chair</v>
      </c>
      <c r="O434">
        <v>148.22</v>
      </c>
      <c r="P434">
        <v>1</v>
      </c>
      <c r="Q434">
        <f>IF(P434&lt;1, 1, P434)</f>
        <v>1</v>
      </c>
      <c r="R434">
        <v>120</v>
      </c>
      <c r="S434" t="str">
        <f>IF(OR(R434&lt;0,R434&gt;100),"invalid","Valid")</f>
        <v>invalid</v>
      </c>
      <c r="T434" t="s">
        <v>24</v>
      </c>
      <c r="U434" t="str">
        <f>PROPER(TRIM(T434))</f>
        <v>Pos</v>
      </c>
      <c r="V434" t="s">
        <v>91</v>
      </c>
      <c r="W434" t="str">
        <f t="shared" si="12"/>
        <v>Ben</v>
      </c>
      <c r="X434" t="s">
        <v>65</v>
      </c>
      <c r="Y434">
        <v>4</v>
      </c>
      <c r="Z434" t="str">
        <f>IF(D434="", "Missing", "ok")</f>
        <v>ok</v>
      </c>
      <c r="AA434">
        <f t="shared" si="13"/>
        <v>-29.643999999999995</v>
      </c>
    </row>
    <row r="435" spans="1:27" x14ac:dyDescent="0.25">
      <c r="A435" t="s">
        <v>1233</v>
      </c>
      <c r="B435" s="1" t="s">
        <v>1234</v>
      </c>
      <c r="C435" t="s">
        <v>1235</v>
      </c>
      <c r="D435" t="s">
        <v>63</v>
      </c>
      <c r="E435" t="str">
        <f>PROPER(TRIM(D435))</f>
        <v>John</v>
      </c>
      <c r="F435" t="s">
        <v>46</v>
      </c>
      <c r="G435">
        <v>130</v>
      </c>
      <c r="H435" t="str">
        <f>IF(AND(G435&gt;18, G435&lt;65), "Valid", "Invalid")</f>
        <v>Invalid</v>
      </c>
      <c r="I435" t="s">
        <v>53</v>
      </c>
      <c r="J435" t="str">
        <f>PROPER(TRIM(I435))</f>
        <v>Lagos</v>
      </c>
      <c r="K435" t="s">
        <v>31</v>
      </c>
      <c r="L435" t="str">
        <f>PROPER(TRIM(K435))</f>
        <v>Sports</v>
      </c>
      <c r="M435" t="s">
        <v>32</v>
      </c>
      <c r="N435" t="str">
        <f>PROPER(TRIM(M435))</f>
        <v>Ball</v>
      </c>
      <c r="O435">
        <v>273.62</v>
      </c>
      <c r="P435">
        <v>-2</v>
      </c>
      <c r="Q435">
        <f>IF(P435&lt;1, 1, P435)</f>
        <v>1</v>
      </c>
      <c r="R435">
        <v>0</v>
      </c>
      <c r="S435" t="str">
        <f>IF(OR(R435&lt;0,R435&gt;100),"invalid","Valid")</f>
        <v>Valid</v>
      </c>
      <c r="T435" t="s">
        <v>77</v>
      </c>
      <c r="U435" t="str">
        <f>PROPER(TRIM(T435))</f>
        <v>Cash</v>
      </c>
      <c r="V435" t="s">
        <v>41</v>
      </c>
      <c r="W435" t="str">
        <f t="shared" si="12"/>
        <v>Chi</v>
      </c>
      <c r="X435" t="s">
        <v>82</v>
      </c>
      <c r="Y435">
        <v>2</v>
      </c>
      <c r="Z435" t="str">
        <f>IF(D435="", "Missing", "ok")</f>
        <v>ok</v>
      </c>
      <c r="AA435">
        <f t="shared" si="13"/>
        <v>273.62</v>
      </c>
    </row>
    <row r="436" spans="1:27" x14ac:dyDescent="0.25">
      <c r="A436" t="s">
        <v>1236</v>
      </c>
      <c r="B436" s="1" t="s">
        <v>406</v>
      </c>
      <c r="C436" t="s">
        <v>1237</v>
      </c>
      <c r="D436" t="s">
        <v>45</v>
      </c>
      <c r="E436" t="str">
        <f>PROPER(TRIM(D436))</f>
        <v>James</v>
      </c>
      <c r="F436" t="s">
        <v>46</v>
      </c>
      <c r="G436">
        <v>35</v>
      </c>
      <c r="H436" t="str">
        <f>IF(AND(G436&gt;18, G436&lt;65), "Valid", "Invalid")</f>
        <v>Valid</v>
      </c>
      <c r="I436" t="s">
        <v>21</v>
      </c>
      <c r="J436" t="str">
        <f>PROPER(TRIM(I436))</f>
        <v>Lagos</v>
      </c>
      <c r="K436" t="s">
        <v>121</v>
      </c>
      <c r="L436" t="str">
        <f>PROPER(TRIM(K436))</f>
        <v>Beauty</v>
      </c>
      <c r="M436" t="s">
        <v>122</v>
      </c>
      <c r="N436" t="str">
        <f>PROPER(TRIM(M436))</f>
        <v>Cream</v>
      </c>
      <c r="O436">
        <v>106.31</v>
      </c>
      <c r="P436">
        <v>10</v>
      </c>
      <c r="Q436">
        <f>IF(P436&lt;1, 1, P436)</f>
        <v>10</v>
      </c>
      <c r="R436">
        <v>0</v>
      </c>
      <c r="S436" t="str">
        <f>IF(OR(R436&lt;0,R436&gt;100),"invalid","Valid")</f>
        <v>Valid</v>
      </c>
      <c r="U436" t="str">
        <f>PROPER(TRIM(T436))</f>
        <v/>
      </c>
      <c r="V436" t="s">
        <v>91</v>
      </c>
      <c r="W436" t="str">
        <f t="shared" si="12"/>
        <v>Ben</v>
      </c>
      <c r="X436" t="s">
        <v>82</v>
      </c>
      <c r="Y436">
        <v>2</v>
      </c>
      <c r="Z436" t="str">
        <f>IF(D436="", "Missing", "ok")</f>
        <v>ok</v>
      </c>
      <c r="AA436">
        <f t="shared" si="13"/>
        <v>1063.0999999999999</v>
      </c>
    </row>
    <row r="437" spans="1:27" x14ac:dyDescent="0.25">
      <c r="A437" t="s">
        <v>1238</v>
      </c>
      <c r="B437" s="1" t="s">
        <v>415</v>
      </c>
      <c r="C437" t="s">
        <v>1239</v>
      </c>
      <c r="D437" t="s">
        <v>101</v>
      </c>
      <c r="E437" t="str">
        <f>PROPER(TRIM(D437))</f>
        <v>Grace</v>
      </c>
      <c r="F437" t="s">
        <v>20</v>
      </c>
      <c r="G437">
        <v>8</v>
      </c>
      <c r="H437" t="str">
        <f>IF(AND(G437&gt;18, G437&lt;65), "Valid", "Invalid")</f>
        <v>Invalid</v>
      </c>
      <c r="I437" t="s">
        <v>53</v>
      </c>
      <c r="J437" t="str">
        <f>PROPER(TRIM(I437))</f>
        <v>Lagos</v>
      </c>
      <c r="K437" t="s">
        <v>121</v>
      </c>
      <c r="L437" t="str">
        <f>PROPER(TRIM(K437))</f>
        <v>Beauty</v>
      </c>
      <c r="M437" t="s">
        <v>122</v>
      </c>
      <c r="N437" t="str">
        <f>PROPER(TRIM(M437))</f>
        <v>Cream</v>
      </c>
      <c r="O437">
        <v>269.26</v>
      </c>
      <c r="P437">
        <v>-2</v>
      </c>
      <c r="Q437">
        <f>IF(P437&lt;1, 1, P437)</f>
        <v>1</v>
      </c>
      <c r="R437">
        <v>5</v>
      </c>
      <c r="S437" t="str">
        <f>IF(OR(R437&lt;0,R437&gt;100),"invalid","Valid")</f>
        <v>Valid</v>
      </c>
      <c r="T437" t="s">
        <v>77</v>
      </c>
      <c r="U437" t="str">
        <f>PROPER(TRIM(T437))</f>
        <v>Cash</v>
      </c>
      <c r="V437" t="s">
        <v>81</v>
      </c>
      <c r="W437" t="str">
        <f t="shared" si="12"/>
        <v>Ada</v>
      </c>
      <c r="X437" t="s">
        <v>26</v>
      </c>
      <c r="Y437">
        <v>3</v>
      </c>
      <c r="Z437" t="str">
        <f>IF(D437="", "Missing", "ok")</f>
        <v>ok</v>
      </c>
      <c r="AA437">
        <f t="shared" si="13"/>
        <v>255.79699999999997</v>
      </c>
    </row>
    <row r="438" spans="1:27" x14ac:dyDescent="0.25">
      <c r="A438" t="s">
        <v>1240</v>
      </c>
      <c r="B438" s="1" t="s">
        <v>879</v>
      </c>
      <c r="C438" t="s">
        <v>1241</v>
      </c>
      <c r="D438" t="s">
        <v>101</v>
      </c>
      <c r="E438" t="str">
        <f>PROPER(TRIM(D438))</f>
        <v>Grace</v>
      </c>
      <c r="F438" t="s">
        <v>20</v>
      </c>
      <c r="G438">
        <v>8</v>
      </c>
      <c r="H438" t="str">
        <f>IF(AND(G438&gt;18, G438&lt;65), "Valid", "Invalid")</f>
        <v>Invalid</v>
      </c>
      <c r="I438" t="s">
        <v>53</v>
      </c>
      <c r="J438" t="str">
        <f>PROPER(TRIM(I438))</f>
        <v>Lagos</v>
      </c>
      <c r="K438" t="s">
        <v>54</v>
      </c>
      <c r="L438" t="str">
        <f>PROPER(TRIM(K438))</f>
        <v>Home</v>
      </c>
      <c r="M438" t="s">
        <v>55</v>
      </c>
      <c r="N438" t="str">
        <f>PROPER(TRIM(M438))</f>
        <v>Chair</v>
      </c>
      <c r="O438">
        <v>222.68</v>
      </c>
      <c r="P438">
        <v>-2</v>
      </c>
      <c r="Q438">
        <f>IF(P438&lt;1, 1, P438)</f>
        <v>1</v>
      </c>
      <c r="R438">
        <v>5</v>
      </c>
      <c r="S438" t="str">
        <f>IF(OR(R438&lt;0,R438&gt;100),"invalid","Valid")</f>
        <v>Valid</v>
      </c>
      <c r="T438" t="s">
        <v>77</v>
      </c>
      <c r="U438" t="str">
        <f>PROPER(TRIM(T438))</f>
        <v>Cash</v>
      </c>
      <c r="V438" t="s">
        <v>81</v>
      </c>
      <c r="W438" t="str">
        <f t="shared" si="12"/>
        <v>Ada</v>
      </c>
      <c r="X438" t="s">
        <v>33</v>
      </c>
      <c r="Y438">
        <v>5</v>
      </c>
      <c r="Z438" t="str">
        <f>IF(D438="", "Missing", "ok")</f>
        <v>ok</v>
      </c>
      <c r="AA438">
        <f t="shared" si="13"/>
        <v>211.54599999999999</v>
      </c>
    </row>
    <row r="439" spans="1:27" x14ac:dyDescent="0.25">
      <c r="A439" t="s">
        <v>1242</v>
      </c>
      <c r="B439" s="1" t="s">
        <v>240</v>
      </c>
      <c r="C439" t="s">
        <v>1243</v>
      </c>
      <c r="D439" t="s">
        <v>37</v>
      </c>
      <c r="E439" t="str">
        <f>PROPER(TRIM(D439))</f>
        <v>Aisha</v>
      </c>
      <c r="F439" t="s">
        <v>20</v>
      </c>
      <c r="G439">
        <v>8</v>
      </c>
      <c r="H439" t="str">
        <f>IF(AND(G439&gt;18, G439&lt;65), "Valid", "Invalid")</f>
        <v>Invalid</v>
      </c>
      <c r="I439" t="s">
        <v>30</v>
      </c>
      <c r="J439" t="str">
        <f>PROPER(TRIM(I439))</f>
        <v>Lagos</v>
      </c>
      <c r="K439" t="s">
        <v>87</v>
      </c>
      <c r="L439" t="str">
        <f>PROPER(TRIM(K439))</f>
        <v>Groceris</v>
      </c>
      <c r="M439" t="s">
        <v>49</v>
      </c>
      <c r="N439" t="str">
        <f>PROPER(TRIM(M439))</f>
        <v>Rice</v>
      </c>
      <c r="O439">
        <v>347.08</v>
      </c>
      <c r="P439">
        <v>-2</v>
      </c>
      <c r="Q439">
        <f>IF(P439&lt;1, 1, P439)</f>
        <v>1</v>
      </c>
      <c r="R439">
        <v>5</v>
      </c>
      <c r="S439" t="str">
        <f>IF(OR(R439&lt;0,R439&gt;100),"invalid","Valid")</f>
        <v>Valid</v>
      </c>
      <c r="U439" t="str">
        <f>PROPER(TRIM(T439))</f>
        <v/>
      </c>
      <c r="V439" t="s">
        <v>41</v>
      </c>
      <c r="W439" t="str">
        <f t="shared" si="12"/>
        <v>Chi</v>
      </c>
      <c r="X439" t="s">
        <v>65</v>
      </c>
      <c r="Y439">
        <v>2</v>
      </c>
      <c r="Z439" t="str">
        <f>IF(D439="", "Missing", "ok")</f>
        <v>ok</v>
      </c>
      <c r="AA439">
        <f t="shared" si="13"/>
        <v>329.72599999999994</v>
      </c>
    </row>
    <row r="440" spans="1:27" x14ac:dyDescent="0.25">
      <c r="A440" t="s">
        <v>1244</v>
      </c>
      <c r="B440" s="1" t="s">
        <v>1245</v>
      </c>
      <c r="C440" t="s">
        <v>1246</v>
      </c>
      <c r="D440" t="s">
        <v>101</v>
      </c>
      <c r="E440" t="str">
        <f>PROPER(TRIM(D440))</f>
        <v>Grace</v>
      </c>
      <c r="F440" t="s">
        <v>46</v>
      </c>
      <c r="G440">
        <v>130</v>
      </c>
      <c r="H440" t="str">
        <f>IF(AND(G440&gt;18, G440&lt;65), "Valid", "Invalid")</f>
        <v>Invalid</v>
      </c>
      <c r="I440" t="s">
        <v>38</v>
      </c>
      <c r="J440" t="str">
        <f>PROPER(TRIM(I440))</f>
        <v>Ph</v>
      </c>
      <c r="K440" t="s">
        <v>48</v>
      </c>
      <c r="L440" t="str">
        <f>PROPER(TRIM(K440))</f>
        <v>Groceries</v>
      </c>
      <c r="M440" t="s">
        <v>49</v>
      </c>
      <c r="N440" t="str">
        <f>PROPER(TRIM(M440))</f>
        <v>Rice</v>
      </c>
      <c r="O440">
        <v>490.25</v>
      </c>
      <c r="P440">
        <v>-2</v>
      </c>
      <c r="Q440">
        <f>IF(P440&lt;1, 1, P440)</f>
        <v>1</v>
      </c>
      <c r="R440">
        <v>120</v>
      </c>
      <c r="S440" t="str">
        <f>IF(OR(R440&lt;0,R440&gt;100),"invalid","Valid")</f>
        <v>invalid</v>
      </c>
      <c r="T440" t="s">
        <v>64</v>
      </c>
      <c r="U440" t="str">
        <f>PROPER(TRIM(T440))</f>
        <v>Transfer</v>
      </c>
      <c r="V440" t="s">
        <v>91</v>
      </c>
      <c r="W440" t="str">
        <f t="shared" si="12"/>
        <v>Ben</v>
      </c>
      <c r="X440" t="s">
        <v>82</v>
      </c>
      <c r="Y440">
        <v>2</v>
      </c>
      <c r="Z440" t="str">
        <f>IF(D440="", "Missing", "ok")</f>
        <v>ok</v>
      </c>
      <c r="AA440">
        <f t="shared" si="13"/>
        <v>-98.049999999999983</v>
      </c>
    </row>
    <row r="441" spans="1:27" x14ac:dyDescent="0.25">
      <c r="A441" t="s">
        <v>1247</v>
      </c>
      <c r="B441" s="1" t="s">
        <v>130</v>
      </c>
      <c r="C441" t="s">
        <v>1248</v>
      </c>
      <c r="D441" t="s">
        <v>37</v>
      </c>
      <c r="E441" t="str">
        <f>PROPER(TRIM(D441))</f>
        <v>Aisha</v>
      </c>
      <c r="F441" t="s">
        <v>46</v>
      </c>
      <c r="G441">
        <v>8</v>
      </c>
      <c r="H441" t="str">
        <f>IF(AND(G441&gt;18, G441&lt;65), "Valid", "Invalid")</f>
        <v>Invalid</v>
      </c>
      <c r="I441" t="s">
        <v>53</v>
      </c>
      <c r="J441" t="str">
        <f>PROPER(TRIM(I441))</f>
        <v>Lagos</v>
      </c>
      <c r="K441" t="s">
        <v>31</v>
      </c>
      <c r="L441" t="str">
        <f>PROPER(TRIM(K441))</f>
        <v>Sports</v>
      </c>
      <c r="M441" t="s">
        <v>32</v>
      </c>
      <c r="N441" t="str">
        <f>PROPER(TRIM(M441))</f>
        <v>Ball</v>
      </c>
      <c r="O441">
        <v>229.67</v>
      </c>
      <c r="P441">
        <v>9</v>
      </c>
      <c r="Q441">
        <f>IF(P441&lt;1, 1, P441)</f>
        <v>9</v>
      </c>
      <c r="R441">
        <v>15</v>
      </c>
      <c r="S441" t="str">
        <f>IF(OR(R441&lt;0,R441&gt;100),"invalid","Valid")</f>
        <v>Valid</v>
      </c>
      <c r="T441" t="s">
        <v>64</v>
      </c>
      <c r="U441" t="str">
        <f>PROPER(TRIM(T441))</f>
        <v>Transfer</v>
      </c>
      <c r="V441" t="s">
        <v>91</v>
      </c>
      <c r="W441" t="str">
        <f t="shared" si="12"/>
        <v>Ben</v>
      </c>
      <c r="X441" t="s">
        <v>82</v>
      </c>
      <c r="Y441">
        <v>3</v>
      </c>
      <c r="Z441" t="str">
        <f>IF(D441="", "Missing", "ok")</f>
        <v>ok</v>
      </c>
      <c r="AA441">
        <f t="shared" si="13"/>
        <v>1756.9754999999998</v>
      </c>
    </row>
    <row r="442" spans="1:27" x14ac:dyDescent="0.25">
      <c r="A442" t="s">
        <v>1249</v>
      </c>
      <c r="B442" s="1" t="s">
        <v>1220</v>
      </c>
      <c r="C442" t="s">
        <v>1250</v>
      </c>
      <c r="D442" t="s">
        <v>45</v>
      </c>
      <c r="E442" t="str">
        <f>PROPER(TRIM(D442))</f>
        <v>James</v>
      </c>
      <c r="F442" t="s">
        <v>46</v>
      </c>
      <c r="G442">
        <v>8</v>
      </c>
      <c r="H442" t="str">
        <f>IF(AND(G442&gt;18, G442&lt;65), "Valid", "Invalid")</f>
        <v>Invalid</v>
      </c>
      <c r="I442" t="s">
        <v>30</v>
      </c>
      <c r="J442" t="str">
        <f>PROPER(TRIM(I442))</f>
        <v>Lagos</v>
      </c>
      <c r="K442" t="s">
        <v>31</v>
      </c>
      <c r="L442" t="str">
        <f>PROPER(TRIM(K442))</f>
        <v>Sports</v>
      </c>
      <c r="M442" t="s">
        <v>32</v>
      </c>
      <c r="N442" t="str">
        <f>PROPER(TRIM(M442))</f>
        <v>Ball</v>
      </c>
      <c r="O442">
        <v>470.85</v>
      </c>
      <c r="P442">
        <v>-2</v>
      </c>
      <c r="Q442">
        <f>IF(P442&lt;1, 1, P442)</f>
        <v>1</v>
      </c>
      <c r="R442">
        <v>0</v>
      </c>
      <c r="S442" t="str">
        <f>IF(OR(R442&lt;0,R442&gt;100),"invalid","Valid")</f>
        <v>Valid</v>
      </c>
      <c r="T442" t="s">
        <v>59</v>
      </c>
      <c r="U442" t="str">
        <f>PROPER(TRIM(T442))</f>
        <v>Mobile Money</v>
      </c>
      <c r="V442" t="s">
        <v>91</v>
      </c>
      <c r="W442" t="str">
        <f t="shared" si="12"/>
        <v>Ben</v>
      </c>
      <c r="X442" t="s">
        <v>82</v>
      </c>
      <c r="Z442" t="str">
        <f>IF(D442="", "Missing", "ok")</f>
        <v>ok</v>
      </c>
      <c r="AA442">
        <f t="shared" si="13"/>
        <v>470.85</v>
      </c>
    </row>
    <row r="443" spans="1:27" x14ac:dyDescent="0.25">
      <c r="A443" t="s">
        <v>1251</v>
      </c>
      <c r="B443" s="1" t="s">
        <v>1252</v>
      </c>
      <c r="C443" t="s">
        <v>1253</v>
      </c>
      <c r="D443" t="s">
        <v>101</v>
      </c>
      <c r="E443" t="str">
        <f>PROPER(TRIM(D443))</f>
        <v>Grace</v>
      </c>
      <c r="F443" t="s">
        <v>46</v>
      </c>
      <c r="G443">
        <v>36</v>
      </c>
      <c r="H443" t="str">
        <f>IF(AND(G443&gt;18, G443&lt;65), "Valid", "Invalid")</f>
        <v>Valid</v>
      </c>
      <c r="I443" t="s">
        <v>70</v>
      </c>
      <c r="J443" t="str">
        <f>PROPER(TRIM(I443))</f>
        <v>Abuja</v>
      </c>
      <c r="K443" t="s">
        <v>87</v>
      </c>
      <c r="L443" t="str">
        <f>PROPER(TRIM(K443))</f>
        <v>Groceris</v>
      </c>
      <c r="M443" t="s">
        <v>49</v>
      </c>
      <c r="N443" t="str">
        <f>PROPER(TRIM(M443))</f>
        <v>Rice</v>
      </c>
      <c r="O443">
        <v>443.02</v>
      </c>
      <c r="P443">
        <v>7</v>
      </c>
      <c r="Q443">
        <f>IF(P443&lt;1, 1, P443)</f>
        <v>7</v>
      </c>
      <c r="R443">
        <v>15</v>
      </c>
      <c r="S443" t="str">
        <f>IF(OR(R443&lt;0,R443&gt;100),"invalid","Valid")</f>
        <v>Valid</v>
      </c>
      <c r="T443" t="s">
        <v>24</v>
      </c>
      <c r="U443" t="str">
        <f>PROPER(TRIM(T443))</f>
        <v>Pos</v>
      </c>
      <c r="V443" t="s">
        <v>41</v>
      </c>
      <c r="W443" t="str">
        <f t="shared" si="12"/>
        <v>Chi</v>
      </c>
      <c r="X443" t="s">
        <v>33</v>
      </c>
      <c r="Y443">
        <v>5</v>
      </c>
      <c r="Z443" t="str">
        <f>IF(D443="", "Missing", "ok")</f>
        <v>ok</v>
      </c>
      <c r="AA443">
        <f t="shared" si="13"/>
        <v>2635.9689999999996</v>
      </c>
    </row>
    <row r="444" spans="1:27" x14ac:dyDescent="0.25">
      <c r="A444" t="s">
        <v>1254</v>
      </c>
      <c r="B444" s="1" t="s">
        <v>1255</v>
      </c>
      <c r="C444" t="s">
        <v>1256</v>
      </c>
      <c r="D444" t="s">
        <v>19</v>
      </c>
      <c r="E444" t="str">
        <f>PROPER(TRIM(D444))</f>
        <v>Peter</v>
      </c>
      <c r="F444" t="s">
        <v>46</v>
      </c>
      <c r="G444">
        <v>8</v>
      </c>
      <c r="H444" t="str">
        <f>IF(AND(G444&gt;18, G444&lt;65), "Valid", "Invalid")</f>
        <v>Invalid</v>
      </c>
      <c r="I444" t="s">
        <v>21</v>
      </c>
      <c r="J444" t="str">
        <f>PROPER(TRIM(I444))</f>
        <v>Lagos</v>
      </c>
      <c r="K444" t="s">
        <v>87</v>
      </c>
      <c r="L444" t="str">
        <f>PROPER(TRIM(K444))</f>
        <v>Groceris</v>
      </c>
      <c r="M444" t="s">
        <v>49</v>
      </c>
      <c r="N444" t="str">
        <f>PROPER(TRIM(M444))</f>
        <v>Rice</v>
      </c>
      <c r="O444">
        <v>432.76</v>
      </c>
      <c r="P444">
        <v>-2</v>
      </c>
      <c r="Q444">
        <f>IF(P444&lt;1, 1, P444)</f>
        <v>1</v>
      </c>
      <c r="R444">
        <v>5</v>
      </c>
      <c r="S444" t="str">
        <f>IF(OR(R444&lt;0,R444&gt;100),"invalid","Valid")</f>
        <v>Valid</v>
      </c>
      <c r="T444" t="s">
        <v>59</v>
      </c>
      <c r="U444" t="str">
        <f>PROPER(TRIM(T444))</f>
        <v>Mobile Money</v>
      </c>
      <c r="V444" t="s">
        <v>91</v>
      </c>
      <c r="W444" t="str">
        <f t="shared" si="12"/>
        <v>Ben</v>
      </c>
      <c r="X444" t="s">
        <v>26</v>
      </c>
      <c r="Z444" t="str">
        <f>IF(D444="", "Missing", "ok")</f>
        <v>ok</v>
      </c>
      <c r="AA444">
        <f t="shared" si="13"/>
        <v>411.12199999999996</v>
      </c>
    </row>
    <row r="445" spans="1:27" x14ac:dyDescent="0.25">
      <c r="A445" t="s">
        <v>1257</v>
      </c>
      <c r="B445" s="1" t="s">
        <v>1258</v>
      </c>
      <c r="C445" t="s">
        <v>1259</v>
      </c>
      <c r="D445" t="s">
        <v>101</v>
      </c>
      <c r="E445" t="str">
        <f>PROPER(TRIM(D445))</f>
        <v>Grace</v>
      </c>
      <c r="F445" t="s">
        <v>46</v>
      </c>
      <c r="G445">
        <v>8</v>
      </c>
      <c r="H445" t="str">
        <f>IF(AND(G445&gt;18, G445&lt;65), "Valid", "Invalid")</f>
        <v>Invalid</v>
      </c>
      <c r="I445" t="s">
        <v>70</v>
      </c>
      <c r="J445" t="str">
        <f>PROPER(TRIM(I445))</f>
        <v>Abuja</v>
      </c>
      <c r="K445" t="s">
        <v>39</v>
      </c>
      <c r="L445" t="str">
        <f>PROPER(TRIM(K445))</f>
        <v>Electronics</v>
      </c>
      <c r="M445" t="s">
        <v>40</v>
      </c>
      <c r="N445" t="str">
        <f>PROPER(TRIM(M445))</f>
        <v>Phone</v>
      </c>
      <c r="O445">
        <v>253.81</v>
      </c>
      <c r="P445">
        <v>10</v>
      </c>
      <c r="Q445">
        <f>IF(P445&lt;1, 1, P445)</f>
        <v>10</v>
      </c>
      <c r="R445">
        <v>0</v>
      </c>
      <c r="S445" t="str">
        <f>IF(OR(R445&lt;0,R445&gt;100),"invalid","Valid")</f>
        <v>Valid</v>
      </c>
      <c r="T445" t="s">
        <v>59</v>
      </c>
      <c r="U445" t="str">
        <f>PROPER(TRIM(T445))</f>
        <v>Mobile Money</v>
      </c>
      <c r="V445" t="s">
        <v>41</v>
      </c>
      <c r="W445" t="str">
        <f t="shared" si="12"/>
        <v>Chi</v>
      </c>
      <c r="X445" t="s">
        <v>33</v>
      </c>
      <c r="Y445">
        <v>4</v>
      </c>
      <c r="Z445" t="str">
        <f>IF(D445="", "Missing", "ok")</f>
        <v>ok</v>
      </c>
      <c r="AA445">
        <f t="shared" si="13"/>
        <v>2538.1</v>
      </c>
    </row>
    <row r="446" spans="1:27" x14ac:dyDescent="0.25">
      <c r="A446" t="s">
        <v>1260</v>
      </c>
      <c r="B446" s="1" t="s">
        <v>1261</v>
      </c>
      <c r="C446" t="s">
        <v>1262</v>
      </c>
      <c r="D446" t="s">
        <v>63</v>
      </c>
      <c r="E446" t="str">
        <f>PROPER(TRIM(D446))</f>
        <v>John</v>
      </c>
      <c r="F446" t="s">
        <v>20</v>
      </c>
      <c r="G446">
        <v>31</v>
      </c>
      <c r="H446" t="str">
        <f>IF(AND(G446&gt;18, G446&lt;65), "Valid", "Invalid")</f>
        <v>Valid</v>
      </c>
      <c r="I446" t="s">
        <v>30</v>
      </c>
      <c r="J446" t="str">
        <f>PROPER(TRIM(I446))</f>
        <v>Lagos</v>
      </c>
      <c r="K446" t="s">
        <v>31</v>
      </c>
      <c r="L446" t="str">
        <f>PROPER(TRIM(K446))</f>
        <v>Sports</v>
      </c>
      <c r="M446" t="s">
        <v>32</v>
      </c>
      <c r="N446" t="str">
        <f>PROPER(TRIM(M446))</f>
        <v>Ball</v>
      </c>
      <c r="O446">
        <v>495.78</v>
      </c>
      <c r="P446">
        <v>8</v>
      </c>
      <c r="Q446">
        <f>IF(P446&lt;1, 1, P446)</f>
        <v>8</v>
      </c>
      <c r="R446">
        <v>-10</v>
      </c>
      <c r="S446" t="str">
        <f>IF(OR(R446&lt;0,R446&gt;100),"invalid","Valid")</f>
        <v>invalid</v>
      </c>
      <c r="T446" t="s">
        <v>77</v>
      </c>
      <c r="U446" t="str">
        <f>PROPER(TRIM(T446))</f>
        <v>Cash</v>
      </c>
      <c r="V446" t="s">
        <v>81</v>
      </c>
      <c r="W446" t="str">
        <f t="shared" si="12"/>
        <v>Ada</v>
      </c>
      <c r="X446" t="s">
        <v>65</v>
      </c>
      <c r="Y446">
        <v>2</v>
      </c>
      <c r="Z446" t="str">
        <f>IF(D446="", "Missing", "ok")</f>
        <v>ok</v>
      </c>
      <c r="AA446">
        <f t="shared" si="13"/>
        <v>4362.8640000000005</v>
      </c>
    </row>
    <row r="447" spans="1:27" x14ac:dyDescent="0.25">
      <c r="A447" t="s">
        <v>1263</v>
      </c>
      <c r="B447" s="1" t="s">
        <v>1264</v>
      </c>
      <c r="C447" t="s">
        <v>1265</v>
      </c>
      <c r="D447" t="s">
        <v>19</v>
      </c>
      <c r="E447" t="str">
        <f>PROPER(TRIM(D447))</f>
        <v>Peter</v>
      </c>
      <c r="F447" t="s">
        <v>46</v>
      </c>
      <c r="G447">
        <v>130</v>
      </c>
      <c r="H447" t="str">
        <f>IF(AND(G447&gt;18, G447&lt;65), "Valid", "Invalid")</f>
        <v>Invalid</v>
      </c>
      <c r="I447" t="s">
        <v>21</v>
      </c>
      <c r="J447" t="str">
        <f>PROPER(TRIM(I447))</f>
        <v>Lagos</v>
      </c>
      <c r="K447" t="s">
        <v>39</v>
      </c>
      <c r="L447" t="str">
        <f>PROPER(TRIM(K447))</f>
        <v>Electronics</v>
      </c>
      <c r="M447" t="s">
        <v>40</v>
      </c>
      <c r="N447" t="str">
        <f>PROPER(TRIM(M447))</f>
        <v>Phone</v>
      </c>
      <c r="O447">
        <v>288.12</v>
      </c>
      <c r="P447">
        <v>-2</v>
      </c>
      <c r="Q447">
        <f>IF(P447&lt;1, 1, P447)</f>
        <v>1</v>
      </c>
      <c r="R447">
        <v>10</v>
      </c>
      <c r="S447" t="str">
        <f>IF(OR(R447&lt;0,R447&gt;100),"invalid","Valid")</f>
        <v>Valid</v>
      </c>
      <c r="T447" t="s">
        <v>59</v>
      </c>
      <c r="U447" t="str">
        <f>PROPER(TRIM(T447))</f>
        <v>Mobile Money</v>
      </c>
      <c r="V447" t="s">
        <v>91</v>
      </c>
      <c r="W447" t="str">
        <f t="shared" si="12"/>
        <v>Ben</v>
      </c>
      <c r="X447" t="s">
        <v>82</v>
      </c>
      <c r="Z447" t="str">
        <f>IF(D447="", "Missing", "ok")</f>
        <v>ok</v>
      </c>
      <c r="AA447">
        <f t="shared" si="13"/>
        <v>259.30799999999999</v>
      </c>
    </row>
    <row r="448" spans="1:27" x14ac:dyDescent="0.25">
      <c r="A448" t="s">
        <v>1266</v>
      </c>
      <c r="B448" s="1" t="s">
        <v>323</v>
      </c>
      <c r="C448" t="s">
        <v>1267</v>
      </c>
      <c r="D448" t="s">
        <v>19</v>
      </c>
      <c r="E448" t="str">
        <f>PROPER(TRIM(D448))</f>
        <v>Peter</v>
      </c>
      <c r="F448" t="s">
        <v>20</v>
      </c>
      <c r="G448">
        <v>130</v>
      </c>
      <c r="H448" t="str">
        <f>IF(AND(G448&gt;18, G448&lt;65), "Valid", "Invalid")</f>
        <v>Invalid</v>
      </c>
      <c r="I448" t="s">
        <v>47</v>
      </c>
      <c r="J448" t="str">
        <f>PROPER(TRIM(I448))</f>
        <v>Enugu</v>
      </c>
      <c r="K448" t="s">
        <v>121</v>
      </c>
      <c r="L448" t="str">
        <f>PROPER(TRIM(K448))</f>
        <v>Beauty</v>
      </c>
      <c r="M448" t="s">
        <v>122</v>
      </c>
      <c r="N448" t="str">
        <f>PROPER(TRIM(M448))</f>
        <v>Cream</v>
      </c>
      <c r="O448">
        <v>280.76</v>
      </c>
      <c r="P448">
        <v>4</v>
      </c>
      <c r="Q448">
        <f>IF(P448&lt;1, 1, P448)</f>
        <v>4</v>
      </c>
      <c r="R448">
        <v>5</v>
      </c>
      <c r="S448" t="str">
        <f>IF(OR(R448&lt;0,R448&gt;100),"invalid","Valid")</f>
        <v>Valid</v>
      </c>
      <c r="T448" t="s">
        <v>64</v>
      </c>
      <c r="U448" t="str">
        <f>PROPER(TRIM(T448))</f>
        <v>Transfer</v>
      </c>
      <c r="V448" t="s">
        <v>25</v>
      </c>
      <c r="W448" t="str">
        <f t="shared" si="12"/>
        <v>Dan</v>
      </c>
      <c r="X448" t="s">
        <v>26</v>
      </c>
      <c r="Y448">
        <v>1</v>
      </c>
      <c r="Z448" t="str">
        <f>IF(D448="", "Missing", "ok")</f>
        <v>ok</v>
      </c>
      <c r="AA448">
        <f t="shared" si="13"/>
        <v>1066.8879999999999</v>
      </c>
    </row>
    <row r="449" spans="1:27" x14ac:dyDescent="0.25">
      <c r="A449" t="s">
        <v>1268</v>
      </c>
      <c r="B449" s="1" t="s">
        <v>1269</v>
      </c>
      <c r="C449" t="s">
        <v>1270</v>
      </c>
      <c r="D449" t="s">
        <v>19</v>
      </c>
      <c r="E449" t="str">
        <f>PROPER(TRIM(D449))</f>
        <v>Peter</v>
      </c>
      <c r="F449" t="s">
        <v>20</v>
      </c>
      <c r="G449">
        <v>8</v>
      </c>
      <c r="H449" t="str">
        <f>IF(AND(G449&gt;18, G449&lt;65), "Valid", "Invalid")</f>
        <v>Invalid</v>
      </c>
      <c r="I449" t="s">
        <v>21</v>
      </c>
      <c r="J449" t="str">
        <f>PROPER(TRIM(I449))</f>
        <v>Lagos</v>
      </c>
      <c r="K449" t="s">
        <v>87</v>
      </c>
      <c r="L449" t="str">
        <f>PROPER(TRIM(K449))</f>
        <v>Groceris</v>
      </c>
      <c r="M449" t="s">
        <v>49</v>
      </c>
      <c r="N449" t="str">
        <f>PROPER(TRIM(M449))</f>
        <v>Rice</v>
      </c>
      <c r="O449">
        <v>310.76</v>
      </c>
      <c r="P449">
        <v>-2</v>
      </c>
      <c r="Q449">
        <f>IF(P449&lt;1, 1, P449)</f>
        <v>1</v>
      </c>
      <c r="R449">
        <v>5</v>
      </c>
      <c r="S449" t="str">
        <f>IF(OR(R449&lt;0,R449&gt;100),"invalid","Valid")</f>
        <v>Valid</v>
      </c>
      <c r="U449" t="str">
        <f>PROPER(TRIM(T449))</f>
        <v/>
      </c>
      <c r="V449" t="s">
        <v>91</v>
      </c>
      <c r="W449" t="str">
        <f t="shared" si="12"/>
        <v>Ben</v>
      </c>
      <c r="X449" t="s">
        <v>65</v>
      </c>
      <c r="Z449" t="str">
        <f>IF(D449="", "Missing", "ok")</f>
        <v>ok</v>
      </c>
      <c r="AA449">
        <f t="shared" si="13"/>
        <v>295.22199999999998</v>
      </c>
    </row>
    <row r="450" spans="1:27" x14ac:dyDescent="0.25">
      <c r="A450" t="s">
        <v>1271</v>
      </c>
      <c r="B450" s="1" t="s">
        <v>1272</v>
      </c>
      <c r="C450" t="s">
        <v>1273</v>
      </c>
      <c r="D450" t="s">
        <v>117</v>
      </c>
      <c r="E450" t="str">
        <f>PROPER(TRIM(D450))</f>
        <v>David</v>
      </c>
      <c r="F450" t="s">
        <v>46</v>
      </c>
      <c r="G450">
        <v>34</v>
      </c>
      <c r="H450" t="str">
        <f>IF(AND(G450&gt;18, G450&lt;65), "Valid", "Invalid")</f>
        <v>Valid</v>
      </c>
      <c r="I450" t="s">
        <v>86</v>
      </c>
      <c r="J450" t="str">
        <f>PROPER(TRIM(I450))</f>
        <v>Kano</v>
      </c>
      <c r="K450" t="s">
        <v>87</v>
      </c>
      <c r="L450" t="str">
        <f>PROPER(TRIM(K450))</f>
        <v>Groceris</v>
      </c>
      <c r="M450" t="s">
        <v>49</v>
      </c>
      <c r="N450" t="str">
        <f>PROPER(TRIM(M450))</f>
        <v>Rice</v>
      </c>
      <c r="O450">
        <v>196.41</v>
      </c>
      <c r="P450">
        <v>1</v>
      </c>
      <c r="Q450">
        <f>IF(P450&lt;1, 1, P450)</f>
        <v>1</v>
      </c>
      <c r="R450">
        <v>-10</v>
      </c>
      <c r="S450" t="str">
        <f>IF(OR(R450&lt;0,R450&gt;100),"invalid","Valid")</f>
        <v>invalid</v>
      </c>
      <c r="T450" t="s">
        <v>59</v>
      </c>
      <c r="U450" t="str">
        <f>PROPER(TRIM(T450))</f>
        <v>Mobile Money</v>
      </c>
      <c r="V450" t="s">
        <v>25</v>
      </c>
      <c r="W450" t="str">
        <f t="shared" ref="W450:W513" si="14">PROPER(TRIM(V450))</f>
        <v>Dan</v>
      </c>
      <c r="X450" t="s">
        <v>82</v>
      </c>
      <c r="Y450">
        <v>1</v>
      </c>
      <c r="Z450" t="str">
        <f>IF(D450="", "Missing", "ok")</f>
        <v>ok</v>
      </c>
      <c r="AA450">
        <f t="shared" si="13"/>
        <v>216.05100000000002</v>
      </c>
    </row>
    <row r="451" spans="1:27" x14ac:dyDescent="0.25">
      <c r="A451" t="s">
        <v>1274</v>
      </c>
      <c r="B451" s="1" t="s">
        <v>1234</v>
      </c>
      <c r="C451" t="s">
        <v>1275</v>
      </c>
      <c r="D451" t="s">
        <v>19</v>
      </c>
      <c r="E451" t="str">
        <f>PROPER(TRIM(D451))</f>
        <v>Peter</v>
      </c>
      <c r="F451" t="s">
        <v>20</v>
      </c>
      <c r="G451">
        <v>47</v>
      </c>
      <c r="H451" t="str">
        <f>IF(AND(G451&gt;18, G451&lt;65), "Valid", "Invalid")</f>
        <v>Valid</v>
      </c>
      <c r="I451" t="s">
        <v>86</v>
      </c>
      <c r="J451" t="str">
        <f>PROPER(TRIM(I451))</f>
        <v>Kano</v>
      </c>
      <c r="K451" t="s">
        <v>48</v>
      </c>
      <c r="L451" t="str">
        <f>PROPER(TRIM(K451))</f>
        <v>Groceries</v>
      </c>
      <c r="M451" t="s">
        <v>49</v>
      </c>
      <c r="N451" t="str">
        <f>PROPER(TRIM(M451))</f>
        <v>Rice</v>
      </c>
      <c r="O451">
        <v>12.08</v>
      </c>
      <c r="P451">
        <v>-2</v>
      </c>
      <c r="Q451">
        <f>IF(P451&lt;1, 1, P451)</f>
        <v>1</v>
      </c>
      <c r="R451">
        <v>120</v>
      </c>
      <c r="S451" t="str">
        <f>IF(OR(R451&lt;0,R451&gt;100),"invalid","Valid")</f>
        <v>invalid</v>
      </c>
      <c r="T451" t="s">
        <v>77</v>
      </c>
      <c r="U451" t="str">
        <f>PROPER(TRIM(T451))</f>
        <v>Cash</v>
      </c>
      <c r="V451" t="s">
        <v>91</v>
      </c>
      <c r="W451" t="str">
        <f t="shared" si="14"/>
        <v>Ben</v>
      </c>
      <c r="X451" t="s">
        <v>82</v>
      </c>
      <c r="Y451">
        <v>3</v>
      </c>
      <c r="Z451" t="str">
        <f>IF(D451="", "Missing", "ok")</f>
        <v>ok</v>
      </c>
      <c r="AA451">
        <f t="shared" ref="AA451:AA514" si="15">(O451*Q451)*(1-R451/100)</f>
        <v>-2.4159999999999995</v>
      </c>
    </row>
    <row r="452" spans="1:27" x14ac:dyDescent="0.25">
      <c r="A452" t="s">
        <v>1276</v>
      </c>
      <c r="B452" s="1" t="s">
        <v>1277</v>
      </c>
      <c r="C452" t="s">
        <v>1278</v>
      </c>
      <c r="D452" t="s">
        <v>63</v>
      </c>
      <c r="E452" t="str">
        <f>PROPER(TRIM(D452))</f>
        <v>John</v>
      </c>
      <c r="F452" t="s">
        <v>20</v>
      </c>
      <c r="G452">
        <v>53</v>
      </c>
      <c r="H452" t="str">
        <f>IF(AND(G452&gt;18, G452&lt;65), "Valid", "Invalid")</f>
        <v>Valid</v>
      </c>
      <c r="I452" t="s">
        <v>53</v>
      </c>
      <c r="J452" t="str">
        <f>PROPER(TRIM(I452))</f>
        <v>Lagos</v>
      </c>
      <c r="K452" t="s">
        <v>87</v>
      </c>
      <c r="L452" t="str">
        <f>PROPER(TRIM(K452))</f>
        <v>Groceris</v>
      </c>
      <c r="M452" t="s">
        <v>49</v>
      </c>
      <c r="N452" t="str">
        <f>PROPER(TRIM(M452))</f>
        <v>Rice</v>
      </c>
      <c r="O452">
        <v>455.51</v>
      </c>
      <c r="P452">
        <v>3</v>
      </c>
      <c r="Q452">
        <f>IF(P452&lt;1, 1, P452)</f>
        <v>3</v>
      </c>
      <c r="R452">
        <v>-10</v>
      </c>
      <c r="S452" t="str">
        <f>IF(OR(R452&lt;0,R452&gt;100),"invalid","Valid")</f>
        <v>invalid</v>
      </c>
      <c r="T452" t="s">
        <v>77</v>
      </c>
      <c r="U452" t="str">
        <f>PROPER(TRIM(T452))</f>
        <v>Cash</v>
      </c>
      <c r="V452" t="s">
        <v>91</v>
      </c>
      <c r="W452" t="str">
        <f t="shared" si="14"/>
        <v>Ben</v>
      </c>
      <c r="X452" t="s">
        <v>33</v>
      </c>
      <c r="Y452">
        <v>2</v>
      </c>
      <c r="Z452" t="str">
        <f>IF(D452="", "Missing", "ok")</f>
        <v>ok</v>
      </c>
      <c r="AA452">
        <f t="shared" si="15"/>
        <v>1503.183</v>
      </c>
    </row>
    <row r="453" spans="1:27" x14ac:dyDescent="0.25">
      <c r="A453" t="s">
        <v>1279</v>
      </c>
      <c r="B453" s="1" t="s">
        <v>1280</v>
      </c>
      <c r="C453" t="s">
        <v>1281</v>
      </c>
      <c r="D453" t="s">
        <v>19</v>
      </c>
      <c r="E453" t="str">
        <f>PROPER(TRIM(D453))</f>
        <v>Peter</v>
      </c>
      <c r="F453" t="s">
        <v>46</v>
      </c>
      <c r="G453">
        <v>23</v>
      </c>
      <c r="H453" t="str">
        <f>IF(AND(G453&gt;18, G453&lt;65), "Valid", "Invalid")</f>
        <v>Valid</v>
      </c>
      <c r="I453" t="s">
        <v>38</v>
      </c>
      <c r="J453" t="str">
        <f>PROPER(TRIM(I453))</f>
        <v>Ph</v>
      </c>
      <c r="K453" t="s">
        <v>39</v>
      </c>
      <c r="L453" t="str">
        <f>PROPER(TRIM(K453))</f>
        <v>Electronics</v>
      </c>
      <c r="M453" t="s">
        <v>40</v>
      </c>
      <c r="N453" t="str">
        <f>PROPER(TRIM(M453))</f>
        <v>Phone</v>
      </c>
      <c r="O453">
        <v>134.54</v>
      </c>
      <c r="P453">
        <v>-2</v>
      </c>
      <c r="Q453">
        <f>IF(P453&lt;1, 1, P453)</f>
        <v>1</v>
      </c>
      <c r="R453">
        <v>120</v>
      </c>
      <c r="S453" t="str">
        <f>IF(OR(R453&lt;0,R453&gt;100),"invalid","Valid")</f>
        <v>invalid</v>
      </c>
      <c r="T453" t="s">
        <v>24</v>
      </c>
      <c r="U453" t="str">
        <f>PROPER(TRIM(T453))</f>
        <v>Pos</v>
      </c>
      <c r="V453" t="s">
        <v>41</v>
      </c>
      <c r="W453" t="str">
        <f t="shared" si="14"/>
        <v>Chi</v>
      </c>
      <c r="X453" t="s">
        <v>65</v>
      </c>
      <c r="Z453" t="str">
        <f>IF(D453="", "Missing", "ok")</f>
        <v>ok</v>
      </c>
      <c r="AA453">
        <f t="shared" si="15"/>
        <v>-26.907999999999994</v>
      </c>
    </row>
    <row r="454" spans="1:27" x14ac:dyDescent="0.25">
      <c r="A454" t="s">
        <v>1282</v>
      </c>
      <c r="B454" s="1" t="s">
        <v>926</v>
      </c>
      <c r="C454" t="s">
        <v>1283</v>
      </c>
      <c r="D454" t="s">
        <v>45</v>
      </c>
      <c r="E454" t="str">
        <f>PROPER(TRIM(D454))</f>
        <v>James</v>
      </c>
      <c r="F454" t="s">
        <v>46</v>
      </c>
      <c r="G454">
        <v>8</v>
      </c>
      <c r="H454" t="str">
        <f>IF(AND(G454&gt;18, G454&lt;65), "Valid", "Invalid")</f>
        <v>Invalid</v>
      </c>
      <c r="I454" t="s">
        <v>38</v>
      </c>
      <c r="J454" t="str">
        <f>PROPER(TRIM(I454))</f>
        <v>Ph</v>
      </c>
      <c r="K454" t="s">
        <v>31</v>
      </c>
      <c r="L454" t="str">
        <f>PROPER(TRIM(K454))</f>
        <v>Sports</v>
      </c>
      <c r="M454" t="s">
        <v>32</v>
      </c>
      <c r="N454" t="str">
        <f>PROPER(TRIM(M454))</f>
        <v>Ball</v>
      </c>
      <c r="O454">
        <v>88.95</v>
      </c>
      <c r="P454">
        <v>-2</v>
      </c>
      <c r="Q454">
        <f>IF(P454&lt;1, 1, P454)</f>
        <v>1</v>
      </c>
      <c r="R454">
        <v>120</v>
      </c>
      <c r="S454" t="str">
        <f>IF(OR(R454&lt;0,R454&gt;100),"invalid","Valid")</f>
        <v>invalid</v>
      </c>
      <c r="T454" t="s">
        <v>77</v>
      </c>
      <c r="U454" t="str">
        <f>PROPER(TRIM(T454))</f>
        <v>Cash</v>
      </c>
      <c r="V454" t="s">
        <v>41</v>
      </c>
      <c r="W454" t="str">
        <f t="shared" si="14"/>
        <v>Chi</v>
      </c>
      <c r="X454" t="s">
        <v>33</v>
      </c>
      <c r="Y454">
        <v>3</v>
      </c>
      <c r="Z454" t="str">
        <f>IF(D454="", "Missing", "ok")</f>
        <v>ok</v>
      </c>
      <c r="AA454">
        <f t="shared" si="15"/>
        <v>-17.789999999999996</v>
      </c>
    </row>
    <row r="455" spans="1:27" x14ac:dyDescent="0.25">
      <c r="A455" t="s">
        <v>1284</v>
      </c>
      <c r="B455" s="1" t="s">
        <v>1285</v>
      </c>
      <c r="C455" t="s">
        <v>1286</v>
      </c>
      <c r="E455" t="str">
        <f>PROPER(TRIM(D455))</f>
        <v/>
      </c>
      <c r="F455" t="s">
        <v>20</v>
      </c>
      <c r="G455">
        <v>19</v>
      </c>
      <c r="H455" t="str">
        <f>IF(AND(G455&gt;18, G455&lt;65), "Valid", "Invalid")</f>
        <v>Valid</v>
      </c>
      <c r="I455" t="s">
        <v>53</v>
      </c>
      <c r="J455" t="str">
        <f>PROPER(TRIM(I455))</f>
        <v>Lagos</v>
      </c>
      <c r="K455" t="s">
        <v>39</v>
      </c>
      <c r="L455" t="str">
        <f>PROPER(TRIM(K455))</f>
        <v>Electronics</v>
      </c>
      <c r="M455" t="s">
        <v>40</v>
      </c>
      <c r="N455" t="str">
        <f>PROPER(TRIM(M455))</f>
        <v>Phone</v>
      </c>
      <c r="O455">
        <v>314.3</v>
      </c>
      <c r="P455">
        <v>3</v>
      </c>
      <c r="Q455">
        <f>IF(P455&lt;1, 1, P455)</f>
        <v>3</v>
      </c>
      <c r="R455">
        <v>5</v>
      </c>
      <c r="S455" t="str">
        <f>IF(OR(R455&lt;0,R455&gt;100),"invalid","Valid")</f>
        <v>Valid</v>
      </c>
      <c r="T455" t="s">
        <v>59</v>
      </c>
      <c r="U455" t="str">
        <f>PROPER(TRIM(T455))</f>
        <v>Mobile Money</v>
      </c>
      <c r="V455" t="s">
        <v>41</v>
      </c>
      <c r="W455" t="str">
        <f t="shared" si="14"/>
        <v>Chi</v>
      </c>
      <c r="X455" t="s">
        <v>26</v>
      </c>
      <c r="Y455">
        <v>1</v>
      </c>
      <c r="Z455" t="str">
        <f>IF(D455="", "Missing", "ok")</f>
        <v>Missing</v>
      </c>
      <c r="AA455">
        <f t="shared" si="15"/>
        <v>895.755</v>
      </c>
    </row>
    <row r="456" spans="1:27" x14ac:dyDescent="0.25">
      <c r="A456" t="s">
        <v>1287</v>
      </c>
      <c r="B456" s="1" t="s">
        <v>252</v>
      </c>
      <c r="C456" t="s">
        <v>1288</v>
      </c>
      <c r="D456" t="s">
        <v>69</v>
      </c>
      <c r="E456" t="str">
        <f>PROPER(TRIM(D456))</f>
        <v>Mary</v>
      </c>
      <c r="F456" t="s">
        <v>20</v>
      </c>
      <c r="G456">
        <v>57</v>
      </c>
      <c r="H456" t="str">
        <f>IF(AND(G456&gt;18, G456&lt;65), "Valid", "Invalid")</f>
        <v>Valid</v>
      </c>
      <c r="I456" t="s">
        <v>21</v>
      </c>
      <c r="J456" t="str">
        <f>PROPER(TRIM(I456))</f>
        <v>Lagos</v>
      </c>
      <c r="K456" t="s">
        <v>31</v>
      </c>
      <c r="L456" t="str">
        <f>PROPER(TRIM(K456))</f>
        <v>Sports</v>
      </c>
      <c r="M456" t="s">
        <v>32</v>
      </c>
      <c r="N456" t="str">
        <f>PROPER(TRIM(M456))</f>
        <v>Ball</v>
      </c>
      <c r="O456">
        <v>417.06</v>
      </c>
      <c r="P456">
        <v>-2</v>
      </c>
      <c r="Q456">
        <f>IF(P456&lt;1, 1, P456)</f>
        <v>1</v>
      </c>
      <c r="R456">
        <v>5</v>
      </c>
      <c r="S456" t="str">
        <f>IF(OR(R456&lt;0,R456&gt;100),"invalid","Valid")</f>
        <v>Valid</v>
      </c>
      <c r="U456" t="str">
        <f>PROPER(TRIM(T456))</f>
        <v/>
      </c>
      <c r="V456" t="s">
        <v>81</v>
      </c>
      <c r="W456" t="str">
        <f t="shared" si="14"/>
        <v>Ada</v>
      </c>
      <c r="X456" t="s">
        <v>82</v>
      </c>
      <c r="Y456">
        <v>3</v>
      </c>
      <c r="Z456" t="str">
        <f>IF(D456="", "Missing", "ok")</f>
        <v>ok</v>
      </c>
      <c r="AA456">
        <f t="shared" si="15"/>
        <v>396.20699999999999</v>
      </c>
    </row>
    <row r="457" spans="1:27" x14ac:dyDescent="0.25">
      <c r="A457" t="s">
        <v>1289</v>
      </c>
      <c r="B457" s="1" t="s">
        <v>1039</v>
      </c>
      <c r="C457" t="s">
        <v>1290</v>
      </c>
      <c r="D457" t="s">
        <v>63</v>
      </c>
      <c r="E457" t="str">
        <f>PROPER(TRIM(D457))</f>
        <v>John</v>
      </c>
      <c r="F457" t="s">
        <v>20</v>
      </c>
      <c r="G457">
        <v>26</v>
      </c>
      <c r="H457" t="str">
        <f>IF(AND(G457&gt;18, G457&lt;65), "Valid", "Invalid")</f>
        <v>Valid</v>
      </c>
      <c r="I457" t="s">
        <v>86</v>
      </c>
      <c r="J457" t="str">
        <f>PROPER(TRIM(I457))</f>
        <v>Kano</v>
      </c>
      <c r="K457" t="s">
        <v>39</v>
      </c>
      <c r="L457" t="str">
        <f>PROPER(TRIM(K457))</f>
        <v>Electronics</v>
      </c>
      <c r="M457" t="s">
        <v>40</v>
      </c>
      <c r="N457" t="str">
        <f>PROPER(TRIM(M457))</f>
        <v>Phone</v>
      </c>
      <c r="O457">
        <v>230.22</v>
      </c>
      <c r="P457">
        <v>-2</v>
      </c>
      <c r="Q457">
        <f>IF(P457&lt;1, 1, P457)</f>
        <v>1</v>
      </c>
      <c r="R457">
        <v>120</v>
      </c>
      <c r="S457" t="str">
        <f>IF(OR(R457&lt;0,R457&gt;100),"invalid","Valid")</f>
        <v>invalid</v>
      </c>
      <c r="U457" t="str">
        <f>PROPER(TRIM(T457))</f>
        <v/>
      </c>
      <c r="V457" t="s">
        <v>25</v>
      </c>
      <c r="W457" t="str">
        <f t="shared" si="14"/>
        <v>Dan</v>
      </c>
      <c r="X457" t="s">
        <v>26</v>
      </c>
      <c r="Y457">
        <v>1</v>
      </c>
      <c r="Z457" t="str">
        <f>IF(D457="", "Missing", "ok")</f>
        <v>ok</v>
      </c>
      <c r="AA457">
        <f t="shared" si="15"/>
        <v>-46.04399999999999</v>
      </c>
    </row>
    <row r="458" spans="1:27" x14ac:dyDescent="0.25">
      <c r="A458" t="s">
        <v>1291</v>
      </c>
      <c r="B458" s="1" t="s">
        <v>1292</v>
      </c>
      <c r="C458" t="s">
        <v>1293</v>
      </c>
      <c r="D458" t="s">
        <v>117</v>
      </c>
      <c r="E458" t="str">
        <f>PROPER(TRIM(D458))</f>
        <v>David</v>
      </c>
      <c r="F458" t="s">
        <v>20</v>
      </c>
      <c r="G458">
        <v>8</v>
      </c>
      <c r="H458" t="str">
        <f>IF(AND(G458&gt;18, G458&lt;65), "Valid", "Invalid")</f>
        <v>Invalid</v>
      </c>
      <c r="I458" t="s">
        <v>30</v>
      </c>
      <c r="J458" t="str">
        <f>PROPER(TRIM(I458))</f>
        <v>Lagos</v>
      </c>
      <c r="K458" t="s">
        <v>121</v>
      </c>
      <c r="L458" t="str">
        <f>PROPER(TRIM(K458))</f>
        <v>Beauty</v>
      </c>
      <c r="M458" t="s">
        <v>122</v>
      </c>
      <c r="N458" t="str">
        <f>PROPER(TRIM(M458))</f>
        <v>Cream</v>
      </c>
      <c r="O458">
        <v>210</v>
      </c>
      <c r="P458">
        <v>9</v>
      </c>
      <c r="Q458">
        <f>IF(P458&lt;1, 1, P458)</f>
        <v>9</v>
      </c>
      <c r="R458">
        <v>10</v>
      </c>
      <c r="S458" t="str">
        <f>IF(OR(R458&lt;0,R458&gt;100),"invalid","Valid")</f>
        <v>Valid</v>
      </c>
      <c r="T458" t="s">
        <v>64</v>
      </c>
      <c r="U458" t="str">
        <f>PROPER(TRIM(T458))</f>
        <v>Transfer</v>
      </c>
      <c r="V458" t="s">
        <v>41</v>
      </c>
      <c r="W458" t="str">
        <f t="shared" si="14"/>
        <v>Chi</v>
      </c>
      <c r="X458" t="s">
        <v>82</v>
      </c>
      <c r="Y458">
        <v>2</v>
      </c>
      <c r="Z458" t="str">
        <f>IF(D458="", "Missing", "ok")</f>
        <v>ok</v>
      </c>
      <c r="AA458">
        <f t="shared" si="15"/>
        <v>1701</v>
      </c>
    </row>
    <row r="459" spans="1:27" x14ac:dyDescent="0.25">
      <c r="A459" t="s">
        <v>1294</v>
      </c>
      <c r="B459" s="1" t="s">
        <v>1295</v>
      </c>
      <c r="C459" t="s">
        <v>1296</v>
      </c>
      <c r="D459" t="s">
        <v>45</v>
      </c>
      <c r="E459" t="str">
        <f>PROPER(TRIM(D459))</f>
        <v>James</v>
      </c>
      <c r="F459" t="s">
        <v>20</v>
      </c>
      <c r="G459">
        <v>130</v>
      </c>
      <c r="H459" t="str">
        <f>IF(AND(G459&gt;18, G459&lt;65), "Valid", "Invalid")</f>
        <v>Invalid</v>
      </c>
      <c r="I459" t="s">
        <v>47</v>
      </c>
      <c r="J459" t="str">
        <f>PROPER(TRIM(I459))</f>
        <v>Enugu</v>
      </c>
      <c r="K459" t="s">
        <v>39</v>
      </c>
      <c r="L459" t="str">
        <f>PROPER(TRIM(K459))</f>
        <v>Electronics</v>
      </c>
      <c r="M459" t="s">
        <v>40</v>
      </c>
      <c r="N459" t="str">
        <f>PROPER(TRIM(M459))</f>
        <v>Phone</v>
      </c>
      <c r="O459">
        <v>350.78</v>
      </c>
      <c r="P459">
        <v>-2</v>
      </c>
      <c r="Q459">
        <f>IF(P459&lt;1, 1, P459)</f>
        <v>1</v>
      </c>
      <c r="R459">
        <v>120</v>
      </c>
      <c r="S459" t="str">
        <f>IF(OR(R459&lt;0,R459&gt;100),"invalid","Valid")</f>
        <v>invalid</v>
      </c>
      <c r="T459" t="s">
        <v>64</v>
      </c>
      <c r="U459" t="str">
        <f>PROPER(TRIM(T459))</f>
        <v>Transfer</v>
      </c>
      <c r="V459" t="s">
        <v>41</v>
      </c>
      <c r="W459" t="str">
        <f t="shared" si="14"/>
        <v>Chi</v>
      </c>
      <c r="X459" t="s">
        <v>33</v>
      </c>
      <c r="Y459">
        <v>1</v>
      </c>
      <c r="Z459" t="str">
        <f>IF(D459="", "Missing", "ok")</f>
        <v>ok</v>
      </c>
      <c r="AA459">
        <f t="shared" si="15"/>
        <v>-70.155999999999977</v>
      </c>
    </row>
    <row r="460" spans="1:27" x14ac:dyDescent="0.25">
      <c r="A460" t="s">
        <v>1297</v>
      </c>
      <c r="B460" s="1" t="s">
        <v>618</v>
      </c>
      <c r="C460" t="s">
        <v>1298</v>
      </c>
      <c r="D460" t="s">
        <v>37</v>
      </c>
      <c r="E460" t="str">
        <f>PROPER(TRIM(D460))</f>
        <v>Aisha</v>
      </c>
      <c r="F460" t="s">
        <v>20</v>
      </c>
      <c r="G460">
        <v>61</v>
      </c>
      <c r="H460" t="str">
        <f>IF(AND(G460&gt;18, G460&lt;65), "Valid", "Invalid")</f>
        <v>Valid</v>
      </c>
      <c r="I460" t="s">
        <v>70</v>
      </c>
      <c r="J460" t="str">
        <f>PROPER(TRIM(I460))</f>
        <v>Abuja</v>
      </c>
      <c r="K460" t="s">
        <v>48</v>
      </c>
      <c r="L460" t="str">
        <f>PROPER(TRIM(K460))</f>
        <v>Groceries</v>
      </c>
      <c r="M460" t="s">
        <v>49</v>
      </c>
      <c r="N460" t="str">
        <f>PROPER(TRIM(M460))</f>
        <v>Rice</v>
      </c>
      <c r="O460">
        <v>36.01</v>
      </c>
      <c r="P460">
        <v>7</v>
      </c>
      <c r="Q460">
        <f>IF(P460&lt;1, 1, P460)</f>
        <v>7</v>
      </c>
      <c r="R460">
        <v>-10</v>
      </c>
      <c r="S460" t="str">
        <f>IF(OR(R460&lt;0,R460&gt;100),"invalid","Valid")</f>
        <v>invalid</v>
      </c>
      <c r="T460" t="s">
        <v>59</v>
      </c>
      <c r="U460" t="str">
        <f>PROPER(TRIM(T460))</f>
        <v>Mobile Money</v>
      </c>
      <c r="V460" t="s">
        <v>41</v>
      </c>
      <c r="W460" t="str">
        <f t="shared" si="14"/>
        <v>Chi</v>
      </c>
      <c r="X460" t="s">
        <v>82</v>
      </c>
      <c r="Y460">
        <v>4</v>
      </c>
      <c r="Z460" t="str">
        <f>IF(D460="", "Missing", "ok")</f>
        <v>ok</v>
      </c>
      <c r="AA460">
        <f t="shared" si="15"/>
        <v>277.27699999999999</v>
      </c>
    </row>
    <row r="461" spans="1:27" x14ac:dyDescent="0.25">
      <c r="A461" t="s">
        <v>1299</v>
      </c>
      <c r="B461" s="1" t="s">
        <v>479</v>
      </c>
      <c r="C461" t="s">
        <v>1300</v>
      </c>
      <c r="D461" t="s">
        <v>37</v>
      </c>
      <c r="E461" t="str">
        <f>PROPER(TRIM(D461))</f>
        <v>Aisha</v>
      </c>
      <c r="F461" t="s">
        <v>46</v>
      </c>
      <c r="G461">
        <v>8</v>
      </c>
      <c r="H461" t="str">
        <f>IF(AND(G461&gt;18, G461&lt;65), "Valid", "Invalid")</f>
        <v>Invalid</v>
      </c>
      <c r="I461" t="s">
        <v>53</v>
      </c>
      <c r="J461" t="str">
        <f>PROPER(TRIM(I461))</f>
        <v>Lagos</v>
      </c>
      <c r="K461" t="s">
        <v>31</v>
      </c>
      <c r="L461" t="str">
        <f>PROPER(TRIM(K461))</f>
        <v>Sports</v>
      </c>
      <c r="M461" t="s">
        <v>32</v>
      </c>
      <c r="N461" t="str">
        <f>PROPER(TRIM(M461))</f>
        <v>Ball</v>
      </c>
      <c r="O461">
        <v>239.04</v>
      </c>
      <c r="P461">
        <v>1</v>
      </c>
      <c r="Q461">
        <f>IF(P461&lt;1, 1, P461)</f>
        <v>1</v>
      </c>
      <c r="R461">
        <v>5</v>
      </c>
      <c r="S461" t="str">
        <f>IF(OR(R461&lt;0,R461&gt;100),"invalid","Valid")</f>
        <v>Valid</v>
      </c>
      <c r="T461" t="s">
        <v>24</v>
      </c>
      <c r="U461" t="str">
        <f>PROPER(TRIM(T461))</f>
        <v>Pos</v>
      </c>
      <c r="V461" t="s">
        <v>41</v>
      </c>
      <c r="W461" t="str">
        <f t="shared" si="14"/>
        <v>Chi</v>
      </c>
      <c r="X461" t="s">
        <v>65</v>
      </c>
      <c r="Y461">
        <v>4</v>
      </c>
      <c r="Z461" t="str">
        <f>IF(D461="", "Missing", "ok")</f>
        <v>ok</v>
      </c>
      <c r="AA461">
        <f t="shared" si="15"/>
        <v>227.08799999999999</v>
      </c>
    </row>
    <row r="462" spans="1:27" x14ac:dyDescent="0.25">
      <c r="A462" t="s">
        <v>1301</v>
      </c>
      <c r="B462" s="1" t="s">
        <v>470</v>
      </c>
      <c r="C462" t="s">
        <v>1302</v>
      </c>
      <c r="D462" t="s">
        <v>69</v>
      </c>
      <c r="E462" t="str">
        <f>PROPER(TRIM(D462))</f>
        <v>Mary</v>
      </c>
      <c r="F462" t="s">
        <v>46</v>
      </c>
      <c r="G462">
        <v>32</v>
      </c>
      <c r="H462" t="str">
        <f>IF(AND(G462&gt;18, G462&lt;65), "Valid", "Invalid")</f>
        <v>Valid</v>
      </c>
      <c r="I462" t="s">
        <v>38</v>
      </c>
      <c r="J462" t="str">
        <f>PROPER(TRIM(I462))</f>
        <v>Ph</v>
      </c>
      <c r="K462" t="s">
        <v>121</v>
      </c>
      <c r="L462" t="str">
        <f>PROPER(TRIM(K462))</f>
        <v>Beauty</v>
      </c>
      <c r="M462" t="s">
        <v>122</v>
      </c>
      <c r="N462" t="str">
        <f>PROPER(TRIM(M462))</f>
        <v>Cream</v>
      </c>
      <c r="O462">
        <v>483.49</v>
      </c>
      <c r="P462">
        <v>-2</v>
      </c>
      <c r="Q462">
        <f>IF(P462&lt;1, 1, P462)</f>
        <v>1</v>
      </c>
      <c r="R462">
        <v>5</v>
      </c>
      <c r="S462" t="str">
        <f>IF(OR(R462&lt;0,R462&gt;100),"invalid","Valid")</f>
        <v>Valid</v>
      </c>
      <c r="T462" t="s">
        <v>77</v>
      </c>
      <c r="U462" t="str">
        <f>PROPER(TRIM(T462))</f>
        <v>Cash</v>
      </c>
      <c r="V462" t="s">
        <v>25</v>
      </c>
      <c r="W462" t="str">
        <f t="shared" si="14"/>
        <v>Dan</v>
      </c>
      <c r="X462" t="s">
        <v>33</v>
      </c>
      <c r="Y462">
        <v>3</v>
      </c>
      <c r="Z462" t="str">
        <f>IF(D462="", "Missing", "ok")</f>
        <v>ok</v>
      </c>
      <c r="AA462">
        <f t="shared" si="15"/>
        <v>459.31549999999999</v>
      </c>
    </row>
    <row r="463" spans="1:27" x14ac:dyDescent="0.25">
      <c r="A463" t="s">
        <v>1303</v>
      </c>
      <c r="B463" s="1" t="s">
        <v>1304</v>
      </c>
      <c r="C463" t="s">
        <v>1305</v>
      </c>
      <c r="E463" t="str">
        <f>PROPER(TRIM(D463))</f>
        <v/>
      </c>
      <c r="F463" t="s">
        <v>20</v>
      </c>
      <c r="G463">
        <v>8</v>
      </c>
      <c r="H463" t="str">
        <f>IF(AND(G463&gt;18, G463&lt;65), "Valid", "Invalid")</f>
        <v>Invalid</v>
      </c>
      <c r="I463" t="s">
        <v>47</v>
      </c>
      <c r="J463" t="str">
        <f>PROPER(TRIM(I463))</f>
        <v>Enugu</v>
      </c>
      <c r="K463" t="s">
        <v>48</v>
      </c>
      <c r="L463" t="str">
        <f>PROPER(TRIM(K463))</f>
        <v>Groceries</v>
      </c>
      <c r="M463" t="s">
        <v>49</v>
      </c>
      <c r="N463" t="str">
        <f>PROPER(TRIM(M463))</f>
        <v>Rice</v>
      </c>
      <c r="O463">
        <v>352.64</v>
      </c>
      <c r="P463">
        <v>-2</v>
      </c>
      <c r="Q463">
        <f>IF(P463&lt;1, 1, P463)</f>
        <v>1</v>
      </c>
      <c r="R463">
        <v>-10</v>
      </c>
      <c r="S463" t="str">
        <f>IF(OR(R463&lt;0,R463&gt;100),"invalid","Valid")</f>
        <v>invalid</v>
      </c>
      <c r="T463" t="s">
        <v>24</v>
      </c>
      <c r="U463" t="str">
        <f>PROPER(TRIM(T463))</f>
        <v>Pos</v>
      </c>
      <c r="V463" t="s">
        <v>81</v>
      </c>
      <c r="W463" t="str">
        <f t="shared" si="14"/>
        <v>Ada</v>
      </c>
      <c r="X463" t="s">
        <v>26</v>
      </c>
      <c r="Y463">
        <v>4</v>
      </c>
      <c r="Z463" t="str">
        <f>IF(D463="", "Missing", "ok")</f>
        <v>Missing</v>
      </c>
      <c r="AA463">
        <f t="shared" si="15"/>
        <v>387.904</v>
      </c>
    </row>
    <row r="464" spans="1:27" x14ac:dyDescent="0.25">
      <c r="A464" t="s">
        <v>1306</v>
      </c>
      <c r="B464" s="1" t="s">
        <v>483</v>
      </c>
      <c r="C464" t="s">
        <v>1307</v>
      </c>
      <c r="D464" t="s">
        <v>19</v>
      </c>
      <c r="E464" t="str">
        <f>PROPER(TRIM(D464))</f>
        <v>Peter</v>
      </c>
      <c r="F464" t="s">
        <v>46</v>
      </c>
      <c r="G464">
        <v>52</v>
      </c>
      <c r="H464" t="str">
        <f>IF(AND(G464&gt;18, G464&lt;65), "Valid", "Invalid")</f>
        <v>Valid</v>
      </c>
      <c r="I464" t="s">
        <v>47</v>
      </c>
      <c r="J464" t="str">
        <f>PROPER(TRIM(I464))</f>
        <v>Enugu</v>
      </c>
      <c r="K464" t="s">
        <v>54</v>
      </c>
      <c r="L464" t="str">
        <f>PROPER(TRIM(K464))</f>
        <v>Home</v>
      </c>
      <c r="M464" t="s">
        <v>55</v>
      </c>
      <c r="N464" t="str">
        <f>PROPER(TRIM(M464))</f>
        <v>Chair</v>
      </c>
      <c r="O464">
        <v>45.53</v>
      </c>
      <c r="P464">
        <v>8</v>
      </c>
      <c r="Q464">
        <f>IF(P464&lt;1, 1, P464)</f>
        <v>8</v>
      </c>
      <c r="R464">
        <v>0</v>
      </c>
      <c r="S464" t="str">
        <f>IF(OR(R464&lt;0,R464&gt;100),"invalid","Valid")</f>
        <v>Valid</v>
      </c>
      <c r="T464" t="s">
        <v>59</v>
      </c>
      <c r="U464" t="str">
        <f>PROPER(TRIM(T464))</f>
        <v>Mobile Money</v>
      </c>
      <c r="V464" t="s">
        <v>41</v>
      </c>
      <c r="W464" t="str">
        <f t="shared" si="14"/>
        <v>Chi</v>
      </c>
      <c r="X464" t="s">
        <v>33</v>
      </c>
      <c r="Y464">
        <v>3</v>
      </c>
      <c r="Z464" t="str">
        <f>IF(D464="", "Missing", "ok")</f>
        <v>ok</v>
      </c>
      <c r="AA464">
        <f t="shared" si="15"/>
        <v>364.24</v>
      </c>
    </row>
    <row r="465" spans="1:27" x14ac:dyDescent="0.25">
      <c r="A465" t="s">
        <v>1308</v>
      </c>
      <c r="B465" s="1" t="s">
        <v>1309</v>
      </c>
      <c r="C465" t="s">
        <v>1310</v>
      </c>
      <c r="D465" t="s">
        <v>37</v>
      </c>
      <c r="E465" t="str">
        <f>PROPER(TRIM(D465))</f>
        <v>Aisha</v>
      </c>
      <c r="F465" t="s">
        <v>20</v>
      </c>
      <c r="G465">
        <v>8</v>
      </c>
      <c r="H465" t="str">
        <f>IF(AND(G465&gt;18, G465&lt;65), "Valid", "Invalid")</f>
        <v>Invalid</v>
      </c>
      <c r="I465" t="s">
        <v>86</v>
      </c>
      <c r="J465" t="str">
        <f>PROPER(TRIM(I465))</f>
        <v>Kano</v>
      </c>
      <c r="K465" t="s">
        <v>87</v>
      </c>
      <c r="L465" t="str">
        <f>PROPER(TRIM(K465))</f>
        <v>Groceris</v>
      </c>
      <c r="M465" t="s">
        <v>49</v>
      </c>
      <c r="N465" t="str">
        <f>PROPER(TRIM(M465))</f>
        <v>Rice</v>
      </c>
      <c r="O465">
        <v>74.83</v>
      </c>
      <c r="P465">
        <v>7</v>
      </c>
      <c r="Q465">
        <f>IF(P465&lt;1, 1, P465)</f>
        <v>7</v>
      </c>
      <c r="R465">
        <v>0</v>
      </c>
      <c r="S465" t="str">
        <f>IF(OR(R465&lt;0,R465&gt;100),"invalid","Valid")</f>
        <v>Valid</v>
      </c>
      <c r="U465" t="str">
        <f>PROPER(TRIM(T465))</f>
        <v/>
      </c>
      <c r="V465" t="s">
        <v>25</v>
      </c>
      <c r="W465" t="str">
        <f t="shared" si="14"/>
        <v>Dan</v>
      </c>
      <c r="X465" t="s">
        <v>26</v>
      </c>
      <c r="Y465">
        <v>4</v>
      </c>
      <c r="Z465" t="str">
        <f>IF(D465="", "Missing", "ok")</f>
        <v>ok</v>
      </c>
      <c r="AA465">
        <f t="shared" si="15"/>
        <v>523.80999999999995</v>
      </c>
    </row>
    <row r="466" spans="1:27" x14ac:dyDescent="0.25">
      <c r="A466" t="s">
        <v>1311</v>
      </c>
      <c r="B466" s="1" t="s">
        <v>1312</v>
      </c>
      <c r="C466" t="s">
        <v>1313</v>
      </c>
      <c r="D466" t="s">
        <v>37</v>
      </c>
      <c r="E466" t="str">
        <f>PROPER(TRIM(D466))</f>
        <v>Aisha</v>
      </c>
      <c r="F466" t="s">
        <v>46</v>
      </c>
      <c r="G466">
        <v>130</v>
      </c>
      <c r="H466" t="str">
        <f>IF(AND(G466&gt;18, G466&lt;65), "Valid", "Invalid")</f>
        <v>Invalid</v>
      </c>
      <c r="I466" t="s">
        <v>30</v>
      </c>
      <c r="J466" t="str">
        <f>PROPER(TRIM(I466))</f>
        <v>Lagos</v>
      </c>
      <c r="K466" t="s">
        <v>54</v>
      </c>
      <c r="L466" t="str">
        <f>PROPER(TRIM(K466))</f>
        <v>Home</v>
      </c>
      <c r="M466" t="s">
        <v>55</v>
      </c>
      <c r="N466" t="str">
        <f>PROPER(TRIM(M466))</f>
        <v>Chair</v>
      </c>
      <c r="O466">
        <v>99.77</v>
      </c>
      <c r="P466">
        <v>-2</v>
      </c>
      <c r="Q466">
        <f>IF(P466&lt;1, 1, P466)</f>
        <v>1</v>
      </c>
      <c r="R466">
        <v>120</v>
      </c>
      <c r="S466" t="str">
        <f>IF(OR(R466&lt;0,R466&gt;100),"invalid","Valid")</f>
        <v>invalid</v>
      </c>
      <c r="T466" t="s">
        <v>77</v>
      </c>
      <c r="U466" t="str">
        <f>PROPER(TRIM(T466))</f>
        <v>Cash</v>
      </c>
      <c r="V466" t="s">
        <v>25</v>
      </c>
      <c r="W466" t="str">
        <f t="shared" si="14"/>
        <v>Dan</v>
      </c>
      <c r="X466" t="s">
        <v>33</v>
      </c>
      <c r="Y466">
        <v>5</v>
      </c>
      <c r="Z466" t="str">
        <f>IF(D466="", "Missing", "ok")</f>
        <v>ok</v>
      </c>
      <c r="AA466">
        <f t="shared" si="15"/>
        <v>-19.953999999999994</v>
      </c>
    </row>
    <row r="467" spans="1:27" x14ac:dyDescent="0.25">
      <c r="A467" t="s">
        <v>1314</v>
      </c>
      <c r="B467" s="1" t="s">
        <v>1315</v>
      </c>
      <c r="C467" t="s">
        <v>1316</v>
      </c>
      <c r="E467" t="str">
        <f>PROPER(TRIM(D467))</f>
        <v/>
      </c>
      <c r="F467" t="s">
        <v>46</v>
      </c>
      <c r="G467">
        <v>130</v>
      </c>
      <c r="H467" t="str">
        <f>IF(AND(G467&gt;18, G467&lt;65), "Valid", "Invalid")</f>
        <v>Invalid</v>
      </c>
      <c r="I467" t="s">
        <v>86</v>
      </c>
      <c r="J467" t="str">
        <f>PROPER(TRIM(I467))</f>
        <v>Kano</v>
      </c>
      <c r="K467" t="s">
        <v>121</v>
      </c>
      <c r="L467" t="str">
        <f>PROPER(TRIM(K467))</f>
        <v>Beauty</v>
      </c>
      <c r="M467" t="s">
        <v>122</v>
      </c>
      <c r="N467" t="str">
        <f>PROPER(TRIM(M467))</f>
        <v>Cream</v>
      </c>
      <c r="O467">
        <v>499.02</v>
      </c>
      <c r="P467">
        <v>8</v>
      </c>
      <c r="Q467">
        <f>IF(P467&lt;1, 1, P467)</f>
        <v>8</v>
      </c>
      <c r="R467">
        <v>0</v>
      </c>
      <c r="S467" t="str">
        <f>IF(OR(R467&lt;0,R467&gt;100),"invalid","Valid")</f>
        <v>Valid</v>
      </c>
      <c r="T467" t="s">
        <v>77</v>
      </c>
      <c r="U467" t="str">
        <f>PROPER(TRIM(T467))</f>
        <v>Cash</v>
      </c>
      <c r="V467" t="s">
        <v>81</v>
      </c>
      <c r="W467" t="str">
        <f t="shared" si="14"/>
        <v>Ada</v>
      </c>
      <c r="X467" t="s">
        <v>26</v>
      </c>
      <c r="Y467">
        <v>4</v>
      </c>
      <c r="Z467" t="str">
        <f>IF(D467="", "Missing", "ok")</f>
        <v>Missing</v>
      </c>
      <c r="AA467">
        <f t="shared" si="15"/>
        <v>3992.16</v>
      </c>
    </row>
    <row r="468" spans="1:27" x14ac:dyDescent="0.25">
      <c r="A468" t="s">
        <v>1317</v>
      </c>
      <c r="B468" s="1" t="s">
        <v>1318</v>
      </c>
      <c r="C468" t="s">
        <v>1319</v>
      </c>
      <c r="D468" t="s">
        <v>101</v>
      </c>
      <c r="E468" t="str">
        <f>PROPER(TRIM(D468))</f>
        <v>Grace</v>
      </c>
      <c r="F468" t="s">
        <v>46</v>
      </c>
      <c r="G468">
        <v>63</v>
      </c>
      <c r="H468" t="str">
        <f>IF(AND(G468&gt;18, G468&lt;65), "Valid", "Invalid")</f>
        <v>Valid</v>
      </c>
      <c r="I468" t="s">
        <v>47</v>
      </c>
      <c r="J468" t="str">
        <f>PROPER(TRIM(I468))</f>
        <v>Enugu</v>
      </c>
      <c r="K468" t="s">
        <v>31</v>
      </c>
      <c r="L468" t="str">
        <f>PROPER(TRIM(K468))</f>
        <v>Sports</v>
      </c>
      <c r="M468" t="s">
        <v>32</v>
      </c>
      <c r="N468" t="str">
        <f>PROPER(TRIM(M468))</f>
        <v>Ball</v>
      </c>
      <c r="O468">
        <v>405.94</v>
      </c>
      <c r="P468">
        <v>-2</v>
      </c>
      <c r="Q468">
        <f>IF(P468&lt;1, 1, P468)</f>
        <v>1</v>
      </c>
      <c r="R468">
        <v>15</v>
      </c>
      <c r="S468" t="str">
        <f>IF(OR(R468&lt;0,R468&gt;100),"invalid","Valid")</f>
        <v>Valid</v>
      </c>
      <c r="T468" t="s">
        <v>77</v>
      </c>
      <c r="U468" t="str">
        <f>PROPER(TRIM(T468))</f>
        <v>Cash</v>
      </c>
      <c r="V468" t="s">
        <v>81</v>
      </c>
      <c r="W468" t="str">
        <f t="shared" si="14"/>
        <v>Ada</v>
      </c>
      <c r="X468" t="s">
        <v>82</v>
      </c>
      <c r="Y468">
        <v>4</v>
      </c>
      <c r="Z468" t="str">
        <f>IF(D468="", "Missing", "ok")</f>
        <v>ok</v>
      </c>
      <c r="AA468">
        <f t="shared" si="15"/>
        <v>345.04899999999998</v>
      </c>
    </row>
    <row r="469" spans="1:27" x14ac:dyDescent="0.25">
      <c r="A469" t="s">
        <v>1320</v>
      </c>
      <c r="B469" s="1" t="s">
        <v>1321</v>
      </c>
      <c r="C469" t="s">
        <v>1322</v>
      </c>
      <c r="E469" t="str">
        <f>PROPER(TRIM(D469))</f>
        <v/>
      </c>
      <c r="F469" t="s">
        <v>20</v>
      </c>
      <c r="G469">
        <v>130</v>
      </c>
      <c r="H469" t="str">
        <f>IF(AND(G469&gt;18, G469&lt;65), "Valid", "Invalid")</f>
        <v>Invalid</v>
      </c>
      <c r="I469" t="s">
        <v>47</v>
      </c>
      <c r="J469" t="str">
        <f>PROPER(TRIM(I469))</f>
        <v>Enugu</v>
      </c>
      <c r="K469" t="s">
        <v>22</v>
      </c>
      <c r="L469" t="str">
        <f>PROPER(TRIM(K469))</f>
        <v>Fashion</v>
      </c>
      <c r="M469" t="s">
        <v>23</v>
      </c>
      <c r="N469" t="str">
        <f>PROPER(TRIM(M469))</f>
        <v>Shirt</v>
      </c>
      <c r="O469">
        <v>464.72</v>
      </c>
      <c r="P469">
        <v>10</v>
      </c>
      <c r="Q469">
        <f>IF(P469&lt;1, 1, P469)</f>
        <v>10</v>
      </c>
      <c r="R469">
        <v>15</v>
      </c>
      <c r="S469" t="str">
        <f>IF(OR(R469&lt;0,R469&gt;100),"invalid","Valid")</f>
        <v>Valid</v>
      </c>
      <c r="U469" t="str">
        <f>PROPER(TRIM(T469))</f>
        <v/>
      </c>
      <c r="V469" t="s">
        <v>81</v>
      </c>
      <c r="W469" t="str">
        <f t="shared" si="14"/>
        <v>Ada</v>
      </c>
      <c r="X469" t="s">
        <v>33</v>
      </c>
      <c r="Y469">
        <v>2</v>
      </c>
      <c r="Z469" t="str">
        <f>IF(D469="", "Missing", "ok")</f>
        <v>Missing</v>
      </c>
      <c r="AA469">
        <f t="shared" si="15"/>
        <v>3950.1200000000003</v>
      </c>
    </row>
    <row r="470" spans="1:27" x14ac:dyDescent="0.25">
      <c r="A470" t="s">
        <v>1323</v>
      </c>
      <c r="B470" s="1" t="s">
        <v>1324</v>
      </c>
      <c r="C470" t="s">
        <v>1325</v>
      </c>
      <c r="D470" t="s">
        <v>19</v>
      </c>
      <c r="E470" t="str">
        <f>PROPER(TRIM(D470))</f>
        <v>Peter</v>
      </c>
      <c r="F470" t="s">
        <v>46</v>
      </c>
      <c r="G470">
        <v>8</v>
      </c>
      <c r="H470" t="str">
        <f>IF(AND(G470&gt;18, G470&lt;65), "Valid", "Invalid")</f>
        <v>Invalid</v>
      </c>
      <c r="I470" t="s">
        <v>21</v>
      </c>
      <c r="J470" t="str">
        <f>PROPER(TRIM(I470))</f>
        <v>Lagos</v>
      </c>
      <c r="K470" t="s">
        <v>22</v>
      </c>
      <c r="L470" t="str">
        <f>PROPER(TRIM(K470))</f>
        <v>Fashion</v>
      </c>
      <c r="M470" t="s">
        <v>23</v>
      </c>
      <c r="N470" t="str">
        <f>PROPER(TRIM(M470))</f>
        <v>Shirt</v>
      </c>
      <c r="O470">
        <v>478.06</v>
      </c>
      <c r="P470">
        <v>4</v>
      </c>
      <c r="Q470">
        <f>IF(P470&lt;1, 1, P470)</f>
        <v>4</v>
      </c>
      <c r="R470">
        <v>15</v>
      </c>
      <c r="S470" t="str">
        <f>IF(OR(R470&lt;0,R470&gt;100),"invalid","Valid")</f>
        <v>Valid</v>
      </c>
      <c r="T470" t="s">
        <v>64</v>
      </c>
      <c r="U470" t="str">
        <f>PROPER(TRIM(T470))</f>
        <v>Transfer</v>
      </c>
      <c r="V470" t="s">
        <v>81</v>
      </c>
      <c r="W470" t="str">
        <f t="shared" si="14"/>
        <v>Ada</v>
      </c>
      <c r="X470" t="s">
        <v>33</v>
      </c>
      <c r="Y470">
        <v>1</v>
      </c>
      <c r="Z470" t="str">
        <f>IF(D470="", "Missing", "ok")</f>
        <v>ok</v>
      </c>
      <c r="AA470">
        <f t="shared" si="15"/>
        <v>1625.404</v>
      </c>
    </row>
    <row r="471" spans="1:27" x14ac:dyDescent="0.25">
      <c r="A471" t="s">
        <v>1326</v>
      </c>
      <c r="B471" s="1" t="s">
        <v>1327</v>
      </c>
      <c r="C471" t="s">
        <v>837</v>
      </c>
      <c r="D471" t="s">
        <v>117</v>
      </c>
      <c r="E471" t="str">
        <f>PROPER(TRIM(D471))</f>
        <v>David</v>
      </c>
      <c r="F471" t="s">
        <v>46</v>
      </c>
      <c r="G471">
        <v>130</v>
      </c>
      <c r="H471" t="str">
        <f>IF(AND(G471&gt;18, G471&lt;65), "Valid", "Invalid")</f>
        <v>Invalid</v>
      </c>
      <c r="I471" t="s">
        <v>86</v>
      </c>
      <c r="J471" t="str">
        <f>PROPER(TRIM(I471))</f>
        <v>Kano</v>
      </c>
      <c r="K471" t="s">
        <v>39</v>
      </c>
      <c r="L471" t="str">
        <f>PROPER(TRIM(K471))</f>
        <v>Electronics</v>
      </c>
      <c r="M471" t="s">
        <v>40</v>
      </c>
      <c r="N471" t="str">
        <f>PROPER(TRIM(M471))</f>
        <v>Phone</v>
      </c>
      <c r="O471">
        <v>422.17</v>
      </c>
      <c r="P471">
        <v>-2</v>
      </c>
      <c r="Q471">
        <f>IF(P471&lt;1, 1, P471)</f>
        <v>1</v>
      </c>
      <c r="R471">
        <v>10</v>
      </c>
      <c r="S471" t="str">
        <f>IF(OR(R471&lt;0,R471&gt;100),"invalid","Valid")</f>
        <v>Valid</v>
      </c>
      <c r="T471" t="s">
        <v>77</v>
      </c>
      <c r="U471" t="str">
        <f>PROPER(TRIM(T471))</f>
        <v>Cash</v>
      </c>
      <c r="V471" t="s">
        <v>81</v>
      </c>
      <c r="W471" t="str">
        <f t="shared" si="14"/>
        <v>Ada</v>
      </c>
      <c r="X471" t="s">
        <v>26</v>
      </c>
      <c r="Z471" t="str">
        <f>IF(D471="", "Missing", "ok")</f>
        <v>ok</v>
      </c>
      <c r="AA471">
        <f t="shared" si="15"/>
        <v>379.95300000000003</v>
      </c>
    </row>
    <row r="472" spans="1:27" x14ac:dyDescent="0.25">
      <c r="A472" t="s">
        <v>1328</v>
      </c>
      <c r="B472" s="1" t="s">
        <v>1205</v>
      </c>
      <c r="C472" t="s">
        <v>1329</v>
      </c>
      <c r="D472" t="s">
        <v>63</v>
      </c>
      <c r="E472" t="str">
        <f>PROPER(TRIM(D472))</f>
        <v>John</v>
      </c>
      <c r="F472" t="s">
        <v>46</v>
      </c>
      <c r="G472">
        <v>130</v>
      </c>
      <c r="H472" t="str">
        <f>IF(AND(G472&gt;18, G472&lt;65), "Valid", "Invalid")</f>
        <v>Invalid</v>
      </c>
      <c r="I472" t="s">
        <v>38</v>
      </c>
      <c r="J472" t="str">
        <f>PROPER(TRIM(I472))</f>
        <v>Ph</v>
      </c>
      <c r="K472" t="s">
        <v>48</v>
      </c>
      <c r="L472" t="str">
        <f>PROPER(TRIM(K472))</f>
        <v>Groceries</v>
      </c>
      <c r="M472" t="s">
        <v>49</v>
      </c>
      <c r="N472" t="str">
        <f>PROPER(TRIM(M472))</f>
        <v>Rice</v>
      </c>
      <c r="O472">
        <v>373.34</v>
      </c>
      <c r="P472">
        <v>-2</v>
      </c>
      <c r="Q472">
        <f>IF(P472&lt;1, 1, P472)</f>
        <v>1</v>
      </c>
      <c r="R472">
        <v>5</v>
      </c>
      <c r="S472" t="str">
        <f>IF(OR(R472&lt;0,R472&gt;100),"invalid","Valid")</f>
        <v>Valid</v>
      </c>
      <c r="T472" t="s">
        <v>24</v>
      </c>
      <c r="U472" t="str">
        <f>PROPER(TRIM(T472))</f>
        <v>Pos</v>
      </c>
      <c r="V472" t="s">
        <v>91</v>
      </c>
      <c r="W472" t="str">
        <f t="shared" si="14"/>
        <v>Ben</v>
      </c>
      <c r="X472" t="s">
        <v>26</v>
      </c>
      <c r="Z472" t="str">
        <f>IF(D472="", "Missing", "ok")</f>
        <v>ok</v>
      </c>
      <c r="AA472">
        <f t="shared" si="15"/>
        <v>354.67299999999994</v>
      </c>
    </row>
    <row r="473" spans="1:27" x14ac:dyDescent="0.25">
      <c r="A473" t="s">
        <v>1330</v>
      </c>
      <c r="B473" s="1" t="s">
        <v>464</v>
      </c>
      <c r="C473" t="s">
        <v>1331</v>
      </c>
      <c r="D473" t="s">
        <v>37</v>
      </c>
      <c r="E473" t="str">
        <f>PROPER(TRIM(D473))</f>
        <v>Aisha</v>
      </c>
      <c r="F473" t="s">
        <v>46</v>
      </c>
      <c r="G473">
        <v>8</v>
      </c>
      <c r="H473" t="str">
        <f>IF(AND(G473&gt;18, G473&lt;65), "Valid", "Invalid")</f>
        <v>Invalid</v>
      </c>
      <c r="I473" t="s">
        <v>53</v>
      </c>
      <c r="J473" t="str">
        <f>PROPER(TRIM(I473))</f>
        <v>Lagos</v>
      </c>
      <c r="K473" t="s">
        <v>22</v>
      </c>
      <c r="L473" t="str">
        <f>PROPER(TRIM(K473))</f>
        <v>Fashion</v>
      </c>
      <c r="M473" t="s">
        <v>23</v>
      </c>
      <c r="N473" t="str">
        <f>PROPER(TRIM(M473))</f>
        <v>Shirt</v>
      </c>
      <c r="O473">
        <v>394.05</v>
      </c>
      <c r="P473">
        <v>-2</v>
      </c>
      <c r="Q473">
        <f>IF(P473&lt;1, 1, P473)</f>
        <v>1</v>
      </c>
      <c r="R473">
        <v>15</v>
      </c>
      <c r="S473" t="str">
        <f>IF(OR(R473&lt;0,R473&gt;100),"invalid","Valid")</f>
        <v>Valid</v>
      </c>
      <c r="T473" t="s">
        <v>64</v>
      </c>
      <c r="U473" t="str">
        <f>PROPER(TRIM(T473))</f>
        <v>Transfer</v>
      </c>
      <c r="V473" t="s">
        <v>81</v>
      </c>
      <c r="W473" t="str">
        <f t="shared" si="14"/>
        <v>Ada</v>
      </c>
      <c r="X473" t="s">
        <v>33</v>
      </c>
      <c r="Y473">
        <v>4</v>
      </c>
      <c r="Z473" t="str">
        <f>IF(D473="", "Missing", "ok")</f>
        <v>ok</v>
      </c>
      <c r="AA473">
        <f t="shared" si="15"/>
        <v>334.9425</v>
      </c>
    </row>
    <row r="474" spans="1:27" x14ac:dyDescent="0.25">
      <c r="A474" t="s">
        <v>1332</v>
      </c>
      <c r="B474" s="1" t="s">
        <v>1333</v>
      </c>
      <c r="C474" t="s">
        <v>1334</v>
      </c>
      <c r="D474" t="s">
        <v>37</v>
      </c>
      <c r="E474" t="str">
        <f>PROPER(TRIM(D474))</f>
        <v>Aisha</v>
      </c>
      <c r="F474" t="s">
        <v>46</v>
      </c>
      <c r="G474">
        <v>130</v>
      </c>
      <c r="H474" t="str">
        <f>IF(AND(G474&gt;18, G474&lt;65), "Valid", "Invalid")</f>
        <v>Invalid</v>
      </c>
      <c r="I474" t="s">
        <v>86</v>
      </c>
      <c r="J474" t="str">
        <f>PROPER(TRIM(I474))</f>
        <v>Kano</v>
      </c>
      <c r="K474" t="s">
        <v>87</v>
      </c>
      <c r="L474" t="str">
        <f>PROPER(TRIM(K474))</f>
        <v>Groceris</v>
      </c>
      <c r="M474" t="s">
        <v>49</v>
      </c>
      <c r="N474" t="str">
        <f>PROPER(TRIM(M474))</f>
        <v>Rice</v>
      </c>
      <c r="O474">
        <v>79.03</v>
      </c>
      <c r="P474">
        <v>10</v>
      </c>
      <c r="Q474">
        <f>IF(P474&lt;1, 1, P474)</f>
        <v>10</v>
      </c>
      <c r="R474">
        <v>10</v>
      </c>
      <c r="S474" t="str">
        <f>IF(OR(R474&lt;0,R474&gt;100),"invalid","Valid")</f>
        <v>Valid</v>
      </c>
      <c r="T474" t="s">
        <v>77</v>
      </c>
      <c r="U474" t="str">
        <f>PROPER(TRIM(T474))</f>
        <v>Cash</v>
      </c>
      <c r="V474" t="s">
        <v>91</v>
      </c>
      <c r="W474" t="str">
        <f t="shared" si="14"/>
        <v>Ben</v>
      </c>
      <c r="X474" t="s">
        <v>26</v>
      </c>
      <c r="Y474">
        <v>1</v>
      </c>
      <c r="Z474" t="str">
        <f>IF(D474="", "Missing", "ok")</f>
        <v>ok</v>
      </c>
      <c r="AA474">
        <f t="shared" si="15"/>
        <v>711.27</v>
      </c>
    </row>
    <row r="475" spans="1:27" x14ac:dyDescent="0.25">
      <c r="A475" t="s">
        <v>1335</v>
      </c>
      <c r="B475" s="1" t="s">
        <v>1336</v>
      </c>
      <c r="C475" t="s">
        <v>1337</v>
      </c>
      <c r="D475" t="s">
        <v>63</v>
      </c>
      <c r="E475" t="str">
        <f>PROPER(TRIM(D475))</f>
        <v>John</v>
      </c>
      <c r="F475" t="s">
        <v>20</v>
      </c>
      <c r="G475">
        <v>130</v>
      </c>
      <c r="H475" t="str">
        <f>IF(AND(G475&gt;18, G475&lt;65), "Valid", "Invalid")</f>
        <v>Invalid</v>
      </c>
      <c r="I475" t="s">
        <v>70</v>
      </c>
      <c r="J475" t="str">
        <f>PROPER(TRIM(I475))</f>
        <v>Abuja</v>
      </c>
      <c r="K475" t="s">
        <v>87</v>
      </c>
      <c r="L475" t="str">
        <f>PROPER(TRIM(K475))</f>
        <v>Groceris</v>
      </c>
      <c r="M475" t="s">
        <v>49</v>
      </c>
      <c r="N475" t="str">
        <f>PROPER(TRIM(M475))</f>
        <v>Rice</v>
      </c>
      <c r="O475">
        <v>392.87</v>
      </c>
      <c r="P475">
        <v>7</v>
      </c>
      <c r="Q475">
        <f>IF(P475&lt;1, 1, P475)</f>
        <v>7</v>
      </c>
      <c r="R475">
        <v>-10</v>
      </c>
      <c r="S475" t="str">
        <f>IF(OR(R475&lt;0,R475&gt;100),"invalid","Valid")</f>
        <v>invalid</v>
      </c>
      <c r="T475" t="s">
        <v>64</v>
      </c>
      <c r="U475" t="str">
        <f>PROPER(TRIM(T475))</f>
        <v>Transfer</v>
      </c>
      <c r="V475" t="s">
        <v>81</v>
      </c>
      <c r="W475" t="str">
        <f t="shared" si="14"/>
        <v>Ada</v>
      </c>
      <c r="X475" t="s">
        <v>82</v>
      </c>
      <c r="Y475">
        <v>3</v>
      </c>
      <c r="Z475" t="str">
        <f>IF(D475="", "Missing", "ok")</f>
        <v>ok</v>
      </c>
      <c r="AA475">
        <f t="shared" si="15"/>
        <v>3025.0990000000006</v>
      </c>
    </row>
    <row r="476" spans="1:27" x14ac:dyDescent="0.25">
      <c r="A476" t="s">
        <v>1338</v>
      </c>
      <c r="B476" s="1" t="s">
        <v>1339</v>
      </c>
      <c r="C476" t="s">
        <v>1340</v>
      </c>
      <c r="D476" t="s">
        <v>117</v>
      </c>
      <c r="E476" t="str">
        <f>PROPER(TRIM(D476))</f>
        <v>David</v>
      </c>
      <c r="F476" t="s">
        <v>20</v>
      </c>
      <c r="G476">
        <v>30</v>
      </c>
      <c r="H476" t="str">
        <f>IF(AND(G476&gt;18, G476&lt;65), "Valid", "Invalid")</f>
        <v>Valid</v>
      </c>
      <c r="I476" t="s">
        <v>38</v>
      </c>
      <c r="J476" t="str">
        <f>PROPER(TRIM(I476))</f>
        <v>Ph</v>
      </c>
      <c r="K476" t="s">
        <v>39</v>
      </c>
      <c r="L476" t="str">
        <f>PROPER(TRIM(K476))</f>
        <v>Electronics</v>
      </c>
      <c r="M476" t="s">
        <v>40</v>
      </c>
      <c r="N476" t="str">
        <f>PROPER(TRIM(M476))</f>
        <v>Phone</v>
      </c>
      <c r="O476">
        <v>290.02999999999997</v>
      </c>
      <c r="P476">
        <v>-2</v>
      </c>
      <c r="Q476">
        <f>IF(P476&lt;1, 1, P476)</f>
        <v>1</v>
      </c>
      <c r="R476">
        <v>15</v>
      </c>
      <c r="S476" t="str">
        <f>IF(OR(R476&lt;0,R476&gt;100),"invalid","Valid")</f>
        <v>Valid</v>
      </c>
      <c r="T476" t="s">
        <v>59</v>
      </c>
      <c r="U476" t="str">
        <f>PROPER(TRIM(T476))</f>
        <v>Mobile Money</v>
      </c>
      <c r="V476" t="s">
        <v>25</v>
      </c>
      <c r="W476" t="str">
        <f t="shared" si="14"/>
        <v>Dan</v>
      </c>
      <c r="X476" t="s">
        <v>33</v>
      </c>
      <c r="Z476" t="str">
        <f>IF(D476="", "Missing", "ok")</f>
        <v>ok</v>
      </c>
      <c r="AA476">
        <f t="shared" si="15"/>
        <v>246.52549999999997</v>
      </c>
    </row>
    <row r="477" spans="1:27" x14ac:dyDescent="0.25">
      <c r="A477" t="s">
        <v>1341</v>
      </c>
      <c r="B477" s="1" t="s">
        <v>1342</v>
      </c>
      <c r="C477" t="s">
        <v>549</v>
      </c>
      <c r="D477" t="s">
        <v>101</v>
      </c>
      <c r="E477" t="str">
        <f>PROPER(TRIM(D477))</f>
        <v>Grace</v>
      </c>
      <c r="F477" t="s">
        <v>20</v>
      </c>
      <c r="G477">
        <v>61</v>
      </c>
      <c r="H477" t="str">
        <f>IF(AND(G477&gt;18, G477&lt;65), "Valid", "Invalid")</f>
        <v>Valid</v>
      </c>
      <c r="I477" t="s">
        <v>30</v>
      </c>
      <c r="J477" t="str">
        <f>PROPER(TRIM(I477))</f>
        <v>Lagos</v>
      </c>
      <c r="K477" t="s">
        <v>121</v>
      </c>
      <c r="L477" t="str">
        <f>PROPER(TRIM(K477))</f>
        <v>Beauty</v>
      </c>
      <c r="M477" t="s">
        <v>122</v>
      </c>
      <c r="N477" t="str">
        <f>PROPER(TRIM(M477))</f>
        <v>Cream</v>
      </c>
      <c r="O477">
        <v>393.39</v>
      </c>
      <c r="P477">
        <v>-2</v>
      </c>
      <c r="Q477">
        <f>IF(P477&lt;1, 1, P477)</f>
        <v>1</v>
      </c>
      <c r="R477">
        <v>15</v>
      </c>
      <c r="S477" t="str">
        <f>IF(OR(R477&lt;0,R477&gt;100),"invalid","Valid")</f>
        <v>Valid</v>
      </c>
      <c r="T477" t="s">
        <v>77</v>
      </c>
      <c r="U477" t="str">
        <f>PROPER(TRIM(T477))</f>
        <v>Cash</v>
      </c>
      <c r="V477" t="s">
        <v>91</v>
      </c>
      <c r="W477" t="str">
        <f t="shared" si="14"/>
        <v>Ben</v>
      </c>
      <c r="X477" t="s">
        <v>26</v>
      </c>
      <c r="Y477">
        <v>3</v>
      </c>
      <c r="Z477" t="str">
        <f>IF(D477="", "Missing", "ok")</f>
        <v>ok</v>
      </c>
      <c r="AA477">
        <f t="shared" si="15"/>
        <v>334.38149999999996</v>
      </c>
    </row>
    <row r="478" spans="1:27" x14ac:dyDescent="0.25">
      <c r="A478" t="s">
        <v>1343</v>
      </c>
      <c r="B478" s="1" t="s">
        <v>1182</v>
      </c>
      <c r="C478" t="s">
        <v>1344</v>
      </c>
      <c r="D478" t="s">
        <v>69</v>
      </c>
      <c r="E478" t="str">
        <f>PROPER(TRIM(D478))</f>
        <v>Mary</v>
      </c>
      <c r="F478" t="s">
        <v>20</v>
      </c>
      <c r="G478">
        <v>8</v>
      </c>
      <c r="H478" t="str">
        <f>IF(AND(G478&gt;18, G478&lt;65), "Valid", "Invalid")</f>
        <v>Invalid</v>
      </c>
      <c r="I478" t="s">
        <v>47</v>
      </c>
      <c r="J478" t="str">
        <f>PROPER(TRIM(I478))</f>
        <v>Enugu</v>
      </c>
      <c r="K478" t="s">
        <v>54</v>
      </c>
      <c r="L478" t="str">
        <f>PROPER(TRIM(K478))</f>
        <v>Home</v>
      </c>
      <c r="M478" t="s">
        <v>55</v>
      </c>
      <c r="N478" t="str">
        <f>PROPER(TRIM(M478))</f>
        <v>Chair</v>
      </c>
      <c r="O478">
        <v>325.51</v>
      </c>
      <c r="P478">
        <v>-2</v>
      </c>
      <c r="Q478">
        <f>IF(P478&lt;1, 1, P478)</f>
        <v>1</v>
      </c>
      <c r="R478">
        <v>5</v>
      </c>
      <c r="S478" t="str">
        <f>IF(OR(R478&lt;0,R478&gt;100),"invalid","Valid")</f>
        <v>Valid</v>
      </c>
      <c r="T478" t="s">
        <v>59</v>
      </c>
      <c r="U478" t="str">
        <f>PROPER(TRIM(T478))</f>
        <v>Mobile Money</v>
      </c>
      <c r="V478" t="s">
        <v>81</v>
      </c>
      <c r="W478" t="str">
        <f t="shared" si="14"/>
        <v>Ada</v>
      </c>
      <c r="X478" t="s">
        <v>82</v>
      </c>
      <c r="Z478" t="str">
        <f>IF(D478="", "Missing", "ok")</f>
        <v>ok</v>
      </c>
      <c r="AA478">
        <f t="shared" si="15"/>
        <v>309.23449999999997</v>
      </c>
    </row>
    <row r="479" spans="1:27" x14ac:dyDescent="0.25">
      <c r="A479" t="s">
        <v>1345</v>
      </c>
      <c r="B479" s="1" t="s">
        <v>1346</v>
      </c>
      <c r="C479" t="s">
        <v>1347</v>
      </c>
      <c r="D479" t="s">
        <v>45</v>
      </c>
      <c r="E479" t="str">
        <f>PROPER(TRIM(D479))</f>
        <v>James</v>
      </c>
      <c r="F479" t="s">
        <v>20</v>
      </c>
      <c r="G479">
        <v>46</v>
      </c>
      <c r="H479" t="str">
        <f>IF(AND(G479&gt;18, G479&lt;65), "Valid", "Invalid")</f>
        <v>Valid</v>
      </c>
      <c r="I479" t="s">
        <v>38</v>
      </c>
      <c r="J479" t="str">
        <f>PROPER(TRIM(I479))</f>
        <v>Ph</v>
      </c>
      <c r="K479" t="s">
        <v>48</v>
      </c>
      <c r="L479" t="str">
        <f>PROPER(TRIM(K479))</f>
        <v>Groceries</v>
      </c>
      <c r="M479" t="s">
        <v>49</v>
      </c>
      <c r="N479" t="str">
        <f>PROPER(TRIM(M479))</f>
        <v>Rice</v>
      </c>
      <c r="O479">
        <v>69.12</v>
      </c>
      <c r="P479">
        <v>9</v>
      </c>
      <c r="Q479">
        <f>IF(P479&lt;1, 1, P479)</f>
        <v>9</v>
      </c>
      <c r="R479">
        <v>5</v>
      </c>
      <c r="S479" t="str">
        <f>IF(OR(R479&lt;0,R479&gt;100),"invalid","Valid")</f>
        <v>Valid</v>
      </c>
      <c r="T479" t="s">
        <v>64</v>
      </c>
      <c r="U479" t="str">
        <f>PROPER(TRIM(T479))</f>
        <v>Transfer</v>
      </c>
      <c r="V479" t="s">
        <v>81</v>
      </c>
      <c r="W479" t="str">
        <f t="shared" si="14"/>
        <v>Ada</v>
      </c>
      <c r="X479" t="s">
        <v>26</v>
      </c>
      <c r="Y479">
        <v>5</v>
      </c>
      <c r="Z479" t="str">
        <f>IF(D479="", "Missing", "ok")</f>
        <v>ok</v>
      </c>
      <c r="AA479">
        <f t="shared" si="15"/>
        <v>590.976</v>
      </c>
    </row>
    <row r="480" spans="1:27" x14ac:dyDescent="0.25">
      <c r="A480" t="s">
        <v>1348</v>
      </c>
      <c r="B480" s="1" t="s">
        <v>1349</v>
      </c>
      <c r="C480" t="s">
        <v>1350</v>
      </c>
      <c r="D480" t="s">
        <v>37</v>
      </c>
      <c r="E480" t="str">
        <f>PROPER(TRIM(D480))</f>
        <v>Aisha</v>
      </c>
      <c r="F480" t="s">
        <v>46</v>
      </c>
      <c r="G480">
        <v>40</v>
      </c>
      <c r="H480" t="str">
        <f>IF(AND(G480&gt;18, G480&lt;65), "Valid", "Invalid")</f>
        <v>Valid</v>
      </c>
      <c r="I480" t="s">
        <v>21</v>
      </c>
      <c r="J480" t="str">
        <f>PROPER(TRIM(I480))</f>
        <v>Lagos</v>
      </c>
      <c r="K480" t="s">
        <v>87</v>
      </c>
      <c r="L480" t="str">
        <f>PROPER(TRIM(K480))</f>
        <v>Groceris</v>
      </c>
      <c r="M480" t="s">
        <v>49</v>
      </c>
      <c r="N480" t="str">
        <f>PROPER(TRIM(M480))</f>
        <v>Rice</v>
      </c>
      <c r="O480">
        <v>98.03</v>
      </c>
      <c r="P480">
        <v>9</v>
      </c>
      <c r="Q480">
        <f>IF(P480&lt;1, 1, P480)</f>
        <v>9</v>
      </c>
      <c r="R480">
        <v>10</v>
      </c>
      <c r="S480" t="str">
        <f>IF(OR(R480&lt;0,R480&gt;100),"invalid","Valid")</f>
        <v>Valid</v>
      </c>
      <c r="T480" t="s">
        <v>77</v>
      </c>
      <c r="U480" t="str">
        <f>PROPER(TRIM(T480))</f>
        <v>Cash</v>
      </c>
      <c r="V480" t="s">
        <v>81</v>
      </c>
      <c r="W480" t="str">
        <f t="shared" si="14"/>
        <v>Ada</v>
      </c>
      <c r="X480" t="s">
        <v>82</v>
      </c>
      <c r="Y480">
        <v>4</v>
      </c>
      <c r="Z480" t="str">
        <f>IF(D480="", "Missing", "ok")</f>
        <v>ok</v>
      </c>
      <c r="AA480">
        <f t="shared" si="15"/>
        <v>794.04300000000001</v>
      </c>
    </row>
    <row r="481" spans="1:27" x14ac:dyDescent="0.25">
      <c r="A481" t="s">
        <v>1351</v>
      </c>
      <c r="B481" s="1" t="s">
        <v>1352</v>
      </c>
      <c r="C481" t="s">
        <v>1353</v>
      </c>
      <c r="D481" t="s">
        <v>19</v>
      </c>
      <c r="E481" t="str">
        <f>PROPER(TRIM(D481))</f>
        <v>Peter</v>
      </c>
      <c r="F481" t="s">
        <v>20</v>
      </c>
      <c r="G481">
        <v>130</v>
      </c>
      <c r="H481" t="str">
        <f>IF(AND(G481&gt;18, G481&lt;65), "Valid", "Invalid")</f>
        <v>Invalid</v>
      </c>
      <c r="I481" t="s">
        <v>30</v>
      </c>
      <c r="J481" t="str">
        <f>PROPER(TRIM(I481))</f>
        <v>Lagos</v>
      </c>
      <c r="K481" t="s">
        <v>48</v>
      </c>
      <c r="L481" t="str">
        <f>PROPER(TRIM(K481))</f>
        <v>Groceries</v>
      </c>
      <c r="M481" t="s">
        <v>49</v>
      </c>
      <c r="N481" t="str">
        <f>PROPER(TRIM(M481))</f>
        <v>Rice</v>
      </c>
      <c r="O481">
        <v>408.09</v>
      </c>
      <c r="P481">
        <v>3</v>
      </c>
      <c r="Q481">
        <f>IF(P481&lt;1, 1, P481)</f>
        <v>3</v>
      </c>
      <c r="R481">
        <v>5</v>
      </c>
      <c r="S481" t="str">
        <f>IF(OR(R481&lt;0,R481&gt;100),"invalid","Valid")</f>
        <v>Valid</v>
      </c>
      <c r="T481" t="s">
        <v>24</v>
      </c>
      <c r="U481" t="str">
        <f>PROPER(TRIM(T481))</f>
        <v>Pos</v>
      </c>
      <c r="V481" t="s">
        <v>41</v>
      </c>
      <c r="W481" t="str">
        <f t="shared" si="14"/>
        <v>Chi</v>
      </c>
      <c r="X481" t="s">
        <v>33</v>
      </c>
      <c r="Z481" t="str">
        <f>IF(D481="", "Missing", "ok")</f>
        <v>ok</v>
      </c>
      <c r="AA481">
        <f t="shared" si="15"/>
        <v>1163.0564999999999</v>
      </c>
    </row>
    <row r="482" spans="1:27" x14ac:dyDescent="0.25">
      <c r="A482" t="s">
        <v>1354</v>
      </c>
      <c r="B482" s="1" t="s">
        <v>1355</v>
      </c>
      <c r="C482" t="s">
        <v>1356</v>
      </c>
      <c r="D482" t="s">
        <v>45</v>
      </c>
      <c r="E482" t="str">
        <f>PROPER(TRIM(D482))</f>
        <v>James</v>
      </c>
      <c r="F482" t="s">
        <v>20</v>
      </c>
      <c r="G482">
        <v>130</v>
      </c>
      <c r="H482" t="str">
        <f>IF(AND(G482&gt;18, G482&lt;65), "Valid", "Invalid")</f>
        <v>Invalid</v>
      </c>
      <c r="I482" t="s">
        <v>70</v>
      </c>
      <c r="J482" t="str">
        <f>PROPER(TRIM(I482))</f>
        <v>Abuja</v>
      </c>
      <c r="K482" t="s">
        <v>54</v>
      </c>
      <c r="L482" t="str">
        <f>PROPER(TRIM(K482))</f>
        <v>Home</v>
      </c>
      <c r="M482" t="s">
        <v>55</v>
      </c>
      <c r="N482" t="str">
        <f>PROPER(TRIM(M482))</f>
        <v>Chair</v>
      </c>
      <c r="O482">
        <v>479.95</v>
      </c>
      <c r="P482">
        <v>-2</v>
      </c>
      <c r="Q482">
        <f>IF(P482&lt;1, 1, P482)</f>
        <v>1</v>
      </c>
      <c r="R482">
        <v>0</v>
      </c>
      <c r="S482" t="str">
        <f>IF(OR(R482&lt;0,R482&gt;100),"invalid","Valid")</f>
        <v>Valid</v>
      </c>
      <c r="T482" t="s">
        <v>24</v>
      </c>
      <c r="U482" t="str">
        <f>PROPER(TRIM(T482))</f>
        <v>Pos</v>
      </c>
      <c r="V482" t="s">
        <v>91</v>
      </c>
      <c r="W482" t="str">
        <f t="shared" si="14"/>
        <v>Ben</v>
      </c>
      <c r="X482" t="s">
        <v>26</v>
      </c>
      <c r="Y482">
        <v>2</v>
      </c>
      <c r="Z482" t="str">
        <f>IF(D482="", "Missing", "ok")</f>
        <v>ok</v>
      </c>
      <c r="AA482">
        <f t="shared" si="15"/>
        <v>479.95</v>
      </c>
    </row>
    <row r="483" spans="1:27" x14ac:dyDescent="0.25">
      <c r="A483" t="s">
        <v>1357</v>
      </c>
      <c r="B483" s="1" t="s">
        <v>158</v>
      </c>
      <c r="C483" t="s">
        <v>1358</v>
      </c>
      <c r="D483" t="s">
        <v>63</v>
      </c>
      <c r="E483" t="str">
        <f>PROPER(TRIM(D483))</f>
        <v>John</v>
      </c>
      <c r="F483" t="s">
        <v>20</v>
      </c>
      <c r="G483">
        <v>130</v>
      </c>
      <c r="H483" t="str">
        <f>IF(AND(G483&gt;18, G483&lt;65), "Valid", "Invalid")</f>
        <v>Invalid</v>
      </c>
      <c r="I483" t="s">
        <v>30</v>
      </c>
      <c r="J483" t="str">
        <f>PROPER(TRIM(I483))</f>
        <v>Lagos</v>
      </c>
      <c r="K483" t="s">
        <v>22</v>
      </c>
      <c r="L483" t="str">
        <f>PROPER(TRIM(K483))</f>
        <v>Fashion</v>
      </c>
      <c r="M483" t="s">
        <v>23</v>
      </c>
      <c r="N483" t="str">
        <f>PROPER(TRIM(M483))</f>
        <v>Shirt</v>
      </c>
      <c r="O483">
        <v>175.71</v>
      </c>
      <c r="P483">
        <v>-2</v>
      </c>
      <c r="Q483">
        <f>IF(P483&lt;1, 1, P483)</f>
        <v>1</v>
      </c>
      <c r="R483">
        <v>5</v>
      </c>
      <c r="S483" t="str">
        <f>IF(OR(R483&lt;0,R483&gt;100),"invalid","Valid")</f>
        <v>Valid</v>
      </c>
      <c r="T483" t="s">
        <v>64</v>
      </c>
      <c r="U483" t="str">
        <f>PROPER(TRIM(T483))</f>
        <v>Transfer</v>
      </c>
      <c r="V483" t="s">
        <v>25</v>
      </c>
      <c r="W483" t="str">
        <f t="shared" si="14"/>
        <v>Dan</v>
      </c>
      <c r="X483" t="s">
        <v>33</v>
      </c>
      <c r="Y483">
        <v>3</v>
      </c>
      <c r="Z483" t="str">
        <f>IF(D483="", "Missing", "ok")</f>
        <v>ok</v>
      </c>
      <c r="AA483">
        <f t="shared" si="15"/>
        <v>166.92449999999999</v>
      </c>
    </row>
    <row r="484" spans="1:27" x14ac:dyDescent="0.25">
      <c r="A484" t="s">
        <v>1359</v>
      </c>
      <c r="B484" s="1" t="s">
        <v>1360</v>
      </c>
      <c r="C484" t="s">
        <v>1361</v>
      </c>
      <c r="D484" t="s">
        <v>45</v>
      </c>
      <c r="E484" t="str">
        <f>PROPER(TRIM(D484))</f>
        <v>James</v>
      </c>
      <c r="F484" t="s">
        <v>46</v>
      </c>
      <c r="G484">
        <v>8</v>
      </c>
      <c r="H484" t="str">
        <f>IF(AND(G484&gt;18, G484&lt;65), "Valid", "Invalid")</f>
        <v>Invalid</v>
      </c>
      <c r="I484" t="s">
        <v>70</v>
      </c>
      <c r="J484" t="str">
        <f>PROPER(TRIM(I484))</f>
        <v>Abuja</v>
      </c>
      <c r="K484" t="s">
        <v>22</v>
      </c>
      <c r="L484" t="str">
        <f>PROPER(TRIM(K484))</f>
        <v>Fashion</v>
      </c>
      <c r="M484" t="s">
        <v>23</v>
      </c>
      <c r="N484" t="str">
        <f>PROPER(TRIM(M484))</f>
        <v>Shirt</v>
      </c>
      <c r="O484">
        <v>84.71</v>
      </c>
      <c r="P484">
        <v>-2</v>
      </c>
      <c r="Q484">
        <f>IF(P484&lt;1, 1, P484)</f>
        <v>1</v>
      </c>
      <c r="R484">
        <v>120</v>
      </c>
      <c r="S484" t="str">
        <f>IF(OR(R484&lt;0,R484&gt;100),"invalid","Valid")</f>
        <v>invalid</v>
      </c>
      <c r="T484" t="s">
        <v>59</v>
      </c>
      <c r="U484" t="str">
        <f>PROPER(TRIM(T484))</f>
        <v>Mobile Money</v>
      </c>
      <c r="V484" t="s">
        <v>81</v>
      </c>
      <c r="W484" t="str">
        <f t="shared" si="14"/>
        <v>Ada</v>
      </c>
      <c r="X484" t="s">
        <v>26</v>
      </c>
      <c r="Z484" t="str">
        <f>IF(D484="", "Missing", "ok")</f>
        <v>ok</v>
      </c>
      <c r="AA484">
        <f t="shared" si="15"/>
        <v>-16.941999999999997</v>
      </c>
    </row>
    <row r="485" spans="1:27" x14ac:dyDescent="0.25">
      <c r="A485" t="s">
        <v>1362</v>
      </c>
      <c r="B485" s="1" t="s">
        <v>1363</v>
      </c>
      <c r="C485" t="s">
        <v>1364</v>
      </c>
      <c r="D485" t="s">
        <v>69</v>
      </c>
      <c r="E485" t="str">
        <f>PROPER(TRIM(D485))</f>
        <v>Mary</v>
      </c>
      <c r="F485" t="s">
        <v>46</v>
      </c>
      <c r="G485">
        <v>42</v>
      </c>
      <c r="H485" t="str">
        <f>IF(AND(G485&gt;18, G485&lt;65), "Valid", "Invalid")</f>
        <v>Valid</v>
      </c>
      <c r="I485" t="s">
        <v>38</v>
      </c>
      <c r="J485" t="str">
        <f>PROPER(TRIM(I485))</f>
        <v>Ph</v>
      </c>
      <c r="K485" t="s">
        <v>22</v>
      </c>
      <c r="L485" t="str">
        <f>PROPER(TRIM(K485))</f>
        <v>Fashion</v>
      </c>
      <c r="M485" t="s">
        <v>23</v>
      </c>
      <c r="N485" t="str">
        <f>PROPER(TRIM(M485))</f>
        <v>Shirt</v>
      </c>
      <c r="O485">
        <v>487.48</v>
      </c>
      <c r="P485">
        <v>-2</v>
      </c>
      <c r="Q485">
        <f>IF(P485&lt;1, 1, P485)</f>
        <v>1</v>
      </c>
      <c r="R485">
        <v>-10</v>
      </c>
      <c r="S485" t="str">
        <f>IF(OR(R485&lt;0,R485&gt;100),"invalid","Valid")</f>
        <v>invalid</v>
      </c>
      <c r="T485" t="s">
        <v>24</v>
      </c>
      <c r="U485" t="str">
        <f>PROPER(TRIM(T485))</f>
        <v>Pos</v>
      </c>
      <c r="V485" t="s">
        <v>81</v>
      </c>
      <c r="W485" t="str">
        <f t="shared" si="14"/>
        <v>Ada</v>
      </c>
      <c r="X485" t="s">
        <v>33</v>
      </c>
      <c r="Y485">
        <v>5</v>
      </c>
      <c r="Z485" t="str">
        <f>IF(D485="", "Missing", "ok")</f>
        <v>ok</v>
      </c>
      <c r="AA485">
        <f t="shared" si="15"/>
        <v>536.22800000000007</v>
      </c>
    </row>
    <row r="486" spans="1:27" x14ac:dyDescent="0.25">
      <c r="A486" t="s">
        <v>1365</v>
      </c>
      <c r="B486" s="1" t="s">
        <v>874</v>
      </c>
      <c r="C486" t="s">
        <v>1366</v>
      </c>
      <c r="D486" t="s">
        <v>101</v>
      </c>
      <c r="E486" t="str">
        <f>PROPER(TRIM(D486))</f>
        <v>Grace</v>
      </c>
      <c r="F486" t="s">
        <v>20</v>
      </c>
      <c r="G486">
        <v>23</v>
      </c>
      <c r="H486" t="str">
        <f>IF(AND(G486&gt;18, G486&lt;65), "Valid", "Invalid")</f>
        <v>Valid</v>
      </c>
      <c r="I486" t="s">
        <v>70</v>
      </c>
      <c r="J486" t="str">
        <f>PROPER(TRIM(I486))</f>
        <v>Abuja</v>
      </c>
      <c r="K486" t="s">
        <v>121</v>
      </c>
      <c r="L486" t="str">
        <f>PROPER(TRIM(K486))</f>
        <v>Beauty</v>
      </c>
      <c r="M486" t="s">
        <v>122</v>
      </c>
      <c r="N486" t="str">
        <f>PROPER(TRIM(M486))</f>
        <v>Cream</v>
      </c>
      <c r="O486">
        <v>143.28</v>
      </c>
      <c r="P486">
        <v>8</v>
      </c>
      <c r="Q486">
        <f>IF(P486&lt;1, 1, P486)</f>
        <v>8</v>
      </c>
      <c r="R486">
        <v>0</v>
      </c>
      <c r="S486" t="str">
        <f>IF(OR(R486&lt;0,R486&gt;100),"invalid","Valid")</f>
        <v>Valid</v>
      </c>
      <c r="T486" t="s">
        <v>24</v>
      </c>
      <c r="U486" t="str">
        <f>PROPER(TRIM(T486))</f>
        <v>Pos</v>
      </c>
      <c r="V486" t="s">
        <v>41</v>
      </c>
      <c r="W486" t="str">
        <f t="shared" si="14"/>
        <v>Chi</v>
      </c>
      <c r="X486" t="s">
        <v>82</v>
      </c>
      <c r="Y486">
        <v>3</v>
      </c>
      <c r="Z486" t="str">
        <f>IF(D486="", "Missing", "ok")</f>
        <v>ok</v>
      </c>
      <c r="AA486">
        <f t="shared" si="15"/>
        <v>1146.24</v>
      </c>
    </row>
    <row r="487" spans="1:27" x14ac:dyDescent="0.25">
      <c r="A487" t="s">
        <v>1367</v>
      </c>
      <c r="B487" s="1" t="s">
        <v>252</v>
      </c>
      <c r="C487" t="s">
        <v>1368</v>
      </c>
      <c r="D487" t="s">
        <v>101</v>
      </c>
      <c r="E487" t="str">
        <f>PROPER(TRIM(D487))</f>
        <v>Grace</v>
      </c>
      <c r="F487" t="s">
        <v>46</v>
      </c>
      <c r="G487">
        <v>130</v>
      </c>
      <c r="H487" t="str">
        <f>IF(AND(G487&gt;18, G487&lt;65), "Valid", "Invalid")</f>
        <v>Invalid</v>
      </c>
      <c r="I487" t="s">
        <v>21</v>
      </c>
      <c r="J487" t="str">
        <f>PROPER(TRIM(I487))</f>
        <v>Lagos</v>
      </c>
      <c r="K487" t="s">
        <v>121</v>
      </c>
      <c r="L487" t="str">
        <f>PROPER(TRIM(K487))</f>
        <v>Beauty</v>
      </c>
      <c r="M487" t="s">
        <v>122</v>
      </c>
      <c r="N487" t="str">
        <f>PROPER(TRIM(M487))</f>
        <v>Cream</v>
      </c>
      <c r="O487">
        <v>384.73</v>
      </c>
      <c r="P487">
        <v>4</v>
      </c>
      <c r="Q487">
        <f>IF(P487&lt;1, 1, P487)</f>
        <v>4</v>
      </c>
      <c r="R487">
        <v>5</v>
      </c>
      <c r="S487" t="str">
        <f>IF(OR(R487&lt;0,R487&gt;100),"invalid","Valid")</f>
        <v>Valid</v>
      </c>
      <c r="T487" t="s">
        <v>24</v>
      </c>
      <c r="U487" t="str">
        <f>PROPER(TRIM(T487))</f>
        <v>Pos</v>
      </c>
      <c r="V487" t="s">
        <v>81</v>
      </c>
      <c r="W487" t="str">
        <f t="shared" si="14"/>
        <v>Ada</v>
      </c>
      <c r="X487" t="s">
        <v>26</v>
      </c>
      <c r="Y487">
        <v>2</v>
      </c>
      <c r="Z487" t="str">
        <f>IF(D487="", "Missing", "ok")</f>
        <v>ok</v>
      </c>
      <c r="AA487">
        <f t="shared" si="15"/>
        <v>1461.9739999999999</v>
      </c>
    </row>
    <row r="488" spans="1:27" x14ac:dyDescent="0.25">
      <c r="A488" t="s">
        <v>1369</v>
      </c>
      <c r="B488" s="1" t="s">
        <v>1130</v>
      </c>
      <c r="C488" t="s">
        <v>1370</v>
      </c>
      <c r="D488" t="s">
        <v>45</v>
      </c>
      <c r="E488" t="str">
        <f>PROPER(TRIM(D488))</f>
        <v>James</v>
      </c>
      <c r="F488" t="s">
        <v>20</v>
      </c>
      <c r="G488">
        <v>8</v>
      </c>
      <c r="H488" t="str">
        <f>IF(AND(G488&gt;18, G488&lt;65), "Valid", "Invalid")</f>
        <v>Invalid</v>
      </c>
      <c r="I488" t="s">
        <v>86</v>
      </c>
      <c r="J488" t="str">
        <f>PROPER(TRIM(I488))</f>
        <v>Kano</v>
      </c>
      <c r="K488" t="s">
        <v>48</v>
      </c>
      <c r="L488" t="str">
        <f>PROPER(TRIM(K488))</f>
        <v>Groceries</v>
      </c>
      <c r="M488" t="s">
        <v>49</v>
      </c>
      <c r="N488" t="str">
        <f>PROPER(TRIM(M488))</f>
        <v>Rice</v>
      </c>
      <c r="O488">
        <v>17.07</v>
      </c>
      <c r="P488">
        <v>-2</v>
      </c>
      <c r="Q488">
        <f>IF(P488&lt;1, 1, P488)</f>
        <v>1</v>
      </c>
      <c r="R488">
        <v>0</v>
      </c>
      <c r="S488" t="str">
        <f>IF(OR(R488&lt;0,R488&gt;100),"invalid","Valid")</f>
        <v>Valid</v>
      </c>
      <c r="T488" t="s">
        <v>24</v>
      </c>
      <c r="U488" t="str">
        <f>PROPER(TRIM(T488))</f>
        <v>Pos</v>
      </c>
      <c r="V488" t="s">
        <v>25</v>
      </c>
      <c r="W488" t="str">
        <f t="shared" si="14"/>
        <v>Dan</v>
      </c>
      <c r="X488" t="s">
        <v>26</v>
      </c>
      <c r="Y488">
        <v>4</v>
      </c>
      <c r="Z488" t="str">
        <f>IF(D488="", "Missing", "ok")</f>
        <v>ok</v>
      </c>
      <c r="AA488">
        <f t="shared" si="15"/>
        <v>17.07</v>
      </c>
    </row>
    <row r="489" spans="1:27" x14ac:dyDescent="0.25">
      <c r="A489" t="s">
        <v>1371</v>
      </c>
      <c r="B489" s="1" t="s">
        <v>1372</v>
      </c>
      <c r="C489" t="s">
        <v>856</v>
      </c>
      <c r="D489" t="s">
        <v>117</v>
      </c>
      <c r="E489" t="str">
        <f>PROPER(TRIM(D489))</f>
        <v>David</v>
      </c>
      <c r="F489" t="s">
        <v>20</v>
      </c>
      <c r="G489">
        <v>130</v>
      </c>
      <c r="H489" t="str">
        <f>IF(AND(G489&gt;18, G489&lt;65), "Valid", "Invalid")</f>
        <v>Invalid</v>
      </c>
      <c r="I489" t="s">
        <v>30</v>
      </c>
      <c r="J489" t="str">
        <f>PROPER(TRIM(I489))</f>
        <v>Lagos</v>
      </c>
      <c r="K489" t="s">
        <v>87</v>
      </c>
      <c r="L489" t="str">
        <f>PROPER(TRIM(K489))</f>
        <v>Groceris</v>
      </c>
      <c r="M489" t="s">
        <v>49</v>
      </c>
      <c r="N489" t="str">
        <f>PROPER(TRIM(M489))</f>
        <v>Rice</v>
      </c>
      <c r="O489">
        <v>419.55</v>
      </c>
      <c r="P489">
        <v>9</v>
      </c>
      <c r="Q489">
        <f>IF(P489&lt;1, 1, P489)</f>
        <v>9</v>
      </c>
      <c r="R489">
        <v>10</v>
      </c>
      <c r="S489" t="str">
        <f>IF(OR(R489&lt;0,R489&gt;100),"invalid","Valid")</f>
        <v>Valid</v>
      </c>
      <c r="T489" t="s">
        <v>64</v>
      </c>
      <c r="U489" t="str">
        <f>PROPER(TRIM(T489))</f>
        <v>Transfer</v>
      </c>
      <c r="V489" t="s">
        <v>41</v>
      </c>
      <c r="W489" t="str">
        <f t="shared" si="14"/>
        <v>Chi</v>
      </c>
      <c r="X489" t="s">
        <v>33</v>
      </c>
      <c r="Z489" t="str">
        <f>IF(D489="", "Missing", "ok")</f>
        <v>ok</v>
      </c>
      <c r="AA489">
        <f t="shared" si="15"/>
        <v>3398.3550000000005</v>
      </c>
    </row>
    <row r="490" spans="1:27" x14ac:dyDescent="0.25">
      <c r="A490" t="s">
        <v>1373</v>
      </c>
      <c r="B490" s="1" t="s">
        <v>1374</v>
      </c>
      <c r="C490" t="s">
        <v>1375</v>
      </c>
      <c r="D490" t="s">
        <v>45</v>
      </c>
      <c r="E490" t="str">
        <f>PROPER(TRIM(D490))</f>
        <v>James</v>
      </c>
      <c r="F490" t="s">
        <v>46</v>
      </c>
      <c r="G490">
        <v>130</v>
      </c>
      <c r="H490" t="str">
        <f>IF(AND(G490&gt;18, G490&lt;65), "Valid", "Invalid")</f>
        <v>Invalid</v>
      </c>
      <c r="I490" t="s">
        <v>21</v>
      </c>
      <c r="J490" t="str">
        <f>PROPER(TRIM(I490))</f>
        <v>Lagos</v>
      </c>
      <c r="K490" t="s">
        <v>87</v>
      </c>
      <c r="L490" t="str">
        <f>PROPER(TRIM(K490))</f>
        <v>Groceris</v>
      </c>
      <c r="M490" t="s">
        <v>49</v>
      </c>
      <c r="N490" t="str">
        <f>PROPER(TRIM(M490))</f>
        <v>Rice</v>
      </c>
      <c r="O490">
        <v>440.15</v>
      </c>
      <c r="P490">
        <v>-2</v>
      </c>
      <c r="Q490">
        <f>IF(P490&lt;1, 1, P490)</f>
        <v>1</v>
      </c>
      <c r="R490">
        <v>0</v>
      </c>
      <c r="S490" t="str">
        <f>IF(OR(R490&lt;0,R490&gt;100),"invalid","Valid")</f>
        <v>Valid</v>
      </c>
      <c r="U490" t="str">
        <f>PROPER(TRIM(T490))</f>
        <v/>
      </c>
      <c r="V490" t="s">
        <v>91</v>
      </c>
      <c r="W490" t="str">
        <f t="shared" si="14"/>
        <v>Ben</v>
      </c>
      <c r="X490" t="s">
        <v>82</v>
      </c>
      <c r="Y490">
        <v>5</v>
      </c>
      <c r="Z490" t="str">
        <f>IF(D490="", "Missing", "ok")</f>
        <v>ok</v>
      </c>
      <c r="AA490">
        <f t="shared" si="15"/>
        <v>440.15</v>
      </c>
    </row>
    <row r="491" spans="1:27" x14ac:dyDescent="0.25">
      <c r="A491" t="s">
        <v>1376</v>
      </c>
      <c r="B491" s="1" t="s">
        <v>1377</v>
      </c>
      <c r="C491" t="s">
        <v>1378</v>
      </c>
      <c r="D491" t="s">
        <v>69</v>
      </c>
      <c r="E491" t="str">
        <f>PROPER(TRIM(D491))</f>
        <v>Mary</v>
      </c>
      <c r="F491" t="s">
        <v>20</v>
      </c>
      <c r="G491">
        <v>8</v>
      </c>
      <c r="H491" t="str">
        <f>IF(AND(G491&gt;18, G491&lt;65), "Valid", "Invalid")</f>
        <v>Invalid</v>
      </c>
      <c r="I491" t="s">
        <v>86</v>
      </c>
      <c r="J491" t="str">
        <f>PROPER(TRIM(I491))</f>
        <v>Kano</v>
      </c>
      <c r="K491" t="s">
        <v>22</v>
      </c>
      <c r="L491" t="str">
        <f>PROPER(TRIM(K491))</f>
        <v>Fashion</v>
      </c>
      <c r="M491" t="s">
        <v>23</v>
      </c>
      <c r="N491" t="str">
        <f>PROPER(TRIM(M491))</f>
        <v>Shirt</v>
      </c>
      <c r="O491">
        <v>208.08</v>
      </c>
      <c r="P491">
        <v>-2</v>
      </c>
      <c r="Q491">
        <f>IF(P491&lt;1, 1, P491)</f>
        <v>1</v>
      </c>
      <c r="R491">
        <v>15</v>
      </c>
      <c r="S491" t="str">
        <f>IF(OR(R491&lt;0,R491&gt;100),"invalid","Valid")</f>
        <v>Valid</v>
      </c>
      <c r="T491" t="s">
        <v>59</v>
      </c>
      <c r="U491" t="str">
        <f>PROPER(TRIM(T491))</f>
        <v>Mobile Money</v>
      </c>
      <c r="V491" t="s">
        <v>41</v>
      </c>
      <c r="W491" t="str">
        <f t="shared" si="14"/>
        <v>Chi</v>
      </c>
      <c r="X491" t="s">
        <v>33</v>
      </c>
      <c r="Y491">
        <v>5</v>
      </c>
      <c r="Z491" t="str">
        <f>IF(D491="", "Missing", "ok")</f>
        <v>ok</v>
      </c>
      <c r="AA491">
        <f t="shared" si="15"/>
        <v>176.86799999999999</v>
      </c>
    </row>
    <row r="492" spans="1:27" x14ac:dyDescent="0.25">
      <c r="A492" t="s">
        <v>1379</v>
      </c>
      <c r="B492" s="1" t="s">
        <v>1380</v>
      </c>
      <c r="C492" t="s">
        <v>1381</v>
      </c>
      <c r="D492" t="s">
        <v>37</v>
      </c>
      <c r="E492" t="str">
        <f>PROPER(TRIM(D492))</f>
        <v>Aisha</v>
      </c>
      <c r="F492" t="s">
        <v>46</v>
      </c>
      <c r="G492">
        <v>130</v>
      </c>
      <c r="H492" t="str">
        <f>IF(AND(G492&gt;18, G492&lt;65), "Valid", "Invalid")</f>
        <v>Invalid</v>
      </c>
      <c r="I492" t="s">
        <v>30</v>
      </c>
      <c r="J492" t="str">
        <f>PROPER(TRIM(I492))</f>
        <v>Lagos</v>
      </c>
      <c r="K492" t="s">
        <v>48</v>
      </c>
      <c r="L492" t="str">
        <f>PROPER(TRIM(K492))</f>
        <v>Groceries</v>
      </c>
      <c r="M492" t="s">
        <v>49</v>
      </c>
      <c r="N492" t="str">
        <f>PROPER(TRIM(M492))</f>
        <v>Rice</v>
      </c>
      <c r="O492">
        <v>291.11</v>
      </c>
      <c r="P492">
        <v>6</v>
      </c>
      <c r="Q492">
        <f>IF(P492&lt;1, 1, P492)</f>
        <v>6</v>
      </c>
      <c r="R492">
        <v>5</v>
      </c>
      <c r="S492" t="str">
        <f>IF(OR(R492&lt;0,R492&gt;100),"invalid","Valid")</f>
        <v>Valid</v>
      </c>
      <c r="T492" t="s">
        <v>64</v>
      </c>
      <c r="U492" t="str">
        <f>PROPER(TRIM(T492))</f>
        <v>Transfer</v>
      </c>
      <c r="V492" t="s">
        <v>25</v>
      </c>
      <c r="W492" t="str">
        <f t="shared" si="14"/>
        <v>Dan</v>
      </c>
      <c r="X492" t="s">
        <v>26</v>
      </c>
      <c r="Y492">
        <v>3</v>
      </c>
      <c r="Z492" t="str">
        <f>IF(D492="", "Missing", "ok")</f>
        <v>ok</v>
      </c>
      <c r="AA492">
        <f t="shared" si="15"/>
        <v>1659.327</v>
      </c>
    </row>
    <row r="493" spans="1:27" x14ac:dyDescent="0.25">
      <c r="A493" t="s">
        <v>1382</v>
      </c>
      <c r="B493" s="1" t="s">
        <v>1135</v>
      </c>
      <c r="C493" t="s">
        <v>1383</v>
      </c>
      <c r="D493" t="s">
        <v>63</v>
      </c>
      <c r="E493" t="str">
        <f>PROPER(TRIM(D493))</f>
        <v>John</v>
      </c>
      <c r="F493" t="s">
        <v>20</v>
      </c>
      <c r="G493">
        <v>53</v>
      </c>
      <c r="H493" t="str">
        <f>IF(AND(G493&gt;18, G493&lt;65), "Valid", "Invalid")</f>
        <v>Valid</v>
      </c>
      <c r="I493" t="s">
        <v>38</v>
      </c>
      <c r="J493" t="str">
        <f>PROPER(TRIM(I493))</f>
        <v>Ph</v>
      </c>
      <c r="K493" t="s">
        <v>54</v>
      </c>
      <c r="L493" t="str">
        <f>PROPER(TRIM(K493))</f>
        <v>Home</v>
      </c>
      <c r="M493" t="s">
        <v>55</v>
      </c>
      <c r="N493" t="str">
        <f>PROPER(TRIM(M493))</f>
        <v>Chair</v>
      </c>
      <c r="O493">
        <v>187.63</v>
      </c>
      <c r="P493">
        <v>3</v>
      </c>
      <c r="Q493">
        <f>IF(P493&lt;1, 1, P493)</f>
        <v>3</v>
      </c>
      <c r="R493">
        <v>10</v>
      </c>
      <c r="S493" t="str">
        <f>IF(OR(R493&lt;0,R493&gt;100),"invalid","Valid")</f>
        <v>Valid</v>
      </c>
      <c r="T493" t="s">
        <v>64</v>
      </c>
      <c r="U493" t="str">
        <f>PROPER(TRIM(T493))</f>
        <v>Transfer</v>
      </c>
      <c r="V493" t="s">
        <v>81</v>
      </c>
      <c r="W493" t="str">
        <f t="shared" si="14"/>
        <v>Ada</v>
      </c>
      <c r="X493" t="s">
        <v>33</v>
      </c>
      <c r="Y493">
        <v>2</v>
      </c>
      <c r="Z493" t="str">
        <f>IF(D493="", "Missing", "ok")</f>
        <v>ok</v>
      </c>
      <c r="AA493">
        <f t="shared" si="15"/>
        <v>506.601</v>
      </c>
    </row>
    <row r="494" spans="1:27" x14ac:dyDescent="0.25">
      <c r="A494" t="s">
        <v>1384</v>
      </c>
      <c r="B494" s="1" t="s">
        <v>455</v>
      </c>
      <c r="C494" t="s">
        <v>1385</v>
      </c>
      <c r="D494" t="s">
        <v>117</v>
      </c>
      <c r="E494" t="str">
        <f>PROPER(TRIM(D494))</f>
        <v>David</v>
      </c>
      <c r="F494" t="s">
        <v>20</v>
      </c>
      <c r="G494">
        <v>130</v>
      </c>
      <c r="H494" t="str">
        <f>IF(AND(G494&gt;18, G494&lt;65), "Valid", "Invalid")</f>
        <v>Invalid</v>
      </c>
      <c r="I494" t="s">
        <v>86</v>
      </c>
      <c r="J494" t="str">
        <f>PROPER(TRIM(I494))</f>
        <v>Kano</v>
      </c>
      <c r="K494" t="s">
        <v>121</v>
      </c>
      <c r="L494" t="str">
        <f>PROPER(TRIM(K494))</f>
        <v>Beauty</v>
      </c>
      <c r="M494" t="s">
        <v>122</v>
      </c>
      <c r="N494" t="str">
        <f>PROPER(TRIM(M494))</f>
        <v>Cream</v>
      </c>
      <c r="O494">
        <v>249.72</v>
      </c>
      <c r="P494">
        <v>3</v>
      </c>
      <c r="Q494">
        <f>IF(P494&lt;1, 1, P494)</f>
        <v>3</v>
      </c>
      <c r="R494">
        <v>-10</v>
      </c>
      <c r="S494" t="str">
        <f>IF(OR(R494&lt;0,R494&gt;100),"invalid","Valid")</f>
        <v>invalid</v>
      </c>
      <c r="U494" t="str">
        <f>PROPER(TRIM(T494))</f>
        <v/>
      </c>
      <c r="V494" t="s">
        <v>25</v>
      </c>
      <c r="W494" t="str">
        <f t="shared" si="14"/>
        <v>Dan</v>
      </c>
      <c r="X494" t="s">
        <v>26</v>
      </c>
      <c r="Y494">
        <v>2</v>
      </c>
      <c r="Z494" t="str">
        <f>IF(D494="", "Missing", "ok")</f>
        <v>ok</v>
      </c>
      <c r="AA494">
        <f t="shared" si="15"/>
        <v>824.07600000000002</v>
      </c>
    </row>
    <row r="495" spans="1:27" x14ac:dyDescent="0.25">
      <c r="A495" t="s">
        <v>1386</v>
      </c>
      <c r="B495" s="1" t="s">
        <v>548</v>
      </c>
      <c r="C495" t="s">
        <v>1387</v>
      </c>
      <c r="D495" t="s">
        <v>101</v>
      </c>
      <c r="E495" t="str">
        <f>PROPER(TRIM(D495))</f>
        <v>Grace</v>
      </c>
      <c r="F495" t="s">
        <v>20</v>
      </c>
      <c r="G495">
        <v>130</v>
      </c>
      <c r="H495" t="str">
        <f>IF(AND(G495&gt;18, G495&lt;65), "Valid", "Invalid")</f>
        <v>Invalid</v>
      </c>
      <c r="I495" t="s">
        <v>47</v>
      </c>
      <c r="J495" t="str">
        <f>PROPER(TRIM(I495))</f>
        <v>Enugu</v>
      </c>
      <c r="K495" t="s">
        <v>54</v>
      </c>
      <c r="L495" t="str">
        <f>PROPER(TRIM(K495))</f>
        <v>Home</v>
      </c>
      <c r="M495" t="s">
        <v>55</v>
      </c>
      <c r="N495" t="str">
        <f>PROPER(TRIM(M495))</f>
        <v>Chair</v>
      </c>
      <c r="O495">
        <v>318.35000000000002</v>
      </c>
      <c r="P495">
        <v>-2</v>
      </c>
      <c r="Q495">
        <f>IF(P495&lt;1, 1, P495)</f>
        <v>1</v>
      </c>
      <c r="R495">
        <v>5</v>
      </c>
      <c r="S495" t="str">
        <f>IF(OR(R495&lt;0,R495&gt;100),"invalid","Valid")</f>
        <v>Valid</v>
      </c>
      <c r="U495" t="str">
        <f>PROPER(TRIM(T495))</f>
        <v/>
      </c>
      <c r="V495" t="s">
        <v>25</v>
      </c>
      <c r="W495" t="str">
        <f t="shared" si="14"/>
        <v>Dan</v>
      </c>
      <c r="X495" t="s">
        <v>33</v>
      </c>
      <c r="Y495">
        <v>3</v>
      </c>
      <c r="Z495" t="str">
        <f>IF(D495="", "Missing", "ok")</f>
        <v>ok</v>
      </c>
      <c r="AA495">
        <f t="shared" si="15"/>
        <v>302.4325</v>
      </c>
    </row>
    <row r="496" spans="1:27" x14ac:dyDescent="0.25">
      <c r="A496" t="s">
        <v>1388</v>
      </c>
      <c r="B496" s="1" t="s">
        <v>1389</v>
      </c>
      <c r="C496" t="s">
        <v>1390</v>
      </c>
      <c r="D496" t="s">
        <v>117</v>
      </c>
      <c r="E496" t="str">
        <f>PROPER(TRIM(D496))</f>
        <v>David</v>
      </c>
      <c r="F496" t="s">
        <v>46</v>
      </c>
      <c r="G496">
        <v>130</v>
      </c>
      <c r="H496" t="str">
        <f>IF(AND(G496&gt;18, G496&lt;65), "Valid", "Invalid")</f>
        <v>Invalid</v>
      </c>
      <c r="I496" t="s">
        <v>30</v>
      </c>
      <c r="J496" t="str">
        <f>PROPER(TRIM(I496))</f>
        <v>Lagos</v>
      </c>
      <c r="K496" t="s">
        <v>87</v>
      </c>
      <c r="L496" t="str">
        <f>PROPER(TRIM(K496))</f>
        <v>Groceris</v>
      </c>
      <c r="M496" t="s">
        <v>49</v>
      </c>
      <c r="N496" t="str">
        <f>PROPER(TRIM(M496))</f>
        <v>Rice</v>
      </c>
      <c r="O496">
        <v>404.64</v>
      </c>
      <c r="P496">
        <v>9</v>
      </c>
      <c r="Q496">
        <f>IF(P496&lt;1, 1, P496)</f>
        <v>9</v>
      </c>
      <c r="R496">
        <v>120</v>
      </c>
      <c r="S496" t="str">
        <f>IF(OR(R496&lt;0,R496&gt;100),"invalid","Valid")</f>
        <v>invalid</v>
      </c>
      <c r="T496" t="s">
        <v>59</v>
      </c>
      <c r="U496" t="str">
        <f>PROPER(TRIM(T496))</f>
        <v>Mobile Money</v>
      </c>
      <c r="V496" t="s">
        <v>81</v>
      </c>
      <c r="W496" t="str">
        <f t="shared" si="14"/>
        <v>Ada</v>
      </c>
      <c r="X496" t="s">
        <v>82</v>
      </c>
      <c r="Y496">
        <v>4</v>
      </c>
      <c r="Z496" t="str">
        <f>IF(D496="", "Missing", "ok")</f>
        <v>ok</v>
      </c>
      <c r="AA496">
        <f t="shared" si="15"/>
        <v>-728.35199999999975</v>
      </c>
    </row>
    <row r="497" spans="1:27" x14ac:dyDescent="0.25">
      <c r="A497" t="s">
        <v>1391</v>
      </c>
      <c r="B497" s="1" t="s">
        <v>476</v>
      </c>
      <c r="C497" t="s">
        <v>1392</v>
      </c>
      <c r="D497" t="s">
        <v>19</v>
      </c>
      <c r="E497" t="str">
        <f>PROPER(TRIM(D497))</f>
        <v>Peter</v>
      </c>
      <c r="F497" t="s">
        <v>20</v>
      </c>
      <c r="G497">
        <v>130</v>
      </c>
      <c r="H497" t="str">
        <f>IF(AND(G497&gt;18, G497&lt;65), "Valid", "Invalid")</f>
        <v>Invalid</v>
      </c>
      <c r="I497" t="s">
        <v>21</v>
      </c>
      <c r="J497" t="str">
        <f>PROPER(TRIM(I497))</f>
        <v>Lagos</v>
      </c>
      <c r="K497" t="s">
        <v>22</v>
      </c>
      <c r="L497" t="str">
        <f>PROPER(TRIM(K497))</f>
        <v>Fashion</v>
      </c>
      <c r="M497" t="s">
        <v>23</v>
      </c>
      <c r="N497" t="str">
        <f>PROPER(TRIM(M497))</f>
        <v>Shirt</v>
      </c>
      <c r="O497">
        <v>302.69</v>
      </c>
      <c r="P497">
        <v>2</v>
      </c>
      <c r="Q497">
        <f>IF(P497&lt;1, 1, P497)</f>
        <v>2</v>
      </c>
      <c r="R497">
        <v>5</v>
      </c>
      <c r="S497" t="str">
        <f>IF(OR(R497&lt;0,R497&gt;100),"invalid","Valid")</f>
        <v>Valid</v>
      </c>
      <c r="T497" t="s">
        <v>77</v>
      </c>
      <c r="U497" t="str">
        <f>PROPER(TRIM(T497))</f>
        <v>Cash</v>
      </c>
      <c r="V497" t="s">
        <v>25</v>
      </c>
      <c r="W497" t="str">
        <f t="shared" si="14"/>
        <v>Dan</v>
      </c>
      <c r="X497" t="s">
        <v>65</v>
      </c>
      <c r="Y497">
        <v>5</v>
      </c>
      <c r="Z497" t="str">
        <f>IF(D497="", "Missing", "ok")</f>
        <v>ok</v>
      </c>
      <c r="AA497">
        <f t="shared" si="15"/>
        <v>575.11099999999999</v>
      </c>
    </row>
    <row r="498" spans="1:27" x14ac:dyDescent="0.25">
      <c r="A498" t="s">
        <v>1393</v>
      </c>
      <c r="B498" s="1" t="s">
        <v>1324</v>
      </c>
      <c r="C498" t="s">
        <v>1394</v>
      </c>
      <c r="D498" t="s">
        <v>37</v>
      </c>
      <c r="E498" t="str">
        <f>PROPER(TRIM(D498))</f>
        <v>Aisha</v>
      </c>
      <c r="F498" t="s">
        <v>20</v>
      </c>
      <c r="G498">
        <v>130</v>
      </c>
      <c r="H498" t="str">
        <f>IF(AND(G498&gt;18, G498&lt;65), "Valid", "Invalid")</f>
        <v>Invalid</v>
      </c>
      <c r="I498" t="s">
        <v>38</v>
      </c>
      <c r="J498" t="str">
        <f>PROPER(TRIM(I498))</f>
        <v>Ph</v>
      </c>
      <c r="K498" t="s">
        <v>22</v>
      </c>
      <c r="L498" t="str">
        <f>PROPER(TRIM(K498))</f>
        <v>Fashion</v>
      </c>
      <c r="M498" t="s">
        <v>23</v>
      </c>
      <c r="N498" t="str">
        <f>PROPER(TRIM(M498))</f>
        <v>Shirt</v>
      </c>
      <c r="O498">
        <v>403.91</v>
      </c>
      <c r="P498">
        <v>-2</v>
      </c>
      <c r="Q498">
        <f>IF(P498&lt;1, 1, P498)</f>
        <v>1</v>
      </c>
      <c r="R498">
        <v>10</v>
      </c>
      <c r="S498" t="str">
        <f>IF(OR(R498&lt;0,R498&gt;100),"invalid","Valid")</f>
        <v>Valid</v>
      </c>
      <c r="T498" t="s">
        <v>59</v>
      </c>
      <c r="U498" t="str">
        <f>PROPER(TRIM(T498))</f>
        <v>Mobile Money</v>
      </c>
      <c r="V498" t="s">
        <v>91</v>
      </c>
      <c r="W498" t="str">
        <f t="shared" si="14"/>
        <v>Ben</v>
      </c>
      <c r="X498" t="s">
        <v>65</v>
      </c>
      <c r="Y498">
        <v>4</v>
      </c>
      <c r="Z498" t="str">
        <f>IF(D498="", "Missing", "ok")</f>
        <v>ok</v>
      </c>
      <c r="AA498">
        <f t="shared" si="15"/>
        <v>363.51900000000001</v>
      </c>
    </row>
    <row r="499" spans="1:27" x14ac:dyDescent="0.25">
      <c r="A499" t="s">
        <v>1397</v>
      </c>
      <c r="B499" s="1" t="s">
        <v>1398</v>
      </c>
      <c r="C499" t="s">
        <v>1399</v>
      </c>
      <c r="D499" t="s">
        <v>19</v>
      </c>
      <c r="E499" t="str">
        <f>PROPER(TRIM(D499))</f>
        <v>Peter</v>
      </c>
      <c r="F499" t="s">
        <v>46</v>
      </c>
      <c r="G499">
        <v>29</v>
      </c>
      <c r="H499" t="str">
        <f>IF(AND(G499&gt;18, G499&lt;65), "Valid", "Invalid")</f>
        <v>Valid</v>
      </c>
      <c r="I499" t="s">
        <v>86</v>
      </c>
      <c r="J499" t="str">
        <f>PROPER(TRIM(I499))</f>
        <v>Kano</v>
      </c>
      <c r="K499" t="s">
        <v>121</v>
      </c>
      <c r="L499" t="str">
        <f>PROPER(TRIM(K499))</f>
        <v>Beauty</v>
      </c>
      <c r="M499" t="s">
        <v>122</v>
      </c>
      <c r="N499" t="str">
        <f>PROPER(TRIM(M499))</f>
        <v>Cream</v>
      </c>
      <c r="O499">
        <v>389.77</v>
      </c>
      <c r="P499">
        <v>-2</v>
      </c>
      <c r="Q499">
        <f>IF(P499&lt;1, 1, P499)</f>
        <v>1</v>
      </c>
      <c r="R499">
        <v>120</v>
      </c>
      <c r="S499" t="str">
        <f>IF(OR(R499&lt;0,R499&gt;100),"invalid","Valid")</f>
        <v>invalid</v>
      </c>
      <c r="T499" t="s">
        <v>59</v>
      </c>
      <c r="U499" t="str">
        <f>PROPER(TRIM(T499))</f>
        <v>Mobile Money</v>
      </c>
      <c r="V499" t="s">
        <v>41</v>
      </c>
      <c r="W499" t="str">
        <f t="shared" si="14"/>
        <v>Chi</v>
      </c>
      <c r="X499" t="s">
        <v>82</v>
      </c>
      <c r="Y499">
        <v>3</v>
      </c>
      <c r="Z499" t="str">
        <f>IF(D499="", "Missing", "ok")</f>
        <v>ok</v>
      </c>
      <c r="AA499">
        <f t="shared" si="15"/>
        <v>-77.953999999999979</v>
      </c>
    </row>
    <row r="500" spans="1:27" x14ac:dyDescent="0.25">
      <c r="A500" t="s">
        <v>1400</v>
      </c>
      <c r="B500" s="1" t="s">
        <v>99</v>
      </c>
      <c r="C500" t="s">
        <v>1401</v>
      </c>
      <c r="D500" t="s">
        <v>63</v>
      </c>
      <c r="E500" t="str">
        <f>PROPER(TRIM(D500))</f>
        <v>John</v>
      </c>
      <c r="F500" t="s">
        <v>46</v>
      </c>
      <c r="G500">
        <v>8</v>
      </c>
      <c r="H500" t="str">
        <f>IF(AND(G500&gt;18, G500&lt;65), "Valid", "Invalid")</f>
        <v>Invalid</v>
      </c>
      <c r="I500" t="s">
        <v>30</v>
      </c>
      <c r="J500" t="str">
        <f>PROPER(TRIM(I500))</f>
        <v>Lagos</v>
      </c>
      <c r="K500" t="s">
        <v>54</v>
      </c>
      <c r="L500" t="str">
        <f>PROPER(TRIM(K500))</f>
        <v>Home</v>
      </c>
      <c r="M500" t="s">
        <v>55</v>
      </c>
      <c r="N500" t="str">
        <f>PROPER(TRIM(M500))</f>
        <v>Chair</v>
      </c>
      <c r="O500">
        <v>265.94</v>
      </c>
      <c r="P500">
        <v>-2</v>
      </c>
      <c r="Q500">
        <f>IF(P500&lt;1, 1, P500)</f>
        <v>1</v>
      </c>
      <c r="R500">
        <v>5</v>
      </c>
      <c r="S500" t="str">
        <f>IF(OR(R500&lt;0,R500&gt;100),"invalid","Valid")</f>
        <v>Valid</v>
      </c>
      <c r="T500" t="s">
        <v>59</v>
      </c>
      <c r="U500" t="str">
        <f>PROPER(TRIM(T500))</f>
        <v>Mobile Money</v>
      </c>
      <c r="V500" t="s">
        <v>91</v>
      </c>
      <c r="W500" t="str">
        <f t="shared" si="14"/>
        <v>Ben</v>
      </c>
      <c r="X500" t="s">
        <v>33</v>
      </c>
      <c r="Y500">
        <v>5</v>
      </c>
      <c r="Z500" t="str">
        <f>IF(D500="", "Missing", "ok")</f>
        <v>ok</v>
      </c>
      <c r="AA500">
        <f t="shared" si="15"/>
        <v>252.64299999999997</v>
      </c>
    </row>
    <row r="501" spans="1:27" x14ac:dyDescent="0.25">
      <c r="A501" t="s">
        <v>1402</v>
      </c>
      <c r="B501" s="1" t="s">
        <v>929</v>
      </c>
      <c r="C501" t="s">
        <v>1403</v>
      </c>
      <c r="D501" t="s">
        <v>63</v>
      </c>
      <c r="E501" t="str">
        <f>PROPER(TRIM(D501))</f>
        <v>John</v>
      </c>
      <c r="F501" t="s">
        <v>20</v>
      </c>
      <c r="G501">
        <v>30</v>
      </c>
      <c r="H501" t="str">
        <f>IF(AND(G501&gt;18, G501&lt;65), "Valid", "Invalid")</f>
        <v>Valid</v>
      </c>
      <c r="I501" t="s">
        <v>30</v>
      </c>
      <c r="J501" t="str">
        <f>PROPER(TRIM(I501))</f>
        <v>Lagos</v>
      </c>
      <c r="K501" t="s">
        <v>22</v>
      </c>
      <c r="L501" t="str">
        <f>PROPER(TRIM(K501))</f>
        <v>Fashion</v>
      </c>
      <c r="M501" t="s">
        <v>23</v>
      </c>
      <c r="N501" t="str">
        <f>PROPER(TRIM(M501))</f>
        <v>Shirt</v>
      </c>
      <c r="O501">
        <v>195.95</v>
      </c>
      <c r="P501">
        <v>-2</v>
      </c>
      <c r="Q501">
        <f>IF(P501&lt;1, 1, P501)</f>
        <v>1</v>
      </c>
      <c r="R501">
        <v>-10</v>
      </c>
      <c r="S501" t="str">
        <f>IF(OR(R501&lt;0,R501&gt;100),"invalid","Valid")</f>
        <v>invalid</v>
      </c>
      <c r="U501" t="str">
        <f>PROPER(TRIM(T501))</f>
        <v/>
      </c>
      <c r="V501" t="s">
        <v>91</v>
      </c>
      <c r="W501" t="str">
        <f t="shared" si="14"/>
        <v>Ben</v>
      </c>
      <c r="X501" t="s">
        <v>82</v>
      </c>
      <c r="Y501">
        <v>4</v>
      </c>
      <c r="Z501" t="str">
        <f>IF(D501="", "Missing", "ok")</f>
        <v>ok</v>
      </c>
      <c r="AA501">
        <f t="shared" si="15"/>
        <v>215.54500000000002</v>
      </c>
    </row>
    <row r="502" spans="1:27" x14ac:dyDescent="0.25">
      <c r="A502" t="s">
        <v>1404</v>
      </c>
      <c r="B502" s="1" t="s">
        <v>1405</v>
      </c>
      <c r="C502" t="s">
        <v>1406</v>
      </c>
      <c r="E502" t="str">
        <f>PROPER(TRIM(D502))</f>
        <v/>
      </c>
      <c r="F502" t="s">
        <v>20</v>
      </c>
      <c r="G502">
        <v>54</v>
      </c>
      <c r="H502" t="str">
        <f>IF(AND(G502&gt;18, G502&lt;65), "Valid", "Invalid")</f>
        <v>Valid</v>
      </c>
      <c r="I502" t="s">
        <v>86</v>
      </c>
      <c r="J502" t="str">
        <f>PROPER(TRIM(I502))</f>
        <v>Kano</v>
      </c>
      <c r="K502" t="s">
        <v>121</v>
      </c>
      <c r="L502" t="str">
        <f>PROPER(TRIM(K502))</f>
        <v>Beauty</v>
      </c>
      <c r="M502" t="s">
        <v>122</v>
      </c>
      <c r="N502" t="str">
        <f>PROPER(TRIM(M502))</f>
        <v>Cream</v>
      </c>
      <c r="O502">
        <v>282.18</v>
      </c>
      <c r="P502">
        <v>1</v>
      </c>
      <c r="Q502">
        <f>IF(P502&lt;1, 1, P502)</f>
        <v>1</v>
      </c>
      <c r="R502">
        <v>5</v>
      </c>
      <c r="S502" t="str">
        <f>IF(OR(R502&lt;0,R502&gt;100),"invalid","Valid")</f>
        <v>Valid</v>
      </c>
      <c r="T502" t="s">
        <v>59</v>
      </c>
      <c r="U502" t="str">
        <f>PROPER(TRIM(T502))</f>
        <v>Mobile Money</v>
      </c>
      <c r="V502" t="s">
        <v>41</v>
      </c>
      <c r="W502" t="str">
        <f t="shared" si="14"/>
        <v>Chi</v>
      </c>
      <c r="X502" t="s">
        <v>26</v>
      </c>
      <c r="Y502">
        <v>5</v>
      </c>
      <c r="Z502" t="str">
        <f>IF(D502="", "Missing", "ok")</f>
        <v>Missing</v>
      </c>
      <c r="AA502">
        <f t="shared" si="15"/>
        <v>268.07099999999997</v>
      </c>
    </row>
    <row r="503" spans="1:27" x14ac:dyDescent="0.25">
      <c r="A503" t="s">
        <v>1407</v>
      </c>
      <c r="B503" s="1" t="s">
        <v>75</v>
      </c>
      <c r="C503" t="s">
        <v>1408</v>
      </c>
      <c r="D503" t="s">
        <v>37</v>
      </c>
      <c r="E503" t="str">
        <f>PROPER(TRIM(D503))</f>
        <v>Aisha</v>
      </c>
      <c r="F503" t="s">
        <v>20</v>
      </c>
      <c r="G503">
        <v>130</v>
      </c>
      <c r="H503" t="str">
        <f>IF(AND(G503&gt;18, G503&lt;65), "Valid", "Invalid")</f>
        <v>Invalid</v>
      </c>
      <c r="I503" t="s">
        <v>30</v>
      </c>
      <c r="J503" t="str">
        <f>PROPER(TRIM(I503))</f>
        <v>Lagos</v>
      </c>
      <c r="K503" t="s">
        <v>22</v>
      </c>
      <c r="L503" t="str">
        <f>PROPER(TRIM(K503))</f>
        <v>Fashion</v>
      </c>
      <c r="M503" t="s">
        <v>23</v>
      </c>
      <c r="N503" t="str">
        <f>PROPER(TRIM(M503))</f>
        <v>Shirt</v>
      </c>
      <c r="O503">
        <v>42.96</v>
      </c>
      <c r="P503">
        <v>6</v>
      </c>
      <c r="Q503">
        <f>IF(P503&lt;1, 1, P503)</f>
        <v>6</v>
      </c>
      <c r="R503">
        <v>-10</v>
      </c>
      <c r="S503" t="str">
        <f>IF(OR(R503&lt;0,R503&gt;100),"invalid","Valid")</f>
        <v>invalid</v>
      </c>
      <c r="T503" t="s">
        <v>77</v>
      </c>
      <c r="U503" t="str">
        <f>PROPER(TRIM(T503))</f>
        <v>Cash</v>
      </c>
      <c r="V503" t="s">
        <v>25</v>
      </c>
      <c r="W503" t="str">
        <f t="shared" si="14"/>
        <v>Dan</v>
      </c>
      <c r="X503" t="s">
        <v>82</v>
      </c>
      <c r="Y503">
        <v>1</v>
      </c>
      <c r="Z503" t="str">
        <f>IF(D503="", "Missing", "ok")</f>
        <v>ok</v>
      </c>
      <c r="AA503">
        <f t="shared" si="15"/>
        <v>283.536</v>
      </c>
    </row>
    <row r="504" spans="1:27" x14ac:dyDescent="0.25">
      <c r="A504" t="s">
        <v>1409</v>
      </c>
      <c r="B504" s="1" t="s">
        <v>141</v>
      </c>
      <c r="C504" t="s">
        <v>1410</v>
      </c>
      <c r="D504" t="s">
        <v>37</v>
      </c>
      <c r="E504" t="str">
        <f>PROPER(TRIM(D504))</f>
        <v>Aisha</v>
      </c>
      <c r="F504" t="s">
        <v>20</v>
      </c>
      <c r="G504">
        <v>39</v>
      </c>
      <c r="H504" t="str">
        <f>IF(AND(G504&gt;18, G504&lt;65), "Valid", "Invalid")</f>
        <v>Valid</v>
      </c>
      <c r="I504" t="s">
        <v>86</v>
      </c>
      <c r="J504" t="str">
        <f>PROPER(TRIM(I504))</f>
        <v>Kano</v>
      </c>
      <c r="K504" t="s">
        <v>54</v>
      </c>
      <c r="L504" t="str">
        <f>PROPER(TRIM(K504))</f>
        <v>Home</v>
      </c>
      <c r="M504" t="s">
        <v>55</v>
      </c>
      <c r="N504" t="str">
        <f>PROPER(TRIM(M504))</f>
        <v>Chair</v>
      </c>
      <c r="O504">
        <v>264.02</v>
      </c>
      <c r="P504">
        <v>-2</v>
      </c>
      <c r="Q504">
        <f>IF(P504&lt;1, 1, P504)</f>
        <v>1</v>
      </c>
      <c r="R504">
        <v>15</v>
      </c>
      <c r="S504" t="str">
        <f>IF(OR(R504&lt;0,R504&gt;100),"invalid","Valid")</f>
        <v>Valid</v>
      </c>
      <c r="U504" t="str">
        <f>PROPER(TRIM(T504))</f>
        <v/>
      </c>
      <c r="V504" t="s">
        <v>25</v>
      </c>
      <c r="W504" t="str">
        <f t="shared" si="14"/>
        <v>Dan</v>
      </c>
      <c r="X504" t="s">
        <v>33</v>
      </c>
      <c r="Y504">
        <v>2</v>
      </c>
      <c r="Z504" t="str">
        <f>IF(D504="", "Missing", "ok")</f>
        <v>ok</v>
      </c>
      <c r="AA504">
        <f t="shared" si="15"/>
        <v>224.41699999999997</v>
      </c>
    </row>
    <row r="505" spans="1:27" x14ac:dyDescent="0.25">
      <c r="A505" t="s">
        <v>1411</v>
      </c>
      <c r="B505" s="1" t="s">
        <v>1412</v>
      </c>
      <c r="C505" t="s">
        <v>1413</v>
      </c>
      <c r="D505" t="s">
        <v>45</v>
      </c>
      <c r="E505" t="str">
        <f>PROPER(TRIM(D505))</f>
        <v>James</v>
      </c>
      <c r="F505" t="s">
        <v>20</v>
      </c>
      <c r="G505">
        <v>130</v>
      </c>
      <c r="H505" t="str">
        <f>IF(AND(G505&gt;18, G505&lt;65), "Valid", "Invalid")</f>
        <v>Invalid</v>
      </c>
      <c r="I505" t="s">
        <v>53</v>
      </c>
      <c r="J505" t="str">
        <f>PROPER(TRIM(I505))</f>
        <v>Lagos</v>
      </c>
      <c r="K505" t="s">
        <v>54</v>
      </c>
      <c r="L505" t="str">
        <f>PROPER(TRIM(K505))</f>
        <v>Home</v>
      </c>
      <c r="M505" t="s">
        <v>55</v>
      </c>
      <c r="N505" t="str">
        <f>PROPER(TRIM(M505))</f>
        <v>Chair</v>
      </c>
      <c r="O505">
        <v>168.39</v>
      </c>
      <c r="P505">
        <v>-2</v>
      </c>
      <c r="Q505">
        <f>IF(P505&lt;1, 1, P505)</f>
        <v>1</v>
      </c>
      <c r="R505">
        <v>-10</v>
      </c>
      <c r="S505" t="str">
        <f>IF(OR(R505&lt;0,R505&gt;100),"invalid","Valid")</f>
        <v>invalid</v>
      </c>
      <c r="T505" t="s">
        <v>64</v>
      </c>
      <c r="U505" t="str">
        <f>PROPER(TRIM(T505))</f>
        <v>Transfer</v>
      </c>
      <c r="V505" t="s">
        <v>81</v>
      </c>
      <c r="W505" t="str">
        <f t="shared" si="14"/>
        <v>Ada</v>
      </c>
      <c r="X505" t="s">
        <v>65</v>
      </c>
      <c r="Y505">
        <v>5</v>
      </c>
      <c r="Z505" t="str">
        <f>IF(D505="", "Missing", "ok")</f>
        <v>ok</v>
      </c>
      <c r="AA505">
        <f t="shared" si="15"/>
        <v>185.22900000000001</v>
      </c>
    </row>
    <row r="506" spans="1:27" x14ac:dyDescent="0.25">
      <c r="A506" t="s">
        <v>1414</v>
      </c>
      <c r="B506" s="1" t="s">
        <v>587</v>
      </c>
      <c r="C506" t="s">
        <v>1415</v>
      </c>
      <c r="D506" t="s">
        <v>37</v>
      </c>
      <c r="E506" t="str">
        <f>PROPER(TRIM(D506))</f>
        <v>Aisha</v>
      </c>
      <c r="F506" t="s">
        <v>20</v>
      </c>
      <c r="G506">
        <v>130</v>
      </c>
      <c r="H506" t="str">
        <f>IF(AND(G506&gt;18, G506&lt;65), "Valid", "Invalid")</f>
        <v>Invalid</v>
      </c>
      <c r="I506" t="s">
        <v>53</v>
      </c>
      <c r="J506" t="str">
        <f>PROPER(TRIM(I506))</f>
        <v>Lagos</v>
      </c>
      <c r="K506" t="s">
        <v>31</v>
      </c>
      <c r="L506" t="str">
        <f>PROPER(TRIM(K506))</f>
        <v>Sports</v>
      </c>
      <c r="M506" t="s">
        <v>32</v>
      </c>
      <c r="N506" t="str">
        <f>PROPER(TRIM(M506))</f>
        <v>Ball</v>
      </c>
      <c r="O506">
        <v>181.96</v>
      </c>
      <c r="P506">
        <v>-2</v>
      </c>
      <c r="Q506">
        <f>IF(P506&lt;1, 1, P506)</f>
        <v>1</v>
      </c>
      <c r="R506">
        <v>15</v>
      </c>
      <c r="S506" t="str">
        <f>IF(OR(R506&lt;0,R506&gt;100),"invalid","Valid")</f>
        <v>Valid</v>
      </c>
      <c r="T506" t="s">
        <v>24</v>
      </c>
      <c r="U506" t="str">
        <f>PROPER(TRIM(T506))</f>
        <v>Pos</v>
      </c>
      <c r="V506" t="s">
        <v>91</v>
      </c>
      <c r="W506" t="str">
        <f t="shared" si="14"/>
        <v>Ben</v>
      </c>
      <c r="X506" t="s">
        <v>26</v>
      </c>
      <c r="Y506">
        <v>3</v>
      </c>
      <c r="Z506" t="str">
        <f>IF(D506="", "Missing", "ok")</f>
        <v>ok</v>
      </c>
      <c r="AA506">
        <f t="shared" si="15"/>
        <v>154.666</v>
      </c>
    </row>
    <row r="507" spans="1:27" x14ac:dyDescent="0.25">
      <c r="A507" t="s">
        <v>1416</v>
      </c>
      <c r="B507" s="1" t="s">
        <v>1417</v>
      </c>
      <c r="C507" t="s">
        <v>1418</v>
      </c>
      <c r="D507" t="s">
        <v>37</v>
      </c>
      <c r="E507" t="str">
        <f>PROPER(TRIM(D507))</f>
        <v>Aisha</v>
      </c>
      <c r="F507" t="s">
        <v>20</v>
      </c>
      <c r="G507">
        <v>8</v>
      </c>
      <c r="H507" t="str">
        <f>IF(AND(G507&gt;18, G507&lt;65), "Valid", "Invalid")</f>
        <v>Invalid</v>
      </c>
      <c r="I507" t="s">
        <v>21</v>
      </c>
      <c r="J507" t="str">
        <f>PROPER(TRIM(I507))</f>
        <v>Lagos</v>
      </c>
      <c r="K507" t="s">
        <v>48</v>
      </c>
      <c r="L507" t="str">
        <f>PROPER(TRIM(K507))</f>
        <v>Groceries</v>
      </c>
      <c r="M507" t="s">
        <v>49</v>
      </c>
      <c r="N507" t="str">
        <f>PROPER(TRIM(M507))</f>
        <v>Rice</v>
      </c>
      <c r="O507">
        <v>356.65</v>
      </c>
      <c r="P507">
        <v>-2</v>
      </c>
      <c r="Q507">
        <f>IF(P507&lt;1, 1, P507)</f>
        <v>1</v>
      </c>
      <c r="R507">
        <v>-10</v>
      </c>
      <c r="S507" t="str">
        <f>IF(OR(R507&lt;0,R507&gt;100),"invalid","Valid")</f>
        <v>invalid</v>
      </c>
      <c r="U507" t="str">
        <f>PROPER(TRIM(T507))</f>
        <v/>
      </c>
      <c r="V507" t="s">
        <v>91</v>
      </c>
      <c r="W507" t="str">
        <f t="shared" si="14"/>
        <v>Ben</v>
      </c>
      <c r="X507" t="s">
        <v>33</v>
      </c>
      <c r="Y507">
        <v>4</v>
      </c>
      <c r="Z507" t="str">
        <f>IF(D507="", "Missing", "ok")</f>
        <v>ok</v>
      </c>
      <c r="AA507">
        <f t="shared" si="15"/>
        <v>392.315</v>
      </c>
    </row>
    <row r="508" spans="1:27" x14ac:dyDescent="0.25">
      <c r="A508" t="s">
        <v>1419</v>
      </c>
      <c r="B508" s="1" t="s">
        <v>306</v>
      </c>
      <c r="C508" t="s">
        <v>1420</v>
      </c>
      <c r="D508" t="s">
        <v>117</v>
      </c>
      <c r="E508" t="str">
        <f>PROPER(TRIM(D508))</f>
        <v>David</v>
      </c>
      <c r="F508" t="s">
        <v>46</v>
      </c>
      <c r="G508">
        <v>51</v>
      </c>
      <c r="H508" t="str">
        <f>IF(AND(G508&gt;18, G508&lt;65), "Valid", "Invalid")</f>
        <v>Valid</v>
      </c>
      <c r="I508" t="s">
        <v>53</v>
      </c>
      <c r="J508" t="str">
        <f>PROPER(TRIM(I508))</f>
        <v>Lagos</v>
      </c>
      <c r="K508" t="s">
        <v>39</v>
      </c>
      <c r="L508" t="str">
        <f>PROPER(TRIM(K508))</f>
        <v>Electronics</v>
      </c>
      <c r="M508" t="s">
        <v>40</v>
      </c>
      <c r="N508" t="str">
        <f>PROPER(TRIM(M508))</f>
        <v>Phone</v>
      </c>
      <c r="O508">
        <v>43.68</v>
      </c>
      <c r="P508">
        <v>5</v>
      </c>
      <c r="Q508">
        <f>IF(P508&lt;1, 1, P508)</f>
        <v>5</v>
      </c>
      <c r="R508">
        <v>-10</v>
      </c>
      <c r="S508" t="str">
        <f>IF(OR(R508&lt;0,R508&gt;100),"invalid","Valid")</f>
        <v>invalid</v>
      </c>
      <c r="T508" t="s">
        <v>64</v>
      </c>
      <c r="U508" t="str">
        <f>PROPER(TRIM(T508))</f>
        <v>Transfer</v>
      </c>
      <c r="V508" t="s">
        <v>81</v>
      </c>
      <c r="W508" t="str">
        <f t="shared" si="14"/>
        <v>Ada</v>
      </c>
      <c r="X508" t="s">
        <v>65</v>
      </c>
      <c r="Y508">
        <v>1</v>
      </c>
      <c r="Z508" t="str">
        <f>IF(D508="", "Missing", "ok")</f>
        <v>ok</v>
      </c>
      <c r="AA508">
        <f t="shared" si="15"/>
        <v>240.24000000000004</v>
      </c>
    </row>
    <row r="509" spans="1:27" x14ac:dyDescent="0.25">
      <c r="A509" t="s">
        <v>1421</v>
      </c>
      <c r="B509" s="1" t="s">
        <v>1422</v>
      </c>
      <c r="C509" t="s">
        <v>1423</v>
      </c>
      <c r="D509" t="s">
        <v>19</v>
      </c>
      <c r="E509" t="str">
        <f>PROPER(TRIM(D509))</f>
        <v>Peter</v>
      </c>
      <c r="F509" t="s">
        <v>20</v>
      </c>
      <c r="G509">
        <v>8</v>
      </c>
      <c r="H509" t="str">
        <f>IF(AND(G509&gt;18, G509&lt;65), "Valid", "Invalid")</f>
        <v>Invalid</v>
      </c>
      <c r="I509" t="s">
        <v>30</v>
      </c>
      <c r="J509" t="str">
        <f>PROPER(TRIM(I509))</f>
        <v>Lagos</v>
      </c>
      <c r="K509" t="s">
        <v>54</v>
      </c>
      <c r="L509" t="str">
        <f>PROPER(TRIM(K509))</f>
        <v>Home</v>
      </c>
      <c r="M509" t="s">
        <v>55</v>
      </c>
      <c r="N509" t="str">
        <f>PROPER(TRIM(M509))</f>
        <v>Chair</v>
      </c>
      <c r="O509">
        <v>181.63</v>
      </c>
      <c r="P509">
        <v>9</v>
      </c>
      <c r="Q509">
        <f>IF(P509&lt;1, 1, P509)</f>
        <v>9</v>
      </c>
      <c r="R509">
        <v>10</v>
      </c>
      <c r="S509" t="str">
        <f>IF(OR(R509&lt;0,R509&gt;100),"invalid","Valid")</f>
        <v>Valid</v>
      </c>
      <c r="U509" t="str">
        <f>PROPER(TRIM(T509))</f>
        <v/>
      </c>
      <c r="V509" t="s">
        <v>81</v>
      </c>
      <c r="W509" t="str">
        <f t="shared" si="14"/>
        <v>Ada</v>
      </c>
      <c r="X509" t="s">
        <v>65</v>
      </c>
      <c r="Z509" t="str">
        <f>IF(D509="", "Missing", "ok")</f>
        <v>ok</v>
      </c>
      <c r="AA509">
        <f t="shared" si="15"/>
        <v>1471.2030000000002</v>
      </c>
    </row>
    <row r="510" spans="1:27" x14ac:dyDescent="0.25">
      <c r="A510" t="s">
        <v>1424</v>
      </c>
      <c r="B510" s="1" t="s">
        <v>486</v>
      </c>
      <c r="C510" t="s">
        <v>1425</v>
      </c>
      <c r="D510" t="s">
        <v>117</v>
      </c>
      <c r="E510" t="str">
        <f>PROPER(TRIM(D510))</f>
        <v>David</v>
      </c>
      <c r="F510" t="s">
        <v>46</v>
      </c>
      <c r="G510">
        <v>130</v>
      </c>
      <c r="H510" t="str">
        <f>IF(AND(G510&gt;18, G510&lt;65), "Valid", "Invalid")</f>
        <v>Invalid</v>
      </c>
      <c r="I510" t="s">
        <v>47</v>
      </c>
      <c r="J510" t="str">
        <f>PROPER(TRIM(I510))</f>
        <v>Enugu</v>
      </c>
      <c r="K510" t="s">
        <v>22</v>
      </c>
      <c r="L510" t="str">
        <f>PROPER(TRIM(K510))</f>
        <v>Fashion</v>
      </c>
      <c r="M510" t="s">
        <v>23</v>
      </c>
      <c r="N510" t="str">
        <f>PROPER(TRIM(M510))</f>
        <v>Shirt</v>
      </c>
      <c r="O510">
        <v>292.29000000000002</v>
      </c>
      <c r="P510">
        <v>1</v>
      </c>
      <c r="Q510">
        <f>IF(P510&lt;1, 1, P510)</f>
        <v>1</v>
      </c>
      <c r="R510">
        <v>-10</v>
      </c>
      <c r="S510" t="str">
        <f>IF(OR(R510&lt;0,R510&gt;100),"invalid","Valid")</f>
        <v>invalid</v>
      </c>
      <c r="T510" t="s">
        <v>59</v>
      </c>
      <c r="U510" t="str">
        <f>PROPER(TRIM(T510))</f>
        <v>Mobile Money</v>
      </c>
      <c r="V510" t="s">
        <v>25</v>
      </c>
      <c r="W510" t="str">
        <f t="shared" si="14"/>
        <v>Dan</v>
      </c>
      <c r="X510" t="s">
        <v>26</v>
      </c>
      <c r="Y510">
        <v>2</v>
      </c>
      <c r="Z510" t="str">
        <f>IF(D510="", "Missing", "ok")</f>
        <v>ok</v>
      </c>
      <c r="AA510">
        <f t="shared" si="15"/>
        <v>321.51900000000006</v>
      </c>
    </row>
    <row r="511" spans="1:27" x14ac:dyDescent="0.25">
      <c r="A511" t="s">
        <v>1426</v>
      </c>
      <c r="B511" s="1" t="s">
        <v>1427</v>
      </c>
      <c r="C511" t="s">
        <v>1428</v>
      </c>
      <c r="D511" t="s">
        <v>19</v>
      </c>
      <c r="E511" t="str">
        <f>PROPER(TRIM(D511))</f>
        <v>Peter</v>
      </c>
      <c r="F511" t="s">
        <v>46</v>
      </c>
      <c r="G511">
        <v>44</v>
      </c>
      <c r="H511" t="str">
        <f>IF(AND(G511&gt;18, G511&lt;65), "Valid", "Invalid")</f>
        <v>Valid</v>
      </c>
      <c r="I511" t="s">
        <v>86</v>
      </c>
      <c r="J511" t="str">
        <f>PROPER(TRIM(I511))</f>
        <v>Kano</v>
      </c>
      <c r="K511" t="s">
        <v>121</v>
      </c>
      <c r="L511" t="str">
        <f>PROPER(TRIM(K511))</f>
        <v>Beauty</v>
      </c>
      <c r="M511" t="s">
        <v>122</v>
      </c>
      <c r="N511" t="str">
        <f>PROPER(TRIM(M511))</f>
        <v>Cream</v>
      </c>
      <c r="O511">
        <v>323.08</v>
      </c>
      <c r="P511">
        <v>6</v>
      </c>
      <c r="Q511">
        <f>IF(P511&lt;1, 1, P511)</f>
        <v>6</v>
      </c>
      <c r="R511">
        <v>5</v>
      </c>
      <c r="S511" t="str">
        <f>IF(OR(R511&lt;0,R511&gt;100),"invalid","Valid")</f>
        <v>Valid</v>
      </c>
      <c r="T511" t="s">
        <v>64</v>
      </c>
      <c r="U511" t="str">
        <f>PROPER(TRIM(T511))</f>
        <v>Transfer</v>
      </c>
      <c r="V511" t="s">
        <v>41</v>
      </c>
      <c r="W511" t="str">
        <f t="shared" si="14"/>
        <v>Chi</v>
      </c>
      <c r="X511" t="s">
        <v>26</v>
      </c>
      <c r="Y511">
        <v>5</v>
      </c>
      <c r="Z511" t="str">
        <f>IF(D511="", "Missing", "ok")</f>
        <v>ok</v>
      </c>
      <c r="AA511">
        <f t="shared" si="15"/>
        <v>1841.556</v>
      </c>
    </row>
    <row r="512" spans="1:27" x14ac:dyDescent="0.25">
      <c r="A512" t="s">
        <v>1429</v>
      </c>
      <c r="B512" s="1" t="s">
        <v>774</v>
      </c>
      <c r="C512" t="s">
        <v>1430</v>
      </c>
      <c r="E512" t="str">
        <f>PROPER(TRIM(D512))</f>
        <v/>
      </c>
      <c r="F512" t="s">
        <v>46</v>
      </c>
      <c r="G512">
        <v>8</v>
      </c>
      <c r="H512" t="str">
        <f>IF(AND(G512&gt;18, G512&lt;65), "Valid", "Invalid")</f>
        <v>Invalid</v>
      </c>
      <c r="I512" t="s">
        <v>86</v>
      </c>
      <c r="J512" t="str">
        <f>PROPER(TRIM(I512))</f>
        <v>Kano</v>
      </c>
      <c r="K512" t="s">
        <v>39</v>
      </c>
      <c r="L512" t="str">
        <f>PROPER(TRIM(K512))</f>
        <v>Electronics</v>
      </c>
      <c r="M512" t="s">
        <v>40</v>
      </c>
      <c r="N512" t="str">
        <f>PROPER(TRIM(M512))</f>
        <v>Phone</v>
      </c>
      <c r="O512">
        <v>368</v>
      </c>
      <c r="P512">
        <v>5</v>
      </c>
      <c r="Q512">
        <f>IF(P512&lt;1, 1, P512)</f>
        <v>5</v>
      </c>
      <c r="R512">
        <v>120</v>
      </c>
      <c r="S512" t="str">
        <f>IF(OR(R512&lt;0,R512&gt;100),"invalid","Valid")</f>
        <v>invalid</v>
      </c>
      <c r="T512" t="s">
        <v>64</v>
      </c>
      <c r="U512" t="str">
        <f>PROPER(TRIM(T512))</f>
        <v>Transfer</v>
      </c>
      <c r="V512" t="s">
        <v>41</v>
      </c>
      <c r="W512" t="str">
        <f t="shared" si="14"/>
        <v>Chi</v>
      </c>
      <c r="X512" t="s">
        <v>82</v>
      </c>
      <c r="Y512">
        <v>3</v>
      </c>
      <c r="Z512" t="str">
        <f>IF(D512="", "Missing", "ok")</f>
        <v>Missing</v>
      </c>
      <c r="AA512">
        <f t="shared" si="15"/>
        <v>-367.99999999999994</v>
      </c>
    </row>
    <row r="513" spans="1:27" x14ac:dyDescent="0.25">
      <c r="A513" t="s">
        <v>1431</v>
      </c>
      <c r="B513" s="1" t="s">
        <v>1432</v>
      </c>
      <c r="C513" t="s">
        <v>1433</v>
      </c>
      <c r="E513" t="str">
        <f>PROPER(TRIM(D513))</f>
        <v/>
      </c>
      <c r="F513" t="s">
        <v>46</v>
      </c>
      <c r="G513">
        <v>8</v>
      </c>
      <c r="H513" t="str">
        <f>IF(AND(G513&gt;18, G513&lt;65), "Valid", "Invalid")</f>
        <v>Invalid</v>
      </c>
      <c r="I513" t="s">
        <v>53</v>
      </c>
      <c r="J513" t="str">
        <f>PROPER(TRIM(I513))</f>
        <v>Lagos</v>
      </c>
      <c r="K513" t="s">
        <v>48</v>
      </c>
      <c r="L513" t="str">
        <f>PROPER(TRIM(K513))</f>
        <v>Groceries</v>
      </c>
      <c r="M513" t="s">
        <v>49</v>
      </c>
      <c r="N513" t="str">
        <f>PROPER(TRIM(M513))</f>
        <v>Rice</v>
      </c>
      <c r="O513">
        <v>79.599999999999994</v>
      </c>
      <c r="P513">
        <v>7</v>
      </c>
      <c r="Q513">
        <f>IF(P513&lt;1, 1, P513)</f>
        <v>7</v>
      </c>
      <c r="R513">
        <v>120</v>
      </c>
      <c r="S513" t="str">
        <f>IF(OR(R513&lt;0,R513&gt;100),"invalid","Valid")</f>
        <v>invalid</v>
      </c>
      <c r="T513" t="s">
        <v>64</v>
      </c>
      <c r="U513" t="str">
        <f>PROPER(TRIM(T513))</f>
        <v>Transfer</v>
      </c>
      <c r="V513" t="s">
        <v>81</v>
      </c>
      <c r="W513" t="str">
        <f t="shared" si="14"/>
        <v>Ada</v>
      </c>
      <c r="X513" t="s">
        <v>82</v>
      </c>
      <c r="Y513">
        <v>3</v>
      </c>
      <c r="Z513" t="str">
        <f>IF(D513="", "Missing", "ok")</f>
        <v>Missing</v>
      </c>
      <c r="AA513">
        <f t="shared" si="15"/>
        <v>-111.43999999999996</v>
      </c>
    </row>
    <row r="514" spans="1:27" x14ac:dyDescent="0.25">
      <c r="A514" t="s">
        <v>1434</v>
      </c>
      <c r="B514" s="1" t="s">
        <v>323</v>
      </c>
      <c r="C514" t="s">
        <v>1435</v>
      </c>
      <c r="D514" t="s">
        <v>19</v>
      </c>
      <c r="E514" t="str">
        <f>PROPER(TRIM(D514))</f>
        <v>Peter</v>
      </c>
      <c r="F514" t="s">
        <v>46</v>
      </c>
      <c r="G514">
        <v>8</v>
      </c>
      <c r="H514" t="str">
        <f>IF(AND(G514&gt;18, G514&lt;65), "Valid", "Invalid")</f>
        <v>Invalid</v>
      </c>
      <c r="I514" t="s">
        <v>47</v>
      </c>
      <c r="J514" t="str">
        <f>PROPER(TRIM(I514))</f>
        <v>Enugu</v>
      </c>
      <c r="K514" t="s">
        <v>54</v>
      </c>
      <c r="L514" t="str">
        <f>PROPER(TRIM(K514))</f>
        <v>Home</v>
      </c>
      <c r="M514" t="s">
        <v>55</v>
      </c>
      <c r="N514" t="str">
        <f>PROPER(TRIM(M514))</f>
        <v>Chair</v>
      </c>
      <c r="O514">
        <v>129.43</v>
      </c>
      <c r="P514">
        <v>-2</v>
      </c>
      <c r="Q514">
        <f>IF(P514&lt;1, 1, P514)</f>
        <v>1</v>
      </c>
      <c r="R514">
        <v>0</v>
      </c>
      <c r="S514" t="str">
        <f>IF(OR(R514&lt;0,R514&gt;100),"invalid","Valid")</f>
        <v>Valid</v>
      </c>
      <c r="T514" t="s">
        <v>77</v>
      </c>
      <c r="U514" t="str">
        <f>PROPER(TRIM(T514))</f>
        <v>Cash</v>
      </c>
      <c r="V514" t="s">
        <v>41</v>
      </c>
      <c r="W514" t="str">
        <f t="shared" ref="W514:W577" si="16">PROPER(TRIM(V514))</f>
        <v>Chi</v>
      </c>
      <c r="X514" t="s">
        <v>82</v>
      </c>
      <c r="Y514">
        <v>1</v>
      </c>
      <c r="Z514" t="str">
        <f>IF(D514="", "Missing", "ok")</f>
        <v>ok</v>
      </c>
      <c r="AA514">
        <f t="shared" si="15"/>
        <v>129.43</v>
      </c>
    </row>
    <row r="515" spans="1:27" x14ac:dyDescent="0.25">
      <c r="A515" t="s">
        <v>1436</v>
      </c>
      <c r="B515" s="1" t="s">
        <v>1437</v>
      </c>
      <c r="C515" t="s">
        <v>1438</v>
      </c>
      <c r="D515" t="s">
        <v>63</v>
      </c>
      <c r="E515" t="str">
        <f>PROPER(TRIM(D515))</f>
        <v>John</v>
      </c>
      <c r="F515" t="s">
        <v>20</v>
      </c>
      <c r="G515">
        <v>8</v>
      </c>
      <c r="H515" t="str">
        <f>IF(AND(G515&gt;18, G515&lt;65), "Valid", "Invalid")</f>
        <v>Invalid</v>
      </c>
      <c r="I515" t="s">
        <v>38</v>
      </c>
      <c r="J515" t="str">
        <f>PROPER(TRIM(I515))</f>
        <v>Ph</v>
      </c>
      <c r="K515" t="s">
        <v>22</v>
      </c>
      <c r="L515" t="str">
        <f>PROPER(TRIM(K515))</f>
        <v>Fashion</v>
      </c>
      <c r="M515" t="s">
        <v>23</v>
      </c>
      <c r="N515" t="str">
        <f>PROPER(TRIM(M515))</f>
        <v>Shirt</v>
      </c>
      <c r="O515">
        <v>412.96</v>
      </c>
      <c r="P515">
        <v>-2</v>
      </c>
      <c r="Q515">
        <f>IF(P515&lt;1, 1, P515)</f>
        <v>1</v>
      </c>
      <c r="R515">
        <v>10</v>
      </c>
      <c r="S515" t="str">
        <f>IF(OR(R515&lt;0,R515&gt;100),"invalid","Valid")</f>
        <v>Valid</v>
      </c>
      <c r="U515" t="str">
        <f>PROPER(TRIM(T515))</f>
        <v/>
      </c>
      <c r="V515" t="s">
        <v>25</v>
      </c>
      <c r="W515" t="str">
        <f t="shared" si="16"/>
        <v>Dan</v>
      </c>
      <c r="X515" t="s">
        <v>33</v>
      </c>
      <c r="Z515" t="str">
        <f>IF(D515="", "Missing", "ok")</f>
        <v>ok</v>
      </c>
      <c r="AA515">
        <f t="shared" ref="AA515:AA578" si="17">(O515*Q515)*(1-R515/100)</f>
        <v>371.66399999999999</v>
      </c>
    </row>
    <row r="516" spans="1:27" x14ac:dyDescent="0.25">
      <c r="A516" t="s">
        <v>1439</v>
      </c>
      <c r="B516" s="1" t="s">
        <v>1440</v>
      </c>
      <c r="C516" t="s">
        <v>1441</v>
      </c>
      <c r="D516" t="s">
        <v>117</v>
      </c>
      <c r="E516" t="str">
        <f>PROPER(TRIM(D516))</f>
        <v>David</v>
      </c>
      <c r="F516" t="s">
        <v>46</v>
      </c>
      <c r="G516">
        <v>39</v>
      </c>
      <c r="H516" t="str">
        <f>IF(AND(G516&gt;18, G516&lt;65), "Valid", "Invalid")</f>
        <v>Valid</v>
      </c>
      <c r="I516" t="s">
        <v>38</v>
      </c>
      <c r="J516" t="str">
        <f>PROPER(TRIM(I516))</f>
        <v>Ph</v>
      </c>
      <c r="K516" t="s">
        <v>39</v>
      </c>
      <c r="L516" t="str">
        <f>PROPER(TRIM(K516))</f>
        <v>Electronics</v>
      </c>
      <c r="M516" t="s">
        <v>40</v>
      </c>
      <c r="N516" t="str">
        <f>PROPER(TRIM(M516))</f>
        <v>Phone</v>
      </c>
      <c r="O516">
        <v>452.42</v>
      </c>
      <c r="P516">
        <v>6</v>
      </c>
      <c r="Q516">
        <f>IF(P516&lt;1, 1, P516)</f>
        <v>6</v>
      </c>
      <c r="R516">
        <v>10</v>
      </c>
      <c r="S516" t="str">
        <f>IF(OR(R516&lt;0,R516&gt;100),"invalid","Valid")</f>
        <v>Valid</v>
      </c>
      <c r="T516" t="s">
        <v>64</v>
      </c>
      <c r="U516" t="str">
        <f>PROPER(TRIM(T516))</f>
        <v>Transfer</v>
      </c>
      <c r="V516" t="s">
        <v>91</v>
      </c>
      <c r="W516" t="str">
        <f t="shared" si="16"/>
        <v>Ben</v>
      </c>
      <c r="X516" t="s">
        <v>82</v>
      </c>
      <c r="Y516">
        <v>1</v>
      </c>
      <c r="Z516" t="str">
        <f>IF(D516="", "Missing", "ok")</f>
        <v>ok</v>
      </c>
      <c r="AA516">
        <f t="shared" si="17"/>
        <v>2443.0680000000002</v>
      </c>
    </row>
    <row r="517" spans="1:27" x14ac:dyDescent="0.25">
      <c r="A517" t="s">
        <v>1442</v>
      </c>
      <c r="B517" s="1" t="s">
        <v>187</v>
      </c>
      <c r="C517" t="s">
        <v>1443</v>
      </c>
      <c r="D517" t="s">
        <v>37</v>
      </c>
      <c r="E517" t="str">
        <f>PROPER(TRIM(D517))</f>
        <v>Aisha</v>
      </c>
      <c r="F517" t="s">
        <v>46</v>
      </c>
      <c r="G517">
        <v>8</v>
      </c>
      <c r="H517" t="str">
        <f>IF(AND(G517&gt;18, G517&lt;65), "Valid", "Invalid")</f>
        <v>Invalid</v>
      </c>
      <c r="I517" t="s">
        <v>38</v>
      </c>
      <c r="J517" t="str">
        <f>PROPER(TRIM(I517))</f>
        <v>Ph</v>
      </c>
      <c r="K517" t="s">
        <v>121</v>
      </c>
      <c r="L517" t="str">
        <f>PROPER(TRIM(K517))</f>
        <v>Beauty</v>
      </c>
      <c r="M517" t="s">
        <v>122</v>
      </c>
      <c r="N517" t="str">
        <f>PROPER(TRIM(M517))</f>
        <v>Cream</v>
      </c>
      <c r="O517">
        <v>110.87</v>
      </c>
      <c r="P517">
        <v>6</v>
      </c>
      <c r="Q517">
        <f>IF(P517&lt;1, 1, P517)</f>
        <v>6</v>
      </c>
      <c r="R517">
        <v>120</v>
      </c>
      <c r="S517" t="str">
        <f>IF(OR(R517&lt;0,R517&gt;100),"invalid","Valid")</f>
        <v>invalid</v>
      </c>
      <c r="U517" t="str">
        <f>PROPER(TRIM(T517))</f>
        <v/>
      </c>
      <c r="V517" t="s">
        <v>81</v>
      </c>
      <c r="W517" t="str">
        <f t="shared" si="16"/>
        <v>Ada</v>
      </c>
      <c r="X517" t="s">
        <v>65</v>
      </c>
      <c r="Y517">
        <v>4</v>
      </c>
      <c r="Z517" t="str">
        <f>IF(D517="", "Missing", "ok")</f>
        <v>ok</v>
      </c>
      <c r="AA517">
        <f t="shared" si="17"/>
        <v>-133.04399999999998</v>
      </c>
    </row>
    <row r="518" spans="1:27" x14ac:dyDescent="0.25">
      <c r="A518" t="s">
        <v>1444</v>
      </c>
      <c r="B518" s="1" t="s">
        <v>828</v>
      </c>
      <c r="C518" t="s">
        <v>1445</v>
      </c>
      <c r="D518" t="s">
        <v>117</v>
      </c>
      <c r="E518" t="str">
        <f>PROPER(TRIM(D518))</f>
        <v>David</v>
      </c>
      <c r="F518" t="s">
        <v>20</v>
      </c>
      <c r="G518">
        <v>44</v>
      </c>
      <c r="H518" t="str">
        <f>IF(AND(G518&gt;18, G518&lt;65), "Valid", "Invalid")</f>
        <v>Valid</v>
      </c>
      <c r="I518" t="s">
        <v>38</v>
      </c>
      <c r="J518" t="str">
        <f>PROPER(TRIM(I518))</f>
        <v>Ph</v>
      </c>
      <c r="K518" t="s">
        <v>31</v>
      </c>
      <c r="L518" t="str">
        <f>PROPER(TRIM(K518))</f>
        <v>Sports</v>
      </c>
      <c r="M518" t="s">
        <v>32</v>
      </c>
      <c r="N518" t="str">
        <f>PROPER(TRIM(M518))</f>
        <v>Ball</v>
      </c>
      <c r="O518">
        <v>13.84</v>
      </c>
      <c r="P518">
        <v>-2</v>
      </c>
      <c r="Q518">
        <f>IF(P518&lt;1, 1, P518)</f>
        <v>1</v>
      </c>
      <c r="R518">
        <v>10</v>
      </c>
      <c r="S518" t="str">
        <f>IF(OR(R518&lt;0,R518&gt;100),"invalid","Valid")</f>
        <v>Valid</v>
      </c>
      <c r="T518" t="s">
        <v>59</v>
      </c>
      <c r="U518" t="str">
        <f>PROPER(TRIM(T518))</f>
        <v>Mobile Money</v>
      </c>
      <c r="V518" t="s">
        <v>25</v>
      </c>
      <c r="W518" t="str">
        <f t="shared" si="16"/>
        <v>Dan</v>
      </c>
      <c r="X518" t="s">
        <v>65</v>
      </c>
      <c r="Z518" t="str">
        <f>IF(D518="", "Missing", "ok")</f>
        <v>ok</v>
      </c>
      <c r="AA518">
        <f t="shared" si="17"/>
        <v>12.456</v>
      </c>
    </row>
    <row r="519" spans="1:27" x14ac:dyDescent="0.25">
      <c r="A519" t="s">
        <v>1446</v>
      </c>
      <c r="B519" s="1" t="s">
        <v>988</v>
      </c>
      <c r="C519" t="s">
        <v>1447</v>
      </c>
      <c r="D519" t="s">
        <v>117</v>
      </c>
      <c r="E519" t="str">
        <f>PROPER(TRIM(D519))</f>
        <v>David</v>
      </c>
      <c r="F519" t="s">
        <v>46</v>
      </c>
      <c r="G519">
        <v>8</v>
      </c>
      <c r="H519" t="str">
        <f>IF(AND(G519&gt;18, G519&lt;65), "Valid", "Invalid")</f>
        <v>Invalid</v>
      </c>
      <c r="I519" t="s">
        <v>47</v>
      </c>
      <c r="J519" t="str">
        <f>PROPER(TRIM(I519))</f>
        <v>Enugu</v>
      </c>
      <c r="K519" t="s">
        <v>22</v>
      </c>
      <c r="L519" t="str">
        <f>PROPER(TRIM(K519))</f>
        <v>Fashion</v>
      </c>
      <c r="M519" t="s">
        <v>23</v>
      </c>
      <c r="N519" t="str">
        <f>PROPER(TRIM(M519))</f>
        <v>Shirt</v>
      </c>
      <c r="O519">
        <v>205.07</v>
      </c>
      <c r="P519">
        <v>-2</v>
      </c>
      <c r="Q519">
        <f>IF(P519&lt;1, 1, P519)</f>
        <v>1</v>
      </c>
      <c r="R519">
        <v>-10</v>
      </c>
      <c r="S519" t="str">
        <f>IF(OR(R519&lt;0,R519&gt;100),"invalid","Valid")</f>
        <v>invalid</v>
      </c>
      <c r="T519" t="s">
        <v>59</v>
      </c>
      <c r="U519" t="str">
        <f>PROPER(TRIM(T519))</f>
        <v>Mobile Money</v>
      </c>
      <c r="V519" t="s">
        <v>81</v>
      </c>
      <c r="W519" t="str">
        <f t="shared" si="16"/>
        <v>Ada</v>
      </c>
      <c r="X519" t="s">
        <v>65</v>
      </c>
      <c r="Y519">
        <v>2</v>
      </c>
      <c r="Z519" t="str">
        <f>IF(D519="", "Missing", "ok")</f>
        <v>ok</v>
      </c>
      <c r="AA519">
        <f t="shared" si="17"/>
        <v>225.577</v>
      </c>
    </row>
    <row r="520" spans="1:27" x14ac:dyDescent="0.25">
      <c r="A520" t="s">
        <v>1448</v>
      </c>
      <c r="B520" s="1" t="s">
        <v>303</v>
      </c>
      <c r="C520" t="s">
        <v>1449</v>
      </c>
      <c r="D520" t="s">
        <v>101</v>
      </c>
      <c r="E520" t="str">
        <f>PROPER(TRIM(D520))</f>
        <v>Grace</v>
      </c>
      <c r="F520" t="s">
        <v>20</v>
      </c>
      <c r="G520">
        <v>8</v>
      </c>
      <c r="H520" t="str">
        <f>IF(AND(G520&gt;18, G520&lt;65), "Valid", "Invalid")</f>
        <v>Invalid</v>
      </c>
      <c r="I520" t="s">
        <v>70</v>
      </c>
      <c r="J520" t="str">
        <f>PROPER(TRIM(I520))</f>
        <v>Abuja</v>
      </c>
      <c r="K520" t="s">
        <v>22</v>
      </c>
      <c r="L520" t="str">
        <f>PROPER(TRIM(K520))</f>
        <v>Fashion</v>
      </c>
      <c r="M520" t="s">
        <v>23</v>
      </c>
      <c r="N520" t="str">
        <f>PROPER(TRIM(M520))</f>
        <v>Shirt</v>
      </c>
      <c r="O520">
        <v>246.19</v>
      </c>
      <c r="P520">
        <v>-2</v>
      </c>
      <c r="Q520">
        <f>IF(P520&lt;1, 1, P520)</f>
        <v>1</v>
      </c>
      <c r="R520">
        <v>10</v>
      </c>
      <c r="S520" t="str">
        <f>IF(OR(R520&lt;0,R520&gt;100),"invalid","Valid")</f>
        <v>Valid</v>
      </c>
      <c r="T520" t="s">
        <v>59</v>
      </c>
      <c r="U520" t="str">
        <f>PROPER(TRIM(T520))</f>
        <v>Mobile Money</v>
      </c>
      <c r="V520" t="s">
        <v>41</v>
      </c>
      <c r="W520" t="str">
        <f t="shared" si="16"/>
        <v>Chi</v>
      </c>
      <c r="X520" t="s">
        <v>33</v>
      </c>
      <c r="Y520">
        <v>3</v>
      </c>
      <c r="Z520" t="str">
        <f>IF(D520="", "Missing", "ok")</f>
        <v>ok</v>
      </c>
      <c r="AA520">
        <f t="shared" si="17"/>
        <v>221.571</v>
      </c>
    </row>
    <row r="521" spans="1:27" x14ac:dyDescent="0.25">
      <c r="A521" t="s">
        <v>1450</v>
      </c>
      <c r="B521" s="1" t="s">
        <v>1451</v>
      </c>
      <c r="C521" t="s">
        <v>1452</v>
      </c>
      <c r="D521" t="s">
        <v>19</v>
      </c>
      <c r="E521" t="str">
        <f>PROPER(TRIM(D521))</f>
        <v>Peter</v>
      </c>
      <c r="F521" t="s">
        <v>20</v>
      </c>
      <c r="G521">
        <v>130</v>
      </c>
      <c r="H521" t="str">
        <f>IF(AND(G521&gt;18, G521&lt;65), "Valid", "Invalid")</f>
        <v>Invalid</v>
      </c>
      <c r="I521" t="s">
        <v>70</v>
      </c>
      <c r="J521" t="str">
        <f>PROPER(TRIM(I521))</f>
        <v>Abuja</v>
      </c>
      <c r="K521" t="s">
        <v>39</v>
      </c>
      <c r="L521" t="str">
        <f>PROPER(TRIM(K521))</f>
        <v>Electronics</v>
      </c>
      <c r="M521" t="s">
        <v>40</v>
      </c>
      <c r="N521" t="str">
        <f>PROPER(TRIM(M521))</f>
        <v>Phone</v>
      </c>
      <c r="O521">
        <v>241.11</v>
      </c>
      <c r="P521">
        <v>10</v>
      </c>
      <c r="Q521">
        <f>IF(P521&lt;1, 1, P521)</f>
        <v>10</v>
      </c>
      <c r="R521">
        <v>120</v>
      </c>
      <c r="S521" t="str">
        <f>IF(OR(R521&lt;0,R521&gt;100),"invalid","Valid")</f>
        <v>invalid</v>
      </c>
      <c r="T521" t="s">
        <v>59</v>
      </c>
      <c r="U521" t="str">
        <f>PROPER(TRIM(T521))</f>
        <v>Mobile Money</v>
      </c>
      <c r="V521" t="s">
        <v>25</v>
      </c>
      <c r="W521" t="str">
        <f t="shared" si="16"/>
        <v>Dan</v>
      </c>
      <c r="X521" t="s">
        <v>82</v>
      </c>
      <c r="Y521">
        <v>1</v>
      </c>
      <c r="Z521" t="str">
        <f>IF(D521="", "Missing", "ok")</f>
        <v>ok</v>
      </c>
      <c r="AA521">
        <f t="shared" si="17"/>
        <v>-482.21999999999997</v>
      </c>
    </row>
    <row r="522" spans="1:27" x14ac:dyDescent="0.25">
      <c r="A522" t="s">
        <v>1453</v>
      </c>
      <c r="B522" s="1" t="s">
        <v>1004</v>
      </c>
      <c r="C522" t="s">
        <v>1454</v>
      </c>
      <c r="D522" t="s">
        <v>101</v>
      </c>
      <c r="E522" t="str">
        <f>PROPER(TRIM(D522))</f>
        <v>Grace</v>
      </c>
      <c r="F522" t="s">
        <v>20</v>
      </c>
      <c r="G522">
        <v>8</v>
      </c>
      <c r="H522" t="str">
        <f>IF(AND(G522&gt;18, G522&lt;65), "Valid", "Invalid")</f>
        <v>Invalid</v>
      </c>
      <c r="I522" t="s">
        <v>86</v>
      </c>
      <c r="J522" t="str">
        <f>PROPER(TRIM(I522))</f>
        <v>Kano</v>
      </c>
      <c r="K522" t="s">
        <v>54</v>
      </c>
      <c r="L522" t="str">
        <f>PROPER(TRIM(K522))</f>
        <v>Home</v>
      </c>
      <c r="M522" t="s">
        <v>55</v>
      </c>
      <c r="N522" t="str">
        <f>PROPER(TRIM(M522))</f>
        <v>Chair</v>
      </c>
      <c r="O522">
        <v>316.27</v>
      </c>
      <c r="P522">
        <v>-2</v>
      </c>
      <c r="Q522">
        <f>IF(P522&lt;1, 1, P522)</f>
        <v>1</v>
      </c>
      <c r="R522">
        <v>0</v>
      </c>
      <c r="S522" t="str">
        <f>IF(OR(R522&lt;0,R522&gt;100),"invalid","Valid")</f>
        <v>Valid</v>
      </c>
      <c r="U522" t="str">
        <f>PROPER(TRIM(T522))</f>
        <v/>
      </c>
      <c r="V522" t="s">
        <v>41</v>
      </c>
      <c r="W522" t="str">
        <f t="shared" si="16"/>
        <v>Chi</v>
      </c>
      <c r="X522" t="s">
        <v>26</v>
      </c>
      <c r="Y522">
        <v>3</v>
      </c>
      <c r="Z522" t="str">
        <f>IF(D522="", "Missing", "ok")</f>
        <v>ok</v>
      </c>
      <c r="AA522">
        <f t="shared" si="17"/>
        <v>316.27</v>
      </c>
    </row>
    <row r="523" spans="1:27" x14ac:dyDescent="0.25">
      <c r="A523" t="s">
        <v>1455</v>
      </c>
      <c r="B523" s="1" t="s">
        <v>437</v>
      </c>
      <c r="C523" t="s">
        <v>1456</v>
      </c>
      <c r="D523" t="s">
        <v>45</v>
      </c>
      <c r="E523" t="str">
        <f>PROPER(TRIM(D523))</f>
        <v>James</v>
      </c>
      <c r="F523" t="s">
        <v>46</v>
      </c>
      <c r="G523">
        <v>130</v>
      </c>
      <c r="H523" t="str">
        <f>IF(AND(G523&gt;18, G523&lt;65), "Valid", "Invalid")</f>
        <v>Invalid</v>
      </c>
      <c r="I523" t="s">
        <v>47</v>
      </c>
      <c r="J523" t="str">
        <f>PROPER(TRIM(I523))</f>
        <v>Enugu</v>
      </c>
      <c r="K523" t="s">
        <v>87</v>
      </c>
      <c r="L523" t="str">
        <f>PROPER(TRIM(K523))</f>
        <v>Groceris</v>
      </c>
      <c r="M523" t="s">
        <v>49</v>
      </c>
      <c r="N523" t="str">
        <f>PROPER(TRIM(M523))</f>
        <v>Rice</v>
      </c>
      <c r="O523">
        <v>411.81</v>
      </c>
      <c r="P523">
        <v>-2</v>
      </c>
      <c r="Q523">
        <f>IF(P523&lt;1, 1, P523)</f>
        <v>1</v>
      </c>
      <c r="R523">
        <v>0</v>
      </c>
      <c r="S523" t="str">
        <f>IF(OR(R523&lt;0,R523&gt;100),"invalid","Valid")</f>
        <v>Valid</v>
      </c>
      <c r="T523" t="s">
        <v>64</v>
      </c>
      <c r="U523" t="str">
        <f>PROPER(TRIM(T523))</f>
        <v>Transfer</v>
      </c>
      <c r="V523" t="s">
        <v>25</v>
      </c>
      <c r="W523" t="str">
        <f t="shared" si="16"/>
        <v>Dan</v>
      </c>
      <c r="X523" t="s">
        <v>65</v>
      </c>
      <c r="Y523">
        <v>2</v>
      </c>
      <c r="Z523" t="str">
        <f>IF(D523="", "Missing", "ok")</f>
        <v>ok</v>
      </c>
      <c r="AA523">
        <f t="shared" si="17"/>
        <v>411.81</v>
      </c>
    </row>
    <row r="524" spans="1:27" x14ac:dyDescent="0.25">
      <c r="A524" t="s">
        <v>1457</v>
      </c>
      <c r="B524" s="1" t="s">
        <v>264</v>
      </c>
      <c r="C524" t="s">
        <v>1458</v>
      </c>
      <c r="D524" t="s">
        <v>63</v>
      </c>
      <c r="E524" t="str">
        <f>PROPER(TRIM(D524))</f>
        <v>John</v>
      </c>
      <c r="F524" t="s">
        <v>20</v>
      </c>
      <c r="G524">
        <v>130</v>
      </c>
      <c r="H524" t="str">
        <f>IF(AND(G524&gt;18, G524&lt;65), "Valid", "Invalid")</f>
        <v>Invalid</v>
      </c>
      <c r="I524" t="s">
        <v>70</v>
      </c>
      <c r="J524" t="str">
        <f>PROPER(TRIM(I524))</f>
        <v>Abuja</v>
      </c>
      <c r="K524" t="s">
        <v>87</v>
      </c>
      <c r="L524" t="str">
        <f>PROPER(TRIM(K524))</f>
        <v>Groceris</v>
      </c>
      <c r="M524" t="s">
        <v>49</v>
      </c>
      <c r="N524" t="str">
        <f>PROPER(TRIM(M524))</f>
        <v>Rice</v>
      </c>
      <c r="O524">
        <v>116.56</v>
      </c>
      <c r="P524">
        <v>-2</v>
      </c>
      <c r="Q524">
        <f>IF(P524&lt;1, 1, P524)</f>
        <v>1</v>
      </c>
      <c r="R524">
        <v>-10</v>
      </c>
      <c r="S524" t="str">
        <f>IF(OR(R524&lt;0,R524&gt;100),"invalid","Valid")</f>
        <v>invalid</v>
      </c>
      <c r="T524" t="s">
        <v>77</v>
      </c>
      <c r="U524" t="str">
        <f>PROPER(TRIM(T524))</f>
        <v>Cash</v>
      </c>
      <c r="V524" t="s">
        <v>91</v>
      </c>
      <c r="W524" t="str">
        <f t="shared" si="16"/>
        <v>Ben</v>
      </c>
      <c r="X524" t="s">
        <v>65</v>
      </c>
      <c r="Z524" t="str">
        <f>IF(D524="", "Missing", "ok")</f>
        <v>ok</v>
      </c>
      <c r="AA524">
        <f t="shared" si="17"/>
        <v>128.21600000000001</v>
      </c>
    </row>
    <row r="525" spans="1:27" x14ac:dyDescent="0.25">
      <c r="A525" t="s">
        <v>1459</v>
      </c>
      <c r="B525" s="1" t="s">
        <v>1460</v>
      </c>
      <c r="C525" t="s">
        <v>1461</v>
      </c>
      <c r="D525" t="s">
        <v>19</v>
      </c>
      <c r="E525" t="str">
        <f>PROPER(TRIM(D525))</f>
        <v>Peter</v>
      </c>
      <c r="F525" t="s">
        <v>46</v>
      </c>
      <c r="G525">
        <v>8</v>
      </c>
      <c r="H525" t="str">
        <f>IF(AND(G525&gt;18, G525&lt;65), "Valid", "Invalid")</f>
        <v>Invalid</v>
      </c>
      <c r="I525" t="s">
        <v>47</v>
      </c>
      <c r="J525" t="str">
        <f>PROPER(TRIM(I525))</f>
        <v>Enugu</v>
      </c>
      <c r="K525" t="s">
        <v>22</v>
      </c>
      <c r="L525" t="str">
        <f>PROPER(TRIM(K525))</f>
        <v>Fashion</v>
      </c>
      <c r="M525" t="s">
        <v>23</v>
      </c>
      <c r="N525" t="str">
        <f>PROPER(TRIM(M525))</f>
        <v>Shirt</v>
      </c>
      <c r="O525">
        <v>156.19</v>
      </c>
      <c r="P525">
        <v>5</v>
      </c>
      <c r="Q525">
        <f>IF(P525&lt;1, 1, P525)</f>
        <v>5</v>
      </c>
      <c r="R525">
        <v>-10</v>
      </c>
      <c r="S525" t="str">
        <f>IF(OR(R525&lt;0,R525&gt;100),"invalid","Valid")</f>
        <v>invalid</v>
      </c>
      <c r="T525" t="s">
        <v>59</v>
      </c>
      <c r="U525" t="str">
        <f>PROPER(TRIM(T525))</f>
        <v>Mobile Money</v>
      </c>
      <c r="V525" t="s">
        <v>41</v>
      </c>
      <c r="W525" t="str">
        <f t="shared" si="16"/>
        <v>Chi</v>
      </c>
      <c r="X525" t="s">
        <v>65</v>
      </c>
      <c r="Y525">
        <v>1</v>
      </c>
      <c r="Z525" t="str">
        <f>IF(D525="", "Missing", "ok")</f>
        <v>ok</v>
      </c>
      <c r="AA525">
        <f t="shared" si="17"/>
        <v>859.04500000000007</v>
      </c>
    </row>
    <row r="526" spans="1:27" x14ac:dyDescent="0.25">
      <c r="A526" t="s">
        <v>1462</v>
      </c>
      <c r="B526" s="1" t="s">
        <v>294</v>
      </c>
      <c r="C526" t="s">
        <v>1463</v>
      </c>
      <c r="D526" t="s">
        <v>19</v>
      </c>
      <c r="E526" t="str">
        <f>PROPER(TRIM(D526))</f>
        <v>Peter</v>
      </c>
      <c r="F526" t="s">
        <v>46</v>
      </c>
      <c r="G526">
        <v>130</v>
      </c>
      <c r="H526" t="str">
        <f>IF(AND(G526&gt;18, G526&lt;65), "Valid", "Invalid")</f>
        <v>Invalid</v>
      </c>
      <c r="I526" t="s">
        <v>38</v>
      </c>
      <c r="J526" t="str">
        <f>PROPER(TRIM(I526))</f>
        <v>Ph</v>
      </c>
      <c r="K526" t="s">
        <v>54</v>
      </c>
      <c r="L526" t="str">
        <f>PROPER(TRIM(K526))</f>
        <v>Home</v>
      </c>
      <c r="M526" t="s">
        <v>55</v>
      </c>
      <c r="N526" t="str">
        <f>PROPER(TRIM(M526))</f>
        <v>Chair</v>
      </c>
      <c r="O526">
        <v>152.9</v>
      </c>
      <c r="P526">
        <v>-2</v>
      </c>
      <c r="Q526">
        <f>IF(P526&lt;1, 1, P526)</f>
        <v>1</v>
      </c>
      <c r="R526">
        <v>0</v>
      </c>
      <c r="S526" t="str">
        <f>IF(OR(R526&lt;0,R526&gt;100),"invalid","Valid")</f>
        <v>Valid</v>
      </c>
      <c r="T526" t="s">
        <v>24</v>
      </c>
      <c r="U526" t="str">
        <f>PROPER(TRIM(T526))</f>
        <v>Pos</v>
      </c>
      <c r="V526" t="s">
        <v>81</v>
      </c>
      <c r="W526" t="str">
        <f t="shared" si="16"/>
        <v>Ada</v>
      </c>
      <c r="X526" t="s">
        <v>65</v>
      </c>
      <c r="Z526" t="str">
        <f>IF(D526="", "Missing", "ok")</f>
        <v>ok</v>
      </c>
      <c r="AA526">
        <f t="shared" si="17"/>
        <v>152.9</v>
      </c>
    </row>
    <row r="527" spans="1:27" x14ac:dyDescent="0.25">
      <c r="A527" t="s">
        <v>1464</v>
      </c>
      <c r="B527" s="1" t="s">
        <v>1465</v>
      </c>
      <c r="C527" t="s">
        <v>1466</v>
      </c>
      <c r="D527" t="s">
        <v>69</v>
      </c>
      <c r="E527" t="str">
        <f>PROPER(TRIM(D527))</f>
        <v>Mary</v>
      </c>
      <c r="F527" t="s">
        <v>20</v>
      </c>
      <c r="G527">
        <v>130</v>
      </c>
      <c r="H527" t="str">
        <f>IF(AND(G527&gt;18, G527&lt;65), "Valid", "Invalid")</f>
        <v>Invalid</v>
      </c>
      <c r="I527" t="s">
        <v>53</v>
      </c>
      <c r="J527" t="str">
        <f>PROPER(TRIM(I527))</f>
        <v>Lagos</v>
      </c>
      <c r="K527" t="s">
        <v>48</v>
      </c>
      <c r="L527" t="str">
        <f>PROPER(TRIM(K527))</f>
        <v>Groceries</v>
      </c>
      <c r="M527" t="s">
        <v>49</v>
      </c>
      <c r="N527" t="str">
        <f>PROPER(TRIM(M527))</f>
        <v>Rice</v>
      </c>
      <c r="O527">
        <v>113.33</v>
      </c>
      <c r="P527">
        <v>-2</v>
      </c>
      <c r="Q527">
        <f>IF(P527&lt;1, 1, P527)</f>
        <v>1</v>
      </c>
      <c r="R527">
        <v>120</v>
      </c>
      <c r="S527" t="str">
        <f>IF(OR(R527&lt;0,R527&gt;100),"invalid","Valid")</f>
        <v>invalid</v>
      </c>
      <c r="T527" t="s">
        <v>24</v>
      </c>
      <c r="U527" t="str">
        <f>PROPER(TRIM(T527))</f>
        <v>Pos</v>
      </c>
      <c r="V527" t="s">
        <v>91</v>
      </c>
      <c r="W527" t="str">
        <f t="shared" si="16"/>
        <v>Ben</v>
      </c>
      <c r="X527" t="s">
        <v>82</v>
      </c>
      <c r="Y527">
        <v>3</v>
      </c>
      <c r="Z527" t="str">
        <f>IF(D527="", "Missing", "ok")</f>
        <v>ok</v>
      </c>
      <c r="AA527">
        <f t="shared" si="17"/>
        <v>-22.665999999999993</v>
      </c>
    </row>
    <row r="528" spans="1:27" x14ac:dyDescent="0.25">
      <c r="A528" t="s">
        <v>1467</v>
      </c>
      <c r="B528" s="1" t="s">
        <v>1468</v>
      </c>
      <c r="C528" t="s">
        <v>1469</v>
      </c>
      <c r="D528" t="s">
        <v>63</v>
      </c>
      <c r="E528" t="str">
        <f>PROPER(TRIM(D528))</f>
        <v>John</v>
      </c>
      <c r="F528" t="s">
        <v>20</v>
      </c>
      <c r="G528">
        <v>130</v>
      </c>
      <c r="H528" t="str">
        <f>IF(AND(G528&gt;18, G528&lt;65), "Valid", "Invalid")</f>
        <v>Invalid</v>
      </c>
      <c r="I528" t="s">
        <v>70</v>
      </c>
      <c r="J528" t="str">
        <f>PROPER(TRIM(I528))</f>
        <v>Abuja</v>
      </c>
      <c r="K528" t="s">
        <v>48</v>
      </c>
      <c r="L528" t="str">
        <f>PROPER(TRIM(K528))</f>
        <v>Groceries</v>
      </c>
      <c r="M528" t="s">
        <v>49</v>
      </c>
      <c r="N528" t="str">
        <f>PROPER(TRIM(M528))</f>
        <v>Rice</v>
      </c>
      <c r="O528">
        <v>185.22</v>
      </c>
      <c r="P528">
        <v>5</v>
      </c>
      <c r="Q528">
        <f>IF(P528&lt;1, 1, P528)</f>
        <v>5</v>
      </c>
      <c r="R528">
        <v>-10</v>
      </c>
      <c r="S528" t="str">
        <f>IF(OR(R528&lt;0,R528&gt;100),"invalid","Valid")</f>
        <v>invalid</v>
      </c>
      <c r="T528" t="s">
        <v>59</v>
      </c>
      <c r="U528" t="str">
        <f>PROPER(TRIM(T528))</f>
        <v>Mobile Money</v>
      </c>
      <c r="V528" t="s">
        <v>81</v>
      </c>
      <c r="W528" t="str">
        <f t="shared" si="16"/>
        <v>Ada</v>
      </c>
      <c r="X528" t="s">
        <v>65</v>
      </c>
      <c r="Y528">
        <v>4</v>
      </c>
      <c r="Z528" t="str">
        <f>IF(D528="", "Missing", "ok")</f>
        <v>ok</v>
      </c>
      <c r="AA528">
        <f t="shared" si="17"/>
        <v>1018.7100000000002</v>
      </c>
    </row>
    <row r="529" spans="1:27" x14ac:dyDescent="0.25">
      <c r="A529" t="s">
        <v>1470</v>
      </c>
      <c r="B529" s="1" t="s">
        <v>1471</v>
      </c>
      <c r="C529" t="s">
        <v>1472</v>
      </c>
      <c r="D529" t="s">
        <v>37</v>
      </c>
      <c r="E529" t="str">
        <f>PROPER(TRIM(D529))</f>
        <v>Aisha</v>
      </c>
      <c r="F529" t="s">
        <v>46</v>
      </c>
      <c r="G529">
        <v>41</v>
      </c>
      <c r="H529" t="str">
        <f>IF(AND(G529&gt;18, G529&lt;65), "Valid", "Invalid")</f>
        <v>Valid</v>
      </c>
      <c r="I529" t="s">
        <v>38</v>
      </c>
      <c r="J529" t="str">
        <f>PROPER(TRIM(I529))</f>
        <v>Ph</v>
      </c>
      <c r="K529" t="s">
        <v>22</v>
      </c>
      <c r="L529" t="str">
        <f>PROPER(TRIM(K529))</f>
        <v>Fashion</v>
      </c>
      <c r="M529" t="s">
        <v>23</v>
      </c>
      <c r="N529" t="str">
        <f>PROPER(TRIM(M529))</f>
        <v>Shirt</v>
      </c>
      <c r="O529">
        <v>193.96</v>
      </c>
      <c r="P529">
        <v>-2</v>
      </c>
      <c r="Q529">
        <f>IF(P529&lt;1, 1, P529)</f>
        <v>1</v>
      </c>
      <c r="R529">
        <v>15</v>
      </c>
      <c r="S529" t="str">
        <f>IF(OR(R529&lt;0,R529&gt;100),"invalid","Valid")</f>
        <v>Valid</v>
      </c>
      <c r="T529" t="s">
        <v>24</v>
      </c>
      <c r="U529" t="str">
        <f>PROPER(TRIM(T529))</f>
        <v>Pos</v>
      </c>
      <c r="V529" t="s">
        <v>81</v>
      </c>
      <c r="W529" t="str">
        <f t="shared" si="16"/>
        <v>Ada</v>
      </c>
      <c r="X529" t="s">
        <v>33</v>
      </c>
      <c r="Y529">
        <v>1</v>
      </c>
      <c r="Z529" t="str">
        <f>IF(D529="", "Missing", "ok")</f>
        <v>ok</v>
      </c>
      <c r="AA529">
        <f t="shared" si="17"/>
        <v>164.86600000000001</v>
      </c>
    </row>
    <row r="530" spans="1:27" x14ac:dyDescent="0.25">
      <c r="A530" t="s">
        <v>1473</v>
      </c>
      <c r="B530" s="1" t="s">
        <v>1474</v>
      </c>
      <c r="C530" t="s">
        <v>1475</v>
      </c>
      <c r="D530" t="s">
        <v>19</v>
      </c>
      <c r="E530" t="str">
        <f>PROPER(TRIM(D530))</f>
        <v>Peter</v>
      </c>
      <c r="F530" t="s">
        <v>46</v>
      </c>
      <c r="G530">
        <v>27</v>
      </c>
      <c r="H530" t="str">
        <f>IF(AND(G530&gt;18, G530&lt;65), "Valid", "Invalid")</f>
        <v>Valid</v>
      </c>
      <c r="I530" t="s">
        <v>86</v>
      </c>
      <c r="J530" t="str">
        <f>PROPER(TRIM(I530))</f>
        <v>Kano</v>
      </c>
      <c r="K530" t="s">
        <v>87</v>
      </c>
      <c r="L530" t="str">
        <f>PROPER(TRIM(K530))</f>
        <v>Groceris</v>
      </c>
      <c r="M530" t="s">
        <v>49</v>
      </c>
      <c r="N530" t="str">
        <f>PROPER(TRIM(M530))</f>
        <v>Rice</v>
      </c>
      <c r="O530">
        <v>275.18</v>
      </c>
      <c r="P530">
        <v>10</v>
      </c>
      <c r="Q530">
        <f>IF(P530&lt;1, 1, P530)</f>
        <v>10</v>
      </c>
      <c r="R530">
        <v>10</v>
      </c>
      <c r="S530" t="str">
        <f>IF(OR(R530&lt;0,R530&gt;100),"invalid","Valid")</f>
        <v>Valid</v>
      </c>
      <c r="T530" t="s">
        <v>59</v>
      </c>
      <c r="U530" t="str">
        <f>PROPER(TRIM(T530))</f>
        <v>Mobile Money</v>
      </c>
      <c r="V530" t="s">
        <v>41</v>
      </c>
      <c r="W530" t="str">
        <f t="shared" si="16"/>
        <v>Chi</v>
      </c>
      <c r="X530" t="s">
        <v>33</v>
      </c>
      <c r="Y530">
        <v>1</v>
      </c>
      <c r="Z530" t="str">
        <f>IF(D530="", "Missing", "ok")</f>
        <v>ok</v>
      </c>
      <c r="AA530">
        <f t="shared" si="17"/>
        <v>2476.6200000000003</v>
      </c>
    </row>
    <row r="531" spans="1:27" x14ac:dyDescent="0.25">
      <c r="A531" t="s">
        <v>1476</v>
      </c>
      <c r="B531" s="1" t="s">
        <v>1398</v>
      </c>
      <c r="C531" t="s">
        <v>1477</v>
      </c>
      <c r="D531" t="s">
        <v>37</v>
      </c>
      <c r="E531" t="str">
        <f>PROPER(TRIM(D531))</f>
        <v>Aisha</v>
      </c>
      <c r="F531" t="s">
        <v>20</v>
      </c>
      <c r="G531">
        <v>8</v>
      </c>
      <c r="H531" t="str">
        <f>IF(AND(G531&gt;18, G531&lt;65), "Valid", "Invalid")</f>
        <v>Invalid</v>
      </c>
      <c r="I531" t="s">
        <v>47</v>
      </c>
      <c r="J531" t="str">
        <f>PROPER(TRIM(I531))</f>
        <v>Enugu</v>
      </c>
      <c r="K531" t="s">
        <v>31</v>
      </c>
      <c r="L531" t="str">
        <f>PROPER(TRIM(K531))</f>
        <v>Sports</v>
      </c>
      <c r="M531" t="s">
        <v>32</v>
      </c>
      <c r="N531" t="str">
        <f>PROPER(TRIM(M531))</f>
        <v>Ball</v>
      </c>
      <c r="O531">
        <v>311.42</v>
      </c>
      <c r="P531">
        <v>-2</v>
      </c>
      <c r="Q531">
        <f>IF(P531&lt;1, 1, P531)</f>
        <v>1</v>
      </c>
      <c r="R531">
        <v>5</v>
      </c>
      <c r="S531" t="str">
        <f>IF(OR(R531&lt;0,R531&gt;100),"invalid","Valid")</f>
        <v>Valid</v>
      </c>
      <c r="T531" t="s">
        <v>77</v>
      </c>
      <c r="U531" t="str">
        <f>PROPER(TRIM(T531))</f>
        <v>Cash</v>
      </c>
      <c r="V531" t="s">
        <v>25</v>
      </c>
      <c r="W531" t="str">
        <f t="shared" si="16"/>
        <v>Dan</v>
      </c>
      <c r="X531" t="s">
        <v>33</v>
      </c>
      <c r="Y531">
        <v>4</v>
      </c>
      <c r="Z531" t="str">
        <f>IF(D531="", "Missing", "ok")</f>
        <v>ok</v>
      </c>
      <c r="AA531">
        <f t="shared" si="17"/>
        <v>295.84899999999999</v>
      </c>
    </row>
    <row r="532" spans="1:27" x14ac:dyDescent="0.25">
      <c r="A532" t="s">
        <v>1478</v>
      </c>
      <c r="B532" s="1" t="s">
        <v>205</v>
      </c>
      <c r="C532" t="s">
        <v>1479</v>
      </c>
      <c r="D532" t="s">
        <v>69</v>
      </c>
      <c r="E532" t="str">
        <f>PROPER(TRIM(D532))</f>
        <v>Mary</v>
      </c>
      <c r="F532" t="s">
        <v>46</v>
      </c>
      <c r="G532">
        <v>35</v>
      </c>
      <c r="H532" t="str">
        <f>IF(AND(G532&gt;18, G532&lt;65), "Valid", "Invalid")</f>
        <v>Valid</v>
      </c>
      <c r="I532" t="s">
        <v>38</v>
      </c>
      <c r="J532" t="str">
        <f>PROPER(TRIM(I532))</f>
        <v>Ph</v>
      </c>
      <c r="K532" t="s">
        <v>48</v>
      </c>
      <c r="L532" t="str">
        <f>PROPER(TRIM(K532))</f>
        <v>Groceries</v>
      </c>
      <c r="M532" t="s">
        <v>49</v>
      </c>
      <c r="N532" t="str">
        <f>PROPER(TRIM(M532))</f>
        <v>Rice</v>
      </c>
      <c r="O532">
        <v>487.62</v>
      </c>
      <c r="P532">
        <v>7</v>
      </c>
      <c r="Q532">
        <f>IF(P532&lt;1, 1, P532)</f>
        <v>7</v>
      </c>
      <c r="R532">
        <v>5</v>
      </c>
      <c r="S532" t="str">
        <f>IF(OR(R532&lt;0,R532&gt;100),"invalid","Valid")</f>
        <v>Valid</v>
      </c>
      <c r="T532" t="s">
        <v>77</v>
      </c>
      <c r="U532" t="str">
        <f>PROPER(TRIM(T532))</f>
        <v>Cash</v>
      </c>
      <c r="V532" t="s">
        <v>25</v>
      </c>
      <c r="W532" t="str">
        <f t="shared" si="16"/>
        <v>Dan</v>
      </c>
      <c r="X532" t="s">
        <v>82</v>
      </c>
      <c r="Y532">
        <v>3</v>
      </c>
      <c r="Z532" t="str">
        <f>IF(D532="", "Missing", "ok")</f>
        <v>ok</v>
      </c>
      <c r="AA532">
        <f t="shared" si="17"/>
        <v>3242.6729999999998</v>
      </c>
    </row>
    <row r="533" spans="1:27" x14ac:dyDescent="0.25">
      <c r="A533" t="s">
        <v>1480</v>
      </c>
      <c r="B533" s="1" t="s">
        <v>1481</v>
      </c>
      <c r="C533" t="s">
        <v>1482</v>
      </c>
      <c r="E533" t="str">
        <f>PROPER(TRIM(D533))</f>
        <v/>
      </c>
      <c r="F533" t="s">
        <v>46</v>
      </c>
      <c r="G533">
        <v>130</v>
      </c>
      <c r="H533" t="str">
        <f>IF(AND(G533&gt;18, G533&lt;65), "Valid", "Invalid")</f>
        <v>Invalid</v>
      </c>
      <c r="I533" t="s">
        <v>47</v>
      </c>
      <c r="J533" t="str">
        <f>PROPER(TRIM(I533))</f>
        <v>Enugu</v>
      </c>
      <c r="K533" t="s">
        <v>31</v>
      </c>
      <c r="L533" t="str">
        <f>PROPER(TRIM(K533))</f>
        <v>Sports</v>
      </c>
      <c r="M533" t="s">
        <v>32</v>
      </c>
      <c r="N533" t="str">
        <f>PROPER(TRIM(M533))</f>
        <v>Ball</v>
      </c>
      <c r="O533">
        <v>162.28</v>
      </c>
      <c r="P533">
        <v>7</v>
      </c>
      <c r="Q533">
        <f>IF(P533&lt;1, 1, P533)</f>
        <v>7</v>
      </c>
      <c r="R533">
        <v>10</v>
      </c>
      <c r="S533" t="str">
        <f>IF(OR(R533&lt;0,R533&gt;100),"invalid","Valid")</f>
        <v>Valid</v>
      </c>
      <c r="T533" t="s">
        <v>64</v>
      </c>
      <c r="U533" t="str">
        <f>PROPER(TRIM(T533))</f>
        <v>Transfer</v>
      </c>
      <c r="V533" t="s">
        <v>81</v>
      </c>
      <c r="W533" t="str">
        <f t="shared" si="16"/>
        <v>Ada</v>
      </c>
      <c r="X533" t="s">
        <v>33</v>
      </c>
      <c r="Z533" t="str">
        <f>IF(D533="", "Missing", "ok")</f>
        <v>Missing</v>
      </c>
      <c r="AA533">
        <f t="shared" si="17"/>
        <v>1022.364</v>
      </c>
    </row>
    <row r="534" spans="1:27" x14ac:dyDescent="0.25">
      <c r="A534" t="s">
        <v>1483</v>
      </c>
      <c r="B534" s="1" t="s">
        <v>1272</v>
      </c>
      <c r="C534" t="s">
        <v>1484</v>
      </c>
      <c r="D534" t="s">
        <v>37</v>
      </c>
      <c r="E534" t="str">
        <f>PROPER(TRIM(D534))</f>
        <v>Aisha</v>
      </c>
      <c r="F534" t="s">
        <v>20</v>
      </c>
      <c r="G534">
        <v>49</v>
      </c>
      <c r="H534" t="str">
        <f>IF(AND(G534&gt;18, G534&lt;65), "Valid", "Invalid")</f>
        <v>Valid</v>
      </c>
      <c r="I534" t="s">
        <v>38</v>
      </c>
      <c r="J534" t="str">
        <f>PROPER(TRIM(I534))</f>
        <v>Ph</v>
      </c>
      <c r="K534" t="s">
        <v>39</v>
      </c>
      <c r="L534" t="str">
        <f>PROPER(TRIM(K534))</f>
        <v>Electronics</v>
      </c>
      <c r="M534" t="s">
        <v>40</v>
      </c>
      <c r="N534" t="str">
        <f>PROPER(TRIM(M534))</f>
        <v>Phone</v>
      </c>
      <c r="O534">
        <v>18.66</v>
      </c>
      <c r="P534">
        <v>10</v>
      </c>
      <c r="Q534">
        <f>IF(P534&lt;1, 1, P534)</f>
        <v>10</v>
      </c>
      <c r="R534">
        <v>0</v>
      </c>
      <c r="S534" t="str">
        <f>IF(OR(R534&lt;0,R534&gt;100),"invalid","Valid")</f>
        <v>Valid</v>
      </c>
      <c r="T534" t="s">
        <v>24</v>
      </c>
      <c r="U534" t="str">
        <f>PROPER(TRIM(T534))</f>
        <v>Pos</v>
      </c>
      <c r="V534" t="s">
        <v>81</v>
      </c>
      <c r="W534" t="str">
        <f t="shared" si="16"/>
        <v>Ada</v>
      </c>
      <c r="X534" t="s">
        <v>65</v>
      </c>
      <c r="Y534">
        <v>4</v>
      </c>
      <c r="Z534" t="str">
        <f>IF(D534="", "Missing", "ok")</f>
        <v>ok</v>
      </c>
      <c r="AA534">
        <f t="shared" si="17"/>
        <v>186.6</v>
      </c>
    </row>
    <row r="535" spans="1:27" x14ac:dyDescent="0.25">
      <c r="A535" t="s">
        <v>1485</v>
      </c>
      <c r="B535" s="1" t="s">
        <v>1486</v>
      </c>
      <c r="C535" t="s">
        <v>1487</v>
      </c>
      <c r="D535" t="s">
        <v>45</v>
      </c>
      <c r="E535" t="str">
        <f>PROPER(TRIM(D535))</f>
        <v>James</v>
      </c>
      <c r="F535" t="s">
        <v>20</v>
      </c>
      <c r="G535">
        <v>8</v>
      </c>
      <c r="H535" t="str">
        <f>IF(AND(G535&gt;18, G535&lt;65), "Valid", "Invalid")</f>
        <v>Invalid</v>
      </c>
      <c r="I535" t="s">
        <v>30</v>
      </c>
      <c r="J535" t="str">
        <f>PROPER(TRIM(I535))</f>
        <v>Lagos</v>
      </c>
      <c r="K535" t="s">
        <v>31</v>
      </c>
      <c r="L535" t="str">
        <f>PROPER(TRIM(K535))</f>
        <v>Sports</v>
      </c>
      <c r="M535" t="s">
        <v>32</v>
      </c>
      <c r="N535" t="str">
        <f>PROPER(TRIM(M535))</f>
        <v>Ball</v>
      </c>
      <c r="O535">
        <v>436.27</v>
      </c>
      <c r="P535">
        <v>4</v>
      </c>
      <c r="Q535">
        <f>IF(P535&lt;1, 1, P535)</f>
        <v>4</v>
      </c>
      <c r="R535">
        <v>15</v>
      </c>
      <c r="S535" t="str">
        <f>IF(OR(R535&lt;0,R535&gt;100),"invalid","Valid")</f>
        <v>Valid</v>
      </c>
      <c r="U535" t="str">
        <f>PROPER(TRIM(T535))</f>
        <v/>
      </c>
      <c r="V535" t="s">
        <v>81</v>
      </c>
      <c r="W535" t="str">
        <f t="shared" si="16"/>
        <v>Ada</v>
      </c>
      <c r="X535" t="s">
        <v>33</v>
      </c>
      <c r="Y535">
        <v>3</v>
      </c>
      <c r="Z535" t="str">
        <f>IF(D535="", "Missing", "ok")</f>
        <v>ok</v>
      </c>
      <c r="AA535">
        <f t="shared" si="17"/>
        <v>1483.318</v>
      </c>
    </row>
    <row r="536" spans="1:27" x14ac:dyDescent="0.25">
      <c r="A536" t="s">
        <v>1488</v>
      </c>
      <c r="B536" s="1" t="s">
        <v>1149</v>
      </c>
      <c r="C536" t="s">
        <v>1489</v>
      </c>
      <c r="D536" t="s">
        <v>45</v>
      </c>
      <c r="E536" t="str">
        <f>PROPER(TRIM(D536))</f>
        <v>James</v>
      </c>
      <c r="F536" t="s">
        <v>46</v>
      </c>
      <c r="G536">
        <v>8</v>
      </c>
      <c r="H536" t="str">
        <f>IF(AND(G536&gt;18, G536&lt;65), "Valid", "Invalid")</f>
        <v>Invalid</v>
      </c>
      <c r="I536" t="s">
        <v>53</v>
      </c>
      <c r="J536" t="str">
        <f>PROPER(TRIM(I536))</f>
        <v>Lagos</v>
      </c>
      <c r="K536" t="s">
        <v>22</v>
      </c>
      <c r="L536" t="str">
        <f>PROPER(TRIM(K536))</f>
        <v>Fashion</v>
      </c>
      <c r="M536" t="s">
        <v>23</v>
      </c>
      <c r="N536" t="str">
        <f>PROPER(TRIM(M536))</f>
        <v>Shirt</v>
      </c>
      <c r="O536">
        <v>489.5</v>
      </c>
      <c r="P536">
        <v>-2</v>
      </c>
      <c r="Q536">
        <f>IF(P536&lt;1, 1, P536)</f>
        <v>1</v>
      </c>
      <c r="R536">
        <v>120</v>
      </c>
      <c r="S536" t="str">
        <f>IF(OR(R536&lt;0,R536&gt;100),"invalid","Valid")</f>
        <v>invalid</v>
      </c>
      <c r="T536" t="s">
        <v>24</v>
      </c>
      <c r="U536" t="str">
        <f>PROPER(TRIM(T536))</f>
        <v>Pos</v>
      </c>
      <c r="V536" t="s">
        <v>91</v>
      </c>
      <c r="W536" t="str">
        <f t="shared" si="16"/>
        <v>Ben</v>
      </c>
      <c r="X536" t="s">
        <v>26</v>
      </c>
      <c r="Y536">
        <v>4</v>
      </c>
      <c r="Z536" t="str">
        <f>IF(D536="", "Missing", "ok")</f>
        <v>ok</v>
      </c>
      <c r="AA536">
        <f t="shared" si="17"/>
        <v>-97.899999999999977</v>
      </c>
    </row>
    <row r="537" spans="1:27" x14ac:dyDescent="0.25">
      <c r="A537" t="s">
        <v>1490</v>
      </c>
      <c r="B537" s="1" t="s">
        <v>1491</v>
      </c>
      <c r="C537" t="s">
        <v>1492</v>
      </c>
      <c r="D537" t="s">
        <v>117</v>
      </c>
      <c r="E537" t="str">
        <f>PROPER(TRIM(D537))</f>
        <v>David</v>
      </c>
      <c r="F537" t="s">
        <v>46</v>
      </c>
      <c r="G537">
        <v>18</v>
      </c>
      <c r="H537" t="str">
        <f>IF(AND(G537&gt;18, G537&lt;65), "Valid", "Invalid")</f>
        <v>Invalid</v>
      </c>
      <c r="I537" t="s">
        <v>70</v>
      </c>
      <c r="J537" t="str">
        <f>PROPER(TRIM(I537))</f>
        <v>Abuja</v>
      </c>
      <c r="K537" t="s">
        <v>22</v>
      </c>
      <c r="L537" t="str">
        <f>PROPER(TRIM(K537))</f>
        <v>Fashion</v>
      </c>
      <c r="M537" t="s">
        <v>23</v>
      </c>
      <c r="N537" t="str">
        <f>PROPER(TRIM(M537))</f>
        <v>Shirt</v>
      </c>
      <c r="O537">
        <v>105.44</v>
      </c>
      <c r="P537">
        <v>9</v>
      </c>
      <c r="Q537">
        <f>IF(P537&lt;1, 1, P537)</f>
        <v>9</v>
      </c>
      <c r="R537">
        <v>120</v>
      </c>
      <c r="S537" t="str">
        <f>IF(OR(R537&lt;0,R537&gt;100),"invalid","Valid")</f>
        <v>invalid</v>
      </c>
      <c r="T537" t="s">
        <v>64</v>
      </c>
      <c r="U537" t="str">
        <f>PROPER(TRIM(T537))</f>
        <v>Transfer</v>
      </c>
      <c r="V537" t="s">
        <v>25</v>
      </c>
      <c r="W537" t="str">
        <f t="shared" si="16"/>
        <v>Dan</v>
      </c>
      <c r="X537" t="s">
        <v>26</v>
      </c>
      <c r="Y537">
        <v>4</v>
      </c>
      <c r="Z537" t="str">
        <f>IF(D537="", "Missing", "ok")</f>
        <v>ok</v>
      </c>
      <c r="AA537">
        <f t="shared" si="17"/>
        <v>-189.79199999999997</v>
      </c>
    </row>
    <row r="538" spans="1:27" x14ac:dyDescent="0.25">
      <c r="A538" t="s">
        <v>1493</v>
      </c>
      <c r="B538" s="1" t="s">
        <v>523</v>
      </c>
      <c r="C538" t="s">
        <v>1494</v>
      </c>
      <c r="E538" t="str">
        <f>PROPER(TRIM(D538))</f>
        <v/>
      </c>
      <c r="F538" t="s">
        <v>20</v>
      </c>
      <c r="G538">
        <v>44</v>
      </c>
      <c r="H538" t="str">
        <f>IF(AND(G538&gt;18, G538&lt;65), "Valid", "Invalid")</f>
        <v>Valid</v>
      </c>
      <c r="I538" t="s">
        <v>30</v>
      </c>
      <c r="J538" t="str">
        <f>PROPER(TRIM(I538))</f>
        <v>Lagos</v>
      </c>
      <c r="K538" t="s">
        <v>87</v>
      </c>
      <c r="L538" t="str">
        <f>PROPER(TRIM(K538))</f>
        <v>Groceris</v>
      </c>
      <c r="M538" t="s">
        <v>49</v>
      </c>
      <c r="N538" t="str">
        <f>PROPER(TRIM(M538))</f>
        <v>Rice</v>
      </c>
      <c r="O538">
        <v>7.49</v>
      </c>
      <c r="P538">
        <v>-2</v>
      </c>
      <c r="Q538">
        <f>IF(P538&lt;1, 1, P538)</f>
        <v>1</v>
      </c>
      <c r="R538">
        <v>0</v>
      </c>
      <c r="S538" t="str">
        <f>IF(OR(R538&lt;0,R538&gt;100),"invalid","Valid")</f>
        <v>Valid</v>
      </c>
      <c r="T538" t="s">
        <v>59</v>
      </c>
      <c r="U538" t="str">
        <f>PROPER(TRIM(T538))</f>
        <v>Mobile Money</v>
      </c>
      <c r="V538" t="s">
        <v>91</v>
      </c>
      <c r="W538" t="str">
        <f t="shared" si="16"/>
        <v>Ben</v>
      </c>
      <c r="X538" t="s">
        <v>82</v>
      </c>
      <c r="Y538">
        <v>5</v>
      </c>
      <c r="Z538" t="str">
        <f>IF(D538="", "Missing", "ok")</f>
        <v>Missing</v>
      </c>
      <c r="AA538">
        <f t="shared" si="17"/>
        <v>7.49</v>
      </c>
    </row>
    <row r="539" spans="1:27" x14ac:dyDescent="0.25">
      <c r="A539" t="s">
        <v>1495</v>
      </c>
      <c r="B539" s="1" t="s">
        <v>354</v>
      </c>
      <c r="C539" t="s">
        <v>1496</v>
      </c>
      <c r="D539" t="s">
        <v>117</v>
      </c>
      <c r="E539" t="str">
        <f>PROPER(TRIM(D539))</f>
        <v>David</v>
      </c>
      <c r="F539" t="s">
        <v>46</v>
      </c>
      <c r="G539">
        <v>130</v>
      </c>
      <c r="H539" t="str">
        <f>IF(AND(G539&gt;18, G539&lt;65), "Valid", "Invalid")</f>
        <v>Invalid</v>
      </c>
      <c r="I539" t="s">
        <v>53</v>
      </c>
      <c r="J539" t="str">
        <f>PROPER(TRIM(I539))</f>
        <v>Lagos</v>
      </c>
      <c r="K539" t="s">
        <v>121</v>
      </c>
      <c r="L539" t="str">
        <f>PROPER(TRIM(K539))</f>
        <v>Beauty</v>
      </c>
      <c r="M539" t="s">
        <v>122</v>
      </c>
      <c r="N539" t="str">
        <f>PROPER(TRIM(M539))</f>
        <v>Cream</v>
      </c>
      <c r="O539">
        <v>454.55</v>
      </c>
      <c r="P539">
        <v>5</v>
      </c>
      <c r="Q539">
        <f>IF(P539&lt;1, 1, P539)</f>
        <v>5</v>
      </c>
      <c r="R539">
        <v>5</v>
      </c>
      <c r="S539" t="str">
        <f>IF(OR(R539&lt;0,R539&gt;100),"invalid","Valid")</f>
        <v>Valid</v>
      </c>
      <c r="T539" t="s">
        <v>64</v>
      </c>
      <c r="U539" t="str">
        <f>PROPER(TRIM(T539))</f>
        <v>Transfer</v>
      </c>
      <c r="V539" t="s">
        <v>91</v>
      </c>
      <c r="W539" t="str">
        <f t="shared" si="16"/>
        <v>Ben</v>
      </c>
      <c r="X539" t="s">
        <v>26</v>
      </c>
      <c r="Y539">
        <v>1</v>
      </c>
      <c r="Z539" t="str">
        <f>IF(D539="", "Missing", "ok")</f>
        <v>ok</v>
      </c>
      <c r="AA539">
        <f t="shared" si="17"/>
        <v>2159.1124999999997</v>
      </c>
    </row>
    <row r="540" spans="1:27" x14ac:dyDescent="0.25">
      <c r="A540" t="s">
        <v>1497</v>
      </c>
      <c r="B540" s="1" t="s">
        <v>1309</v>
      </c>
      <c r="C540" t="s">
        <v>1498</v>
      </c>
      <c r="E540" t="str">
        <f>PROPER(TRIM(D540))</f>
        <v/>
      </c>
      <c r="F540" t="s">
        <v>20</v>
      </c>
      <c r="G540">
        <v>130</v>
      </c>
      <c r="H540" t="str">
        <f>IF(AND(G540&gt;18, G540&lt;65), "Valid", "Invalid")</f>
        <v>Invalid</v>
      </c>
      <c r="I540" t="s">
        <v>70</v>
      </c>
      <c r="J540" t="str">
        <f>PROPER(TRIM(I540))</f>
        <v>Abuja</v>
      </c>
      <c r="K540" t="s">
        <v>31</v>
      </c>
      <c r="L540" t="str">
        <f>PROPER(TRIM(K540))</f>
        <v>Sports</v>
      </c>
      <c r="M540" t="s">
        <v>32</v>
      </c>
      <c r="N540" t="str">
        <f>PROPER(TRIM(M540))</f>
        <v>Ball</v>
      </c>
      <c r="O540">
        <v>498.95</v>
      </c>
      <c r="P540">
        <v>2</v>
      </c>
      <c r="Q540">
        <f>IF(P540&lt;1, 1, P540)</f>
        <v>2</v>
      </c>
      <c r="R540">
        <v>120</v>
      </c>
      <c r="S540" t="str">
        <f>IF(OR(R540&lt;0,R540&gt;100),"invalid","Valid")</f>
        <v>invalid</v>
      </c>
      <c r="T540" t="s">
        <v>24</v>
      </c>
      <c r="U540" t="str">
        <f>PROPER(TRIM(T540))</f>
        <v>Pos</v>
      </c>
      <c r="V540" t="s">
        <v>91</v>
      </c>
      <c r="W540" t="str">
        <f t="shared" si="16"/>
        <v>Ben</v>
      </c>
      <c r="X540" t="s">
        <v>65</v>
      </c>
      <c r="Y540">
        <v>3</v>
      </c>
      <c r="Z540" t="str">
        <f>IF(D540="", "Missing", "ok")</f>
        <v>Missing</v>
      </c>
      <c r="AA540">
        <f t="shared" si="17"/>
        <v>-199.57999999999996</v>
      </c>
    </row>
    <row r="541" spans="1:27" x14ac:dyDescent="0.25">
      <c r="A541" t="s">
        <v>1499</v>
      </c>
      <c r="B541" s="1" t="s">
        <v>677</v>
      </c>
      <c r="C541" t="s">
        <v>1500</v>
      </c>
      <c r="D541" t="s">
        <v>19</v>
      </c>
      <c r="E541" t="str">
        <f>PROPER(TRIM(D541))</f>
        <v>Peter</v>
      </c>
      <c r="F541" t="s">
        <v>20</v>
      </c>
      <c r="G541">
        <v>8</v>
      </c>
      <c r="H541" t="str">
        <f>IF(AND(G541&gt;18, G541&lt;65), "Valid", "Invalid")</f>
        <v>Invalid</v>
      </c>
      <c r="I541" t="s">
        <v>70</v>
      </c>
      <c r="J541" t="str">
        <f>PROPER(TRIM(I541))</f>
        <v>Abuja</v>
      </c>
      <c r="K541" t="s">
        <v>121</v>
      </c>
      <c r="L541" t="str">
        <f>PROPER(TRIM(K541))</f>
        <v>Beauty</v>
      </c>
      <c r="M541" t="s">
        <v>122</v>
      </c>
      <c r="N541" t="str">
        <f>PROPER(TRIM(M541))</f>
        <v>Cream</v>
      </c>
      <c r="O541">
        <v>407.17</v>
      </c>
      <c r="P541">
        <v>8</v>
      </c>
      <c r="Q541">
        <f>IF(P541&lt;1, 1, P541)</f>
        <v>8</v>
      </c>
      <c r="R541">
        <v>15</v>
      </c>
      <c r="S541" t="str">
        <f>IF(OR(R541&lt;0,R541&gt;100),"invalid","Valid")</f>
        <v>Valid</v>
      </c>
      <c r="T541" t="s">
        <v>64</v>
      </c>
      <c r="U541" t="str">
        <f>PROPER(TRIM(T541))</f>
        <v>Transfer</v>
      </c>
      <c r="V541" t="s">
        <v>91</v>
      </c>
      <c r="W541" t="str">
        <f t="shared" si="16"/>
        <v>Ben</v>
      </c>
      <c r="X541" t="s">
        <v>65</v>
      </c>
      <c r="Y541">
        <v>5</v>
      </c>
      <c r="Z541" t="str">
        <f>IF(D541="", "Missing", "ok")</f>
        <v>ok</v>
      </c>
      <c r="AA541">
        <f t="shared" si="17"/>
        <v>2768.7559999999999</v>
      </c>
    </row>
    <row r="542" spans="1:27" x14ac:dyDescent="0.25">
      <c r="A542" t="s">
        <v>1501</v>
      </c>
      <c r="B542" s="1" t="s">
        <v>631</v>
      </c>
      <c r="C542" t="s">
        <v>1502</v>
      </c>
      <c r="E542" t="str">
        <f>PROPER(TRIM(D542))</f>
        <v/>
      </c>
      <c r="F542" t="s">
        <v>46</v>
      </c>
      <c r="G542">
        <v>50</v>
      </c>
      <c r="H542" t="str">
        <f>IF(AND(G542&gt;18, G542&lt;65), "Valid", "Invalid")</f>
        <v>Valid</v>
      </c>
      <c r="I542" t="s">
        <v>47</v>
      </c>
      <c r="J542" t="str">
        <f>PROPER(TRIM(I542))</f>
        <v>Enugu</v>
      </c>
      <c r="K542" t="s">
        <v>87</v>
      </c>
      <c r="L542" t="str">
        <f>PROPER(TRIM(K542))</f>
        <v>Groceris</v>
      </c>
      <c r="M542" t="s">
        <v>49</v>
      </c>
      <c r="N542" t="str">
        <f>PROPER(TRIM(M542))</f>
        <v>Rice</v>
      </c>
      <c r="O542">
        <v>356.41</v>
      </c>
      <c r="P542">
        <v>3</v>
      </c>
      <c r="Q542">
        <f>IF(P542&lt;1, 1, P542)</f>
        <v>3</v>
      </c>
      <c r="R542">
        <v>5</v>
      </c>
      <c r="S542" t="str">
        <f>IF(OR(R542&lt;0,R542&gt;100),"invalid","Valid")</f>
        <v>Valid</v>
      </c>
      <c r="T542" t="s">
        <v>77</v>
      </c>
      <c r="U542" t="str">
        <f>PROPER(TRIM(T542))</f>
        <v>Cash</v>
      </c>
      <c r="V542" t="s">
        <v>25</v>
      </c>
      <c r="W542" t="str">
        <f t="shared" si="16"/>
        <v>Dan</v>
      </c>
      <c r="X542" t="s">
        <v>65</v>
      </c>
      <c r="Z542" t="str">
        <f>IF(D542="", "Missing", "ok")</f>
        <v>Missing</v>
      </c>
      <c r="AA542">
        <f t="shared" si="17"/>
        <v>1015.7685</v>
      </c>
    </row>
    <row r="543" spans="1:27" x14ac:dyDescent="0.25">
      <c r="A543" t="s">
        <v>1503</v>
      </c>
      <c r="B543" s="1" t="s">
        <v>1504</v>
      </c>
      <c r="C543" t="s">
        <v>1505</v>
      </c>
      <c r="D543" t="s">
        <v>117</v>
      </c>
      <c r="E543" t="str">
        <f>PROPER(TRIM(D543))</f>
        <v>David</v>
      </c>
      <c r="F543" t="s">
        <v>46</v>
      </c>
      <c r="G543">
        <v>8</v>
      </c>
      <c r="H543" t="str">
        <f>IF(AND(G543&gt;18, G543&lt;65), "Valid", "Invalid")</f>
        <v>Invalid</v>
      </c>
      <c r="I543" t="s">
        <v>70</v>
      </c>
      <c r="J543" t="str">
        <f>PROPER(TRIM(I543))</f>
        <v>Abuja</v>
      </c>
      <c r="K543" t="s">
        <v>54</v>
      </c>
      <c r="L543" t="str">
        <f>PROPER(TRIM(K543))</f>
        <v>Home</v>
      </c>
      <c r="M543" t="s">
        <v>55</v>
      </c>
      <c r="N543" t="str">
        <f>PROPER(TRIM(M543))</f>
        <v>Chair</v>
      </c>
      <c r="O543">
        <v>291.75</v>
      </c>
      <c r="P543">
        <v>5</v>
      </c>
      <c r="Q543">
        <f>IF(P543&lt;1, 1, P543)</f>
        <v>5</v>
      </c>
      <c r="R543">
        <v>10</v>
      </c>
      <c r="S543" t="str">
        <f>IF(OR(R543&lt;0,R543&gt;100),"invalid","Valid")</f>
        <v>Valid</v>
      </c>
      <c r="T543" t="s">
        <v>64</v>
      </c>
      <c r="U543" t="str">
        <f>PROPER(TRIM(T543))</f>
        <v>Transfer</v>
      </c>
      <c r="V543" t="s">
        <v>81</v>
      </c>
      <c r="W543" t="str">
        <f t="shared" si="16"/>
        <v>Ada</v>
      </c>
      <c r="X543" t="s">
        <v>33</v>
      </c>
      <c r="Y543">
        <v>2</v>
      </c>
      <c r="Z543" t="str">
        <f>IF(D543="", "Missing", "ok")</f>
        <v>ok</v>
      </c>
      <c r="AA543">
        <f t="shared" si="17"/>
        <v>1312.875</v>
      </c>
    </row>
    <row r="544" spans="1:27" x14ac:dyDescent="0.25">
      <c r="A544" t="s">
        <v>1506</v>
      </c>
      <c r="B544" s="1" t="s">
        <v>1507</v>
      </c>
      <c r="C544" t="s">
        <v>1133</v>
      </c>
      <c r="D544" t="s">
        <v>69</v>
      </c>
      <c r="E544" t="str">
        <f>PROPER(TRIM(D544))</f>
        <v>Mary</v>
      </c>
      <c r="F544" t="s">
        <v>20</v>
      </c>
      <c r="G544">
        <v>8</v>
      </c>
      <c r="H544" t="str">
        <f>IF(AND(G544&gt;18, G544&lt;65), "Valid", "Invalid")</f>
        <v>Invalid</v>
      </c>
      <c r="I544" t="s">
        <v>86</v>
      </c>
      <c r="J544" t="str">
        <f>PROPER(TRIM(I544))</f>
        <v>Kano</v>
      </c>
      <c r="K544" t="s">
        <v>87</v>
      </c>
      <c r="L544" t="str">
        <f>PROPER(TRIM(K544))</f>
        <v>Groceris</v>
      </c>
      <c r="M544" t="s">
        <v>49</v>
      </c>
      <c r="N544" t="str">
        <f>PROPER(TRIM(M544))</f>
        <v>Rice</v>
      </c>
      <c r="O544">
        <v>182.38</v>
      </c>
      <c r="P544">
        <v>2</v>
      </c>
      <c r="Q544">
        <f>IF(P544&lt;1, 1, P544)</f>
        <v>2</v>
      </c>
      <c r="R544">
        <v>10</v>
      </c>
      <c r="S544" t="str">
        <f>IF(OR(R544&lt;0,R544&gt;100),"invalid","Valid")</f>
        <v>Valid</v>
      </c>
      <c r="T544" t="s">
        <v>64</v>
      </c>
      <c r="U544" t="str">
        <f>PROPER(TRIM(T544))</f>
        <v>Transfer</v>
      </c>
      <c r="V544" t="s">
        <v>25</v>
      </c>
      <c r="W544" t="str">
        <f t="shared" si="16"/>
        <v>Dan</v>
      </c>
      <c r="X544" t="s">
        <v>26</v>
      </c>
      <c r="Y544">
        <v>1</v>
      </c>
      <c r="Z544" t="str">
        <f>IF(D544="", "Missing", "ok")</f>
        <v>ok</v>
      </c>
      <c r="AA544">
        <f t="shared" si="17"/>
        <v>328.28399999999999</v>
      </c>
    </row>
    <row r="545" spans="1:27" x14ac:dyDescent="0.25">
      <c r="A545" t="s">
        <v>1508</v>
      </c>
      <c r="B545" s="1" t="s">
        <v>1509</v>
      </c>
      <c r="C545" t="s">
        <v>1510</v>
      </c>
      <c r="D545" t="s">
        <v>45</v>
      </c>
      <c r="E545" t="str">
        <f>PROPER(TRIM(D545))</f>
        <v>James</v>
      </c>
      <c r="F545" t="s">
        <v>46</v>
      </c>
      <c r="G545">
        <v>130</v>
      </c>
      <c r="H545" t="str">
        <f>IF(AND(G545&gt;18, G545&lt;65), "Valid", "Invalid")</f>
        <v>Invalid</v>
      </c>
      <c r="I545" t="s">
        <v>30</v>
      </c>
      <c r="J545" t="str">
        <f>PROPER(TRIM(I545))</f>
        <v>Lagos</v>
      </c>
      <c r="K545" t="s">
        <v>39</v>
      </c>
      <c r="L545" t="str">
        <f>PROPER(TRIM(K545))</f>
        <v>Electronics</v>
      </c>
      <c r="M545" t="s">
        <v>40</v>
      </c>
      <c r="N545" t="str">
        <f>PROPER(TRIM(M545))</f>
        <v>Phone</v>
      </c>
      <c r="O545">
        <v>211.02</v>
      </c>
      <c r="P545">
        <v>-2</v>
      </c>
      <c r="Q545">
        <f>IF(P545&lt;1, 1, P545)</f>
        <v>1</v>
      </c>
      <c r="R545">
        <v>5</v>
      </c>
      <c r="S545" t="str">
        <f>IF(OR(R545&lt;0,R545&gt;100),"invalid","Valid")</f>
        <v>Valid</v>
      </c>
      <c r="T545" t="s">
        <v>64</v>
      </c>
      <c r="U545" t="str">
        <f>PROPER(TRIM(T545))</f>
        <v>Transfer</v>
      </c>
      <c r="V545" t="s">
        <v>25</v>
      </c>
      <c r="W545" t="str">
        <f t="shared" si="16"/>
        <v>Dan</v>
      </c>
      <c r="X545" t="s">
        <v>65</v>
      </c>
      <c r="Y545">
        <v>5</v>
      </c>
      <c r="Z545" t="str">
        <f>IF(D545="", "Missing", "ok")</f>
        <v>ok</v>
      </c>
      <c r="AA545">
        <f t="shared" si="17"/>
        <v>200.46899999999999</v>
      </c>
    </row>
    <row r="546" spans="1:27" x14ac:dyDescent="0.25">
      <c r="A546" t="s">
        <v>1511</v>
      </c>
      <c r="B546" s="1" t="s">
        <v>1512</v>
      </c>
      <c r="C546" t="s">
        <v>1513</v>
      </c>
      <c r="D546" t="s">
        <v>19</v>
      </c>
      <c r="E546" t="str">
        <f>PROPER(TRIM(D546))</f>
        <v>Peter</v>
      </c>
      <c r="F546" t="s">
        <v>20</v>
      </c>
      <c r="G546">
        <v>8</v>
      </c>
      <c r="H546" t="str">
        <f>IF(AND(G546&gt;18, G546&lt;65), "Valid", "Invalid")</f>
        <v>Invalid</v>
      </c>
      <c r="I546" t="s">
        <v>30</v>
      </c>
      <c r="J546" t="str">
        <f>PROPER(TRIM(I546))</f>
        <v>Lagos</v>
      </c>
      <c r="K546" t="s">
        <v>31</v>
      </c>
      <c r="L546" t="str">
        <f>PROPER(TRIM(K546))</f>
        <v>Sports</v>
      </c>
      <c r="M546" t="s">
        <v>32</v>
      </c>
      <c r="N546" t="str">
        <f>PROPER(TRIM(M546))</f>
        <v>Ball</v>
      </c>
      <c r="O546">
        <v>448.17</v>
      </c>
      <c r="P546">
        <v>-2</v>
      </c>
      <c r="Q546">
        <f>IF(P546&lt;1, 1, P546)</f>
        <v>1</v>
      </c>
      <c r="R546">
        <v>-10</v>
      </c>
      <c r="S546" t="str">
        <f>IF(OR(R546&lt;0,R546&gt;100),"invalid","Valid")</f>
        <v>invalid</v>
      </c>
      <c r="T546" t="s">
        <v>59</v>
      </c>
      <c r="U546" t="str">
        <f>PROPER(TRIM(T546))</f>
        <v>Mobile Money</v>
      </c>
      <c r="V546" t="s">
        <v>81</v>
      </c>
      <c r="W546" t="str">
        <f t="shared" si="16"/>
        <v>Ada</v>
      </c>
      <c r="X546" t="s">
        <v>26</v>
      </c>
      <c r="Z546" t="str">
        <f>IF(D546="", "Missing", "ok")</f>
        <v>ok</v>
      </c>
      <c r="AA546">
        <f t="shared" si="17"/>
        <v>492.98700000000008</v>
      </c>
    </row>
    <row r="547" spans="1:27" x14ac:dyDescent="0.25">
      <c r="A547" t="s">
        <v>1514</v>
      </c>
      <c r="B547" s="1" t="s">
        <v>866</v>
      </c>
      <c r="C547" t="s">
        <v>1515</v>
      </c>
      <c r="D547" t="s">
        <v>45</v>
      </c>
      <c r="E547" t="str">
        <f>PROPER(TRIM(D547))</f>
        <v>James</v>
      </c>
      <c r="F547" t="s">
        <v>20</v>
      </c>
      <c r="G547">
        <v>130</v>
      </c>
      <c r="H547" t="str">
        <f>IF(AND(G547&gt;18, G547&lt;65), "Valid", "Invalid")</f>
        <v>Invalid</v>
      </c>
      <c r="I547" t="s">
        <v>21</v>
      </c>
      <c r="J547" t="str">
        <f>PROPER(TRIM(I547))</f>
        <v>Lagos</v>
      </c>
      <c r="K547" t="s">
        <v>48</v>
      </c>
      <c r="L547" t="str">
        <f>PROPER(TRIM(K547))</f>
        <v>Groceries</v>
      </c>
      <c r="M547" t="s">
        <v>49</v>
      </c>
      <c r="N547" t="str">
        <f>PROPER(TRIM(M547))</f>
        <v>Rice</v>
      </c>
      <c r="O547">
        <v>42.28</v>
      </c>
      <c r="P547">
        <v>5</v>
      </c>
      <c r="Q547">
        <f>IF(P547&lt;1, 1, P547)</f>
        <v>5</v>
      </c>
      <c r="R547">
        <v>5</v>
      </c>
      <c r="S547" t="str">
        <f>IF(OR(R547&lt;0,R547&gt;100),"invalid","Valid")</f>
        <v>Valid</v>
      </c>
      <c r="T547" t="s">
        <v>59</v>
      </c>
      <c r="U547" t="str">
        <f>PROPER(TRIM(T547))</f>
        <v>Mobile Money</v>
      </c>
      <c r="V547" t="s">
        <v>25</v>
      </c>
      <c r="W547" t="str">
        <f t="shared" si="16"/>
        <v>Dan</v>
      </c>
      <c r="X547" t="s">
        <v>33</v>
      </c>
      <c r="Y547">
        <v>2</v>
      </c>
      <c r="Z547" t="str">
        <f>IF(D547="", "Missing", "ok")</f>
        <v>ok</v>
      </c>
      <c r="AA547">
        <f t="shared" si="17"/>
        <v>200.82999999999998</v>
      </c>
    </row>
    <row r="548" spans="1:27" x14ac:dyDescent="0.25">
      <c r="A548" t="s">
        <v>1516</v>
      </c>
      <c r="B548" s="1" t="s">
        <v>1517</v>
      </c>
      <c r="C548" t="s">
        <v>1518</v>
      </c>
      <c r="D548" t="s">
        <v>37</v>
      </c>
      <c r="E548" t="str">
        <f>PROPER(TRIM(D548))</f>
        <v>Aisha</v>
      </c>
      <c r="F548" t="s">
        <v>46</v>
      </c>
      <c r="G548">
        <v>8</v>
      </c>
      <c r="H548" t="str">
        <f>IF(AND(G548&gt;18, G548&lt;65), "Valid", "Invalid")</f>
        <v>Invalid</v>
      </c>
      <c r="I548" t="s">
        <v>86</v>
      </c>
      <c r="J548" t="str">
        <f>PROPER(TRIM(I548))</f>
        <v>Kano</v>
      </c>
      <c r="K548" t="s">
        <v>54</v>
      </c>
      <c r="L548" t="str">
        <f>PROPER(TRIM(K548))</f>
        <v>Home</v>
      </c>
      <c r="M548" t="s">
        <v>55</v>
      </c>
      <c r="N548" t="str">
        <f>PROPER(TRIM(M548))</f>
        <v>Chair</v>
      </c>
      <c r="O548">
        <v>261.45</v>
      </c>
      <c r="P548">
        <v>5</v>
      </c>
      <c r="Q548">
        <f>IF(P548&lt;1, 1, P548)</f>
        <v>5</v>
      </c>
      <c r="R548">
        <v>120</v>
      </c>
      <c r="S548" t="str">
        <f>IF(OR(R548&lt;0,R548&gt;100),"invalid","Valid")</f>
        <v>invalid</v>
      </c>
      <c r="T548" t="s">
        <v>64</v>
      </c>
      <c r="U548" t="str">
        <f>PROPER(TRIM(T548))</f>
        <v>Transfer</v>
      </c>
      <c r="V548" t="s">
        <v>41</v>
      </c>
      <c r="W548" t="str">
        <f t="shared" si="16"/>
        <v>Chi</v>
      </c>
      <c r="X548" t="s">
        <v>82</v>
      </c>
      <c r="Y548">
        <v>2</v>
      </c>
      <c r="Z548" t="str">
        <f>IF(D548="", "Missing", "ok")</f>
        <v>ok</v>
      </c>
      <c r="AA548">
        <f t="shared" si="17"/>
        <v>-261.44999999999993</v>
      </c>
    </row>
    <row r="549" spans="1:27" x14ac:dyDescent="0.25">
      <c r="A549" t="s">
        <v>1519</v>
      </c>
      <c r="B549" s="1" t="s">
        <v>103</v>
      </c>
      <c r="C549" t="s">
        <v>1520</v>
      </c>
      <c r="D549" t="s">
        <v>63</v>
      </c>
      <c r="E549" t="str">
        <f>PROPER(TRIM(D549))</f>
        <v>John</v>
      </c>
      <c r="F549" t="s">
        <v>20</v>
      </c>
      <c r="G549">
        <v>60</v>
      </c>
      <c r="H549" t="str">
        <f>IF(AND(G549&gt;18, G549&lt;65), "Valid", "Invalid")</f>
        <v>Valid</v>
      </c>
      <c r="I549" t="s">
        <v>21</v>
      </c>
      <c r="J549" t="str">
        <f>PROPER(TRIM(I549))</f>
        <v>Lagos</v>
      </c>
      <c r="K549" t="s">
        <v>54</v>
      </c>
      <c r="L549" t="str">
        <f>PROPER(TRIM(K549))</f>
        <v>Home</v>
      </c>
      <c r="M549" t="s">
        <v>55</v>
      </c>
      <c r="N549" t="str">
        <f>PROPER(TRIM(M549))</f>
        <v>Chair</v>
      </c>
      <c r="O549">
        <v>97.59</v>
      </c>
      <c r="P549">
        <v>-2</v>
      </c>
      <c r="Q549">
        <f>IF(P549&lt;1, 1, P549)</f>
        <v>1</v>
      </c>
      <c r="R549">
        <v>0</v>
      </c>
      <c r="S549" t="str">
        <f>IF(OR(R549&lt;0,R549&gt;100),"invalid","Valid")</f>
        <v>Valid</v>
      </c>
      <c r="T549" t="s">
        <v>64</v>
      </c>
      <c r="U549" t="str">
        <f>PROPER(TRIM(T549))</f>
        <v>Transfer</v>
      </c>
      <c r="V549" t="s">
        <v>25</v>
      </c>
      <c r="W549" t="str">
        <f t="shared" si="16"/>
        <v>Dan</v>
      </c>
      <c r="X549" t="s">
        <v>65</v>
      </c>
      <c r="Y549">
        <v>5</v>
      </c>
      <c r="Z549" t="str">
        <f>IF(D549="", "Missing", "ok")</f>
        <v>ok</v>
      </c>
      <c r="AA549">
        <f t="shared" si="17"/>
        <v>97.59</v>
      </c>
    </row>
    <row r="550" spans="1:27" x14ac:dyDescent="0.25">
      <c r="A550" t="s">
        <v>1521</v>
      </c>
      <c r="B550" s="1" t="s">
        <v>914</v>
      </c>
      <c r="C550" t="s">
        <v>1522</v>
      </c>
      <c r="D550" t="s">
        <v>37</v>
      </c>
      <c r="E550" t="str">
        <f>PROPER(TRIM(D550))</f>
        <v>Aisha</v>
      </c>
      <c r="F550" t="s">
        <v>20</v>
      </c>
      <c r="G550">
        <v>130</v>
      </c>
      <c r="H550" t="str">
        <f>IF(AND(G550&gt;18, G550&lt;65), "Valid", "Invalid")</f>
        <v>Invalid</v>
      </c>
      <c r="I550" t="s">
        <v>38</v>
      </c>
      <c r="J550" t="str">
        <f>PROPER(TRIM(I550))</f>
        <v>Ph</v>
      </c>
      <c r="K550" t="s">
        <v>54</v>
      </c>
      <c r="L550" t="str">
        <f>PROPER(TRIM(K550))</f>
        <v>Home</v>
      </c>
      <c r="M550" t="s">
        <v>55</v>
      </c>
      <c r="N550" t="str">
        <f>PROPER(TRIM(M550))</f>
        <v>Chair</v>
      </c>
      <c r="O550">
        <v>403.7</v>
      </c>
      <c r="P550">
        <v>3</v>
      </c>
      <c r="Q550">
        <f>IF(P550&lt;1, 1, P550)</f>
        <v>3</v>
      </c>
      <c r="R550">
        <v>15</v>
      </c>
      <c r="S550" t="str">
        <f>IF(OR(R550&lt;0,R550&gt;100),"invalid","Valid")</f>
        <v>Valid</v>
      </c>
      <c r="T550" t="s">
        <v>24</v>
      </c>
      <c r="U550" t="str">
        <f>PROPER(TRIM(T550))</f>
        <v>Pos</v>
      </c>
      <c r="V550" t="s">
        <v>91</v>
      </c>
      <c r="W550" t="str">
        <f t="shared" si="16"/>
        <v>Ben</v>
      </c>
      <c r="X550" t="s">
        <v>26</v>
      </c>
      <c r="Y550">
        <v>3</v>
      </c>
      <c r="Z550" t="str">
        <f>IF(D550="", "Missing", "ok")</f>
        <v>ok</v>
      </c>
      <c r="AA550">
        <f t="shared" si="17"/>
        <v>1029.4349999999999</v>
      </c>
    </row>
    <row r="551" spans="1:27" x14ac:dyDescent="0.25">
      <c r="A551" t="s">
        <v>1523</v>
      </c>
      <c r="B551" s="1" t="s">
        <v>1524</v>
      </c>
      <c r="C551" t="s">
        <v>1525</v>
      </c>
      <c r="D551" t="s">
        <v>101</v>
      </c>
      <c r="E551" t="str">
        <f>PROPER(TRIM(D551))</f>
        <v>Grace</v>
      </c>
      <c r="F551" t="s">
        <v>20</v>
      </c>
      <c r="G551">
        <v>18</v>
      </c>
      <c r="H551" t="str">
        <f>IF(AND(G551&gt;18, G551&lt;65), "Valid", "Invalid")</f>
        <v>Invalid</v>
      </c>
      <c r="I551" t="s">
        <v>53</v>
      </c>
      <c r="J551" t="str">
        <f>PROPER(TRIM(I551))</f>
        <v>Lagos</v>
      </c>
      <c r="K551" t="s">
        <v>22</v>
      </c>
      <c r="L551" t="str">
        <f>PROPER(TRIM(K551))</f>
        <v>Fashion</v>
      </c>
      <c r="M551" t="s">
        <v>23</v>
      </c>
      <c r="N551" t="str">
        <f>PROPER(TRIM(M551))</f>
        <v>Shirt</v>
      </c>
      <c r="O551">
        <v>468.77</v>
      </c>
      <c r="P551">
        <v>9</v>
      </c>
      <c r="Q551">
        <f>IF(P551&lt;1, 1, P551)</f>
        <v>9</v>
      </c>
      <c r="R551">
        <v>10</v>
      </c>
      <c r="S551" t="str">
        <f>IF(OR(R551&lt;0,R551&gt;100),"invalid","Valid")</f>
        <v>Valid</v>
      </c>
      <c r="T551" t="s">
        <v>77</v>
      </c>
      <c r="U551" t="str">
        <f>PROPER(TRIM(T551))</f>
        <v>Cash</v>
      </c>
      <c r="V551" t="s">
        <v>81</v>
      </c>
      <c r="W551" t="str">
        <f t="shared" si="16"/>
        <v>Ada</v>
      </c>
      <c r="X551" t="s">
        <v>33</v>
      </c>
      <c r="Y551">
        <v>1</v>
      </c>
      <c r="Z551" t="str">
        <f>IF(D551="", "Missing", "ok")</f>
        <v>ok</v>
      </c>
      <c r="AA551">
        <f t="shared" si="17"/>
        <v>3797.0370000000003</v>
      </c>
    </row>
    <row r="552" spans="1:27" x14ac:dyDescent="0.25">
      <c r="A552" t="s">
        <v>1526</v>
      </c>
      <c r="B552" s="1" t="s">
        <v>1135</v>
      </c>
      <c r="C552" t="s">
        <v>1527</v>
      </c>
      <c r="D552" t="s">
        <v>101</v>
      </c>
      <c r="E552" t="str">
        <f>PROPER(TRIM(D552))</f>
        <v>Grace</v>
      </c>
      <c r="F552" t="s">
        <v>20</v>
      </c>
      <c r="G552">
        <v>56</v>
      </c>
      <c r="H552" t="str">
        <f>IF(AND(G552&gt;18, G552&lt;65), "Valid", "Invalid")</f>
        <v>Valid</v>
      </c>
      <c r="I552" t="s">
        <v>86</v>
      </c>
      <c r="J552" t="str">
        <f>PROPER(TRIM(I552))</f>
        <v>Kano</v>
      </c>
      <c r="K552" t="s">
        <v>54</v>
      </c>
      <c r="L552" t="str">
        <f>PROPER(TRIM(K552))</f>
        <v>Home</v>
      </c>
      <c r="M552" t="s">
        <v>55</v>
      </c>
      <c r="N552" t="str">
        <f>PROPER(TRIM(M552))</f>
        <v>Chair</v>
      </c>
      <c r="O552">
        <v>176.29</v>
      </c>
      <c r="P552">
        <v>8</v>
      </c>
      <c r="Q552">
        <f>IF(P552&lt;1, 1, P552)</f>
        <v>8</v>
      </c>
      <c r="R552">
        <v>0</v>
      </c>
      <c r="S552" t="str">
        <f>IF(OR(R552&lt;0,R552&gt;100),"invalid","Valid")</f>
        <v>Valid</v>
      </c>
      <c r="U552" t="str">
        <f>PROPER(TRIM(T552))</f>
        <v/>
      </c>
      <c r="V552" t="s">
        <v>81</v>
      </c>
      <c r="W552" t="str">
        <f t="shared" si="16"/>
        <v>Ada</v>
      </c>
      <c r="X552" t="s">
        <v>33</v>
      </c>
      <c r="Z552" t="str">
        <f>IF(D552="", "Missing", "ok")</f>
        <v>ok</v>
      </c>
      <c r="AA552">
        <f t="shared" si="17"/>
        <v>1410.32</v>
      </c>
    </row>
    <row r="553" spans="1:27" x14ac:dyDescent="0.25">
      <c r="A553" t="s">
        <v>1528</v>
      </c>
      <c r="B553" s="1" t="s">
        <v>1529</v>
      </c>
      <c r="C553" t="s">
        <v>1530</v>
      </c>
      <c r="D553" t="s">
        <v>37</v>
      </c>
      <c r="E553" t="str">
        <f>PROPER(TRIM(D553))</f>
        <v>Aisha</v>
      </c>
      <c r="F553" t="s">
        <v>20</v>
      </c>
      <c r="G553">
        <v>8</v>
      </c>
      <c r="H553" t="str">
        <f>IF(AND(G553&gt;18, G553&lt;65), "Valid", "Invalid")</f>
        <v>Invalid</v>
      </c>
      <c r="I553" t="s">
        <v>70</v>
      </c>
      <c r="J553" t="str">
        <f>PROPER(TRIM(I553))</f>
        <v>Abuja</v>
      </c>
      <c r="K553" t="s">
        <v>87</v>
      </c>
      <c r="L553" t="str">
        <f>PROPER(TRIM(K553))</f>
        <v>Groceris</v>
      </c>
      <c r="M553" t="s">
        <v>49</v>
      </c>
      <c r="N553" t="str">
        <f>PROPER(TRIM(M553))</f>
        <v>Rice</v>
      </c>
      <c r="O553">
        <v>191.31</v>
      </c>
      <c r="P553">
        <v>-2</v>
      </c>
      <c r="Q553">
        <f>IF(P553&lt;1, 1, P553)</f>
        <v>1</v>
      </c>
      <c r="R553">
        <v>0</v>
      </c>
      <c r="S553" t="str">
        <f>IF(OR(R553&lt;0,R553&gt;100),"invalid","Valid")</f>
        <v>Valid</v>
      </c>
      <c r="U553" t="str">
        <f>PROPER(TRIM(T553))</f>
        <v/>
      </c>
      <c r="V553" t="s">
        <v>25</v>
      </c>
      <c r="W553" t="str">
        <f t="shared" si="16"/>
        <v>Dan</v>
      </c>
      <c r="X553" t="s">
        <v>65</v>
      </c>
      <c r="Y553">
        <v>4</v>
      </c>
      <c r="Z553" t="str">
        <f>IF(D553="", "Missing", "ok")</f>
        <v>ok</v>
      </c>
      <c r="AA553">
        <f t="shared" si="17"/>
        <v>191.31</v>
      </c>
    </row>
    <row r="554" spans="1:27" x14ac:dyDescent="0.25">
      <c r="A554" t="s">
        <v>1531</v>
      </c>
      <c r="B554" s="1" t="s">
        <v>1427</v>
      </c>
      <c r="C554" t="s">
        <v>1532</v>
      </c>
      <c r="D554" t="s">
        <v>37</v>
      </c>
      <c r="E554" t="str">
        <f>PROPER(TRIM(D554))</f>
        <v>Aisha</v>
      </c>
      <c r="F554" t="s">
        <v>20</v>
      </c>
      <c r="G554">
        <v>8</v>
      </c>
      <c r="H554" t="str">
        <f>IF(AND(G554&gt;18, G554&lt;65), "Valid", "Invalid")</f>
        <v>Invalid</v>
      </c>
      <c r="I554" t="s">
        <v>86</v>
      </c>
      <c r="J554" t="str">
        <f>PROPER(TRIM(I554))</f>
        <v>Kano</v>
      </c>
      <c r="K554" t="s">
        <v>87</v>
      </c>
      <c r="L554" t="str">
        <f>PROPER(TRIM(K554))</f>
        <v>Groceris</v>
      </c>
      <c r="M554" t="s">
        <v>49</v>
      </c>
      <c r="N554" t="str">
        <f>PROPER(TRIM(M554))</f>
        <v>Rice</v>
      </c>
      <c r="O554">
        <v>369.68</v>
      </c>
      <c r="P554">
        <v>-2</v>
      </c>
      <c r="Q554">
        <f>IF(P554&lt;1, 1, P554)</f>
        <v>1</v>
      </c>
      <c r="R554">
        <v>5</v>
      </c>
      <c r="S554" t="str">
        <f>IF(OR(R554&lt;0,R554&gt;100),"invalid","Valid")</f>
        <v>Valid</v>
      </c>
      <c r="T554" t="s">
        <v>24</v>
      </c>
      <c r="U554" t="str">
        <f>PROPER(TRIM(T554))</f>
        <v>Pos</v>
      </c>
      <c r="V554" t="s">
        <v>41</v>
      </c>
      <c r="W554" t="str">
        <f t="shared" si="16"/>
        <v>Chi</v>
      </c>
      <c r="X554" t="s">
        <v>65</v>
      </c>
      <c r="Y554">
        <v>3</v>
      </c>
      <c r="Z554" t="str">
        <f>IF(D554="", "Missing", "ok")</f>
        <v>ok</v>
      </c>
      <c r="AA554">
        <f t="shared" si="17"/>
        <v>351.19599999999997</v>
      </c>
    </row>
    <row r="555" spans="1:27" x14ac:dyDescent="0.25">
      <c r="A555" t="s">
        <v>1533</v>
      </c>
      <c r="B555" s="1" t="s">
        <v>788</v>
      </c>
      <c r="C555" t="s">
        <v>1534</v>
      </c>
      <c r="D555" t="s">
        <v>63</v>
      </c>
      <c r="E555" t="str">
        <f>PROPER(TRIM(D555))</f>
        <v>John</v>
      </c>
      <c r="F555" t="s">
        <v>46</v>
      </c>
      <c r="G555">
        <v>130</v>
      </c>
      <c r="H555" t="str">
        <f>IF(AND(G555&gt;18, G555&lt;65), "Valid", "Invalid")</f>
        <v>Invalid</v>
      </c>
      <c r="I555" t="s">
        <v>86</v>
      </c>
      <c r="J555" t="str">
        <f>PROPER(TRIM(I555))</f>
        <v>Kano</v>
      </c>
      <c r="K555" t="s">
        <v>48</v>
      </c>
      <c r="L555" t="str">
        <f>PROPER(TRIM(K555))</f>
        <v>Groceries</v>
      </c>
      <c r="M555" t="s">
        <v>49</v>
      </c>
      <c r="N555" t="str">
        <f>PROPER(TRIM(M555))</f>
        <v>Rice</v>
      </c>
      <c r="O555">
        <v>122.84</v>
      </c>
      <c r="P555">
        <v>4</v>
      </c>
      <c r="Q555">
        <f>IF(P555&lt;1, 1, P555)</f>
        <v>4</v>
      </c>
      <c r="R555">
        <v>-10</v>
      </c>
      <c r="S555" t="str">
        <f>IF(OR(R555&lt;0,R555&gt;100),"invalid","Valid")</f>
        <v>invalid</v>
      </c>
      <c r="T555" t="s">
        <v>77</v>
      </c>
      <c r="U555" t="str">
        <f>PROPER(TRIM(T555))</f>
        <v>Cash</v>
      </c>
      <c r="V555" t="s">
        <v>91</v>
      </c>
      <c r="W555" t="str">
        <f t="shared" si="16"/>
        <v>Ben</v>
      </c>
      <c r="X555" t="s">
        <v>33</v>
      </c>
      <c r="Y555">
        <v>4</v>
      </c>
      <c r="Z555" t="str">
        <f>IF(D555="", "Missing", "ok")</f>
        <v>ok</v>
      </c>
      <c r="AA555">
        <f t="shared" si="17"/>
        <v>540.49600000000009</v>
      </c>
    </row>
    <row r="556" spans="1:27" x14ac:dyDescent="0.25">
      <c r="A556" t="s">
        <v>1535</v>
      </c>
      <c r="B556" s="1" t="s">
        <v>625</v>
      </c>
      <c r="C556" t="s">
        <v>1536</v>
      </c>
      <c r="D556" t="s">
        <v>45</v>
      </c>
      <c r="E556" t="str">
        <f>PROPER(TRIM(D556))</f>
        <v>James</v>
      </c>
      <c r="F556" t="s">
        <v>20</v>
      </c>
      <c r="G556">
        <v>48</v>
      </c>
      <c r="H556" t="str">
        <f>IF(AND(G556&gt;18, G556&lt;65), "Valid", "Invalid")</f>
        <v>Valid</v>
      </c>
      <c r="I556" t="s">
        <v>70</v>
      </c>
      <c r="J556" t="str">
        <f>PROPER(TRIM(I556))</f>
        <v>Abuja</v>
      </c>
      <c r="K556" t="s">
        <v>31</v>
      </c>
      <c r="L556" t="str">
        <f>PROPER(TRIM(K556))</f>
        <v>Sports</v>
      </c>
      <c r="M556" t="s">
        <v>32</v>
      </c>
      <c r="N556" t="str">
        <f>PROPER(TRIM(M556))</f>
        <v>Ball</v>
      </c>
      <c r="O556">
        <v>189.99</v>
      </c>
      <c r="P556">
        <v>10</v>
      </c>
      <c r="Q556">
        <f>IF(P556&lt;1, 1, P556)</f>
        <v>10</v>
      </c>
      <c r="R556">
        <v>120</v>
      </c>
      <c r="S556" t="str">
        <f>IF(OR(R556&lt;0,R556&gt;100),"invalid","Valid")</f>
        <v>invalid</v>
      </c>
      <c r="U556" t="str">
        <f>PROPER(TRIM(T556))</f>
        <v/>
      </c>
      <c r="V556" t="s">
        <v>41</v>
      </c>
      <c r="W556" t="str">
        <f t="shared" si="16"/>
        <v>Chi</v>
      </c>
      <c r="X556" t="s">
        <v>82</v>
      </c>
      <c r="Y556">
        <v>5</v>
      </c>
      <c r="Z556" t="str">
        <f>IF(D556="", "Missing", "ok")</f>
        <v>ok</v>
      </c>
      <c r="AA556">
        <f t="shared" si="17"/>
        <v>-379.97999999999996</v>
      </c>
    </row>
    <row r="557" spans="1:27" x14ac:dyDescent="0.25">
      <c r="A557" t="s">
        <v>1537</v>
      </c>
      <c r="B557" s="1" t="s">
        <v>181</v>
      </c>
      <c r="C557" t="s">
        <v>1538</v>
      </c>
      <c r="D557" t="s">
        <v>117</v>
      </c>
      <c r="E557" t="str">
        <f>PROPER(TRIM(D557))</f>
        <v>David</v>
      </c>
      <c r="F557" t="s">
        <v>46</v>
      </c>
      <c r="G557">
        <v>8</v>
      </c>
      <c r="H557" t="str">
        <f>IF(AND(G557&gt;18, G557&lt;65), "Valid", "Invalid")</f>
        <v>Invalid</v>
      </c>
      <c r="I557" t="s">
        <v>47</v>
      </c>
      <c r="J557" t="str">
        <f>PROPER(TRIM(I557))</f>
        <v>Enugu</v>
      </c>
      <c r="K557" t="s">
        <v>31</v>
      </c>
      <c r="L557" t="str">
        <f>PROPER(TRIM(K557))</f>
        <v>Sports</v>
      </c>
      <c r="M557" t="s">
        <v>32</v>
      </c>
      <c r="N557" t="str">
        <f>PROPER(TRIM(M557))</f>
        <v>Ball</v>
      </c>
      <c r="O557">
        <v>350.31</v>
      </c>
      <c r="P557">
        <v>1</v>
      </c>
      <c r="Q557">
        <f>IF(P557&lt;1, 1, P557)</f>
        <v>1</v>
      </c>
      <c r="R557">
        <v>120</v>
      </c>
      <c r="S557" t="str">
        <f>IF(OR(R557&lt;0,R557&gt;100),"invalid","Valid")</f>
        <v>invalid</v>
      </c>
      <c r="T557" t="s">
        <v>24</v>
      </c>
      <c r="U557" t="str">
        <f>PROPER(TRIM(T557))</f>
        <v>Pos</v>
      </c>
      <c r="V557" t="s">
        <v>25</v>
      </c>
      <c r="W557" t="str">
        <f t="shared" si="16"/>
        <v>Dan</v>
      </c>
      <c r="X557" t="s">
        <v>65</v>
      </c>
      <c r="Y557">
        <v>1</v>
      </c>
      <c r="Z557" t="str">
        <f>IF(D557="", "Missing", "ok")</f>
        <v>ok</v>
      </c>
      <c r="AA557">
        <f t="shared" si="17"/>
        <v>-70.061999999999983</v>
      </c>
    </row>
    <row r="558" spans="1:27" x14ac:dyDescent="0.25">
      <c r="A558" t="s">
        <v>1539</v>
      </c>
      <c r="B558" s="1" t="s">
        <v>1540</v>
      </c>
      <c r="C558" t="s">
        <v>1541</v>
      </c>
      <c r="D558" t="s">
        <v>69</v>
      </c>
      <c r="E558" t="str">
        <f>PROPER(TRIM(D558))</f>
        <v>Mary</v>
      </c>
      <c r="F558" t="s">
        <v>46</v>
      </c>
      <c r="G558">
        <v>130</v>
      </c>
      <c r="H558" t="str">
        <f>IF(AND(G558&gt;18, G558&lt;65), "Valid", "Invalid")</f>
        <v>Invalid</v>
      </c>
      <c r="I558" t="s">
        <v>53</v>
      </c>
      <c r="J558" t="str">
        <f>PROPER(TRIM(I558))</f>
        <v>Lagos</v>
      </c>
      <c r="K558" t="s">
        <v>22</v>
      </c>
      <c r="L558" t="str">
        <f>PROPER(TRIM(K558))</f>
        <v>Fashion</v>
      </c>
      <c r="M558" t="s">
        <v>23</v>
      </c>
      <c r="N558" t="str">
        <f>PROPER(TRIM(M558))</f>
        <v>Shirt</v>
      </c>
      <c r="O558">
        <v>476.83</v>
      </c>
      <c r="P558">
        <v>-2</v>
      </c>
      <c r="Q558">
        <f>IF(P558&lt;1, 1, P558)</f>
        <v>1</v>
      </c>
      <c r="R558">
        <v>0</v>
      </c>
      <c r="S558" t="str">
        <f>IF(OR(R558&lt;0,R558&gt;100),"invalid","Valid")</f>
        <v>Valid</v>
      </c>
      <c r="T558" t="s">
        <v>59</v>
      </c>
      <c r="U558" t="str">
        <f>PROPER(TRIM(T558))</f>
        <v>Mobile Money</v>
      </c>
      <c r="V558" t="s">
        <v>81</v>
      </c>
      <c r="W558" t="str">
        <f t="shared" si="16"/>
        <v>Ada</v>
      </c>
      <c r="X558" t="s">
        <v>65</v>
      </c>
      <c r="Y558">
        <v>5</v>
      </c>
      <c r="Z558" t="str">
        <f>IF(D558="", "Missing", "ok")</f>
        <v>ok</v>
      </c>
      <c r="AA558">
        <f t="shared" si="17"/>
        <v>476.83</v>
      </c>
    </row>
    <row r="559" spans="1:27" x14ac:dyDescent="0.25">
      <c r="A559" t="s">
        <v>1542</v>
      </c>
      <c r="B559" s="1" t="s">
        <v>914</v>
      </c>
      <c r="C559" t="s">
        <v>1543</v>
      </c>
      <c r="D559" t="s">
        <v>19</v>
      </c>
      <c r="E559" t="str">
        <f>PROPER(TRIM(D559))</f>
        <v>Peter</v>
      </c>
      <c r="F559" t="s">
        <v>46</v>
      </c>
      <c r="G559">
        <v>22</v>
      </c>
      <c r="H559" t="str">
        <f>IF(AND(G559&gt;18, G559&lt;65), "Valid", "Invalid")</f>
        <v>Valid</v>
      </c>
      <c r="I559" t="s">
        <v>30</v>
      </c>
      <c r="J559" t="str">
        <f>PROPER(TRIM(I559))</f>
        <v>Lagos</v>
      </c>
      <c r="K559" t="s">
        <v>121</v>
      </c>
      <c r="L559" t="str">
        <f>PROPER(TRIM(K559))</f>
        <v>Beauty</v>
      </c>
      <c r="M559" t="s">
        <v>122</v>
      </c>
      <c r="N559" t="str">
        <f>PROPER(TRIM(M559))</f>
        <v>Cream</v>
      </c>
      <c r="O559">
        <v>124.74</v>
      </c>
      <c r="P559">
        <v>-2</v>
      </c>
      <c r="Q559">
        <f>IF(P559&lt;1, 1, P559)</f>
        <v>1</v>
      </c>
      <c r="R559">
        <v>10</v>
      </c>
      <c r="S559" t="str">
        <f>IF(OR(R559&lt;0,R559&gt;100),"invalid","Valid")</f>
        <v>Valid</v>
      </c>
      <c r="T559" t="s">
        <v>59</v>
      </c>
      <c r="U559" t="str">
        <f>PROPER(TRIM(T559))</f>
        <v>Mobile Money</v>
      </c>
      <c r="V559" t="s">
        <v>41</v>
      </c>
      <c r="W559" t="str">
        <f t="shared" si="16"/>
        <v>Chi</v>
      </c>
      <c r="X559" t="s">
        <v>26</v>
      </c>
      <c r="Y559">
        <v>1</v>
      </c>
      <c r="Z559" t="str">
        <f>IF(D559="", "Missing", "ok")</f>
        <v>ok</v>
      </c>
      <c r="AA559">
        <f t="shared" si="17"/>
        <v>112.26599999999999</v>
      </c>
    </row>
    <row r="560" spans="1:27" x14ac:dyDescent="0.25">
      <c r="A560" t="s">
        <v>1544</v>
      </c>
      <c r="B560" s="1" t="s">
        <v>695</v>
      </c>
      <c r="C560" t="s">
        <v>1545</v>
      </c>
      <c r="D560" t="s">
        <v>101</v>
      </c>
      <c r="E560" t="str">
        <f>PROPER(TRIM(D560))</f>
        <v>Grace</v>
      </c>
      <c r="F560" t="s">
        <v>46</v>
      </c>
      <c r="G560">
        <v>23</v>
      </c>
      <c r="H560" t="str">
        <f>IF(AND(G560&gt;18, G560&lt;65), "Valid", "Invalid")</f>
        <v>Valid</v>
      </c>
      <c r="I560" t="s">
        <v>38</v>
      </c>
      <c r="J560" t="str">
        <f>PROPER(TRIM(I560))</f>
        <v>Ph</v>
      </c>
      <c r="K560" t="s">
        <v>39</v>
      </c>
      <c r="L560" t="str">
        <f>PROPER(TRIM(K560))</f>
        <v>Electronics</v>
      </c>
      <c r="M560" t="s">
        <v>40</v>
      </c>
      <c r="N560" t="str">
        <f>PROPER(TRIM(M560))</f>
        <v>Phone</v>
      </c>
      <c r="O560">
        <v>403.67</v>
      </c>
      <c r="P560">
        <v>-2</v>
      </c>
      <c r="Q560">
        <f>IF(P560&lt;1, 1, P560)</f>
        <v>1</v>
      </c>
      <c r="R560">
        <v>10</v>
      </c>
      <c r="S560" t="str">
        <f>IF(OR(R560&lt;0,R560&gt;100),"invalid","Valid")</f>
        <v>Valid</v>
      </c>
      <c r="T560" t="s">
        <v>24</v>
      </c>
      <c r="U560" t="str">
        <f>PROPER(TRIM(T560))</f>
        <v>Pos</v>
      </c>
      <c r="V560" t="s">
        <v>91</v>
      </c>
      <c r="W560" t="str">
        <f t="shared" si="16"/>
        <v>Ben</v>
      </c>
      <c r="X560" t="s">
        <v>26</v>
      </c>
      <c r="Y560">
        <v>1</v>
      </c>
      <c r="Z560" t="str">
        <f>IF(D560="", "Missing", "ok")</f>
        <v>ok</v>
      </c>
      <c r="AA560">
        <f t="shared" si="17"/>
        <v>363.303</v>
      </c>
    </row>
    <row r="561" spans="1:27" x14ac:dyDescent="0.25">
      <c r="A561" t="s">
        <v>1546</v>
      </c>
      <c r="B561" s="1" t="s">
        <v>1547</v>
      </c>
      <c r="C561" t="s">
        <v>1548</v>
      </c>
      <c r="D561" t="s">
        <v>45</v>
      </c>
      <c r="E561" t="str">
        <f>PROPER(TRIM(D561))</f>
        <v>James</v>
      </c>
      <c r="F561" t="s">
        <v>46</v>
      </c>
      <c r="G561">
        <v>8</v>
      </c>
      <c r="H561" t="str">
        <f>IF(AND(G561&gt;18, G561&lt;65), "Valid", "Invalid")</f>
        <v>Invalid</v>
      </c>
      <c r="I561" t="s">
        <v>47</v>
      </c>
      <c r="J561" t="str">
        <f>PROPER(TRIM(I561))</f>
        <v>Enugu</v>
      </c>
      <c r="K561" t="s">
        <v>22</v>
      </c>
      <c r="L561" t="str">
        <f>PROPER(TRIM(K561))</f>
        <v>Fashion</v>
      </c>
      <c r="M561" t="s">
        <v>23</v>
      </c>
      <c r="N561" t="str">
        <f>PROPER(TRIM(M561))</f>
        <v>Shirt</v>
      </c>
      <c r="O561">
        <v>97.76</v>
      </c>
      <c r="P561">
        <v>8</v>
      </c>
      <c r="Q561">
        <f>IF(P561&lt;1, 1, P561)</f>
        <v>8</v>
      </c>
      <c r="R561">
        <v>5</v>
      </c>
      <c r="S561" t="str">
        <f>IF(OR(R561&lt;0,R561&gt;100),"invalid","Valid")</f>
        <v>Valid</v>
      </c>
      <c r="U561" t="str">
        <f>PROPER(TRIM(T561))</f>
        <v/>
      </c>
      <c r="V561" t="s">
        <v>25</v>
      </c>
      <c r="W561" t="str">
        <f t="shared" si="16"/>
        <v>Dan</v>
      </c>
      <c r="X561" t="s">
        <v>65</v>
      </c>
      <c r="Z561" t="str">
        <f>IF(D561="", "Missing", "ok")</f>
        <v>ok</v>
      </c>
      <c r="AA561">
        <f t="shared" si="17"/>
        <v>742.976</v>
      </c>
    </row>
    <row r="562" spans="1:27" x14ac:dyDescent="0.25">
      <c r="A562" t="s">
        <v>1549</v>
      </c>
      <c r="B562" s="1" t="s">
        <v>844</v>
      </c>
      <c r="C562" t="s">
        <v>585</v>
      </c>
      <c r="D562" t="s">
        <v>37</v>
      </c>
      <c r="E562" t="str">
        <f>PROPER(TRIM(D562))</f>
        <v>Aisha</v>
      </c>
      <c r="F562" t="s">
        <v>46</v>
      </c>
      <c r="G562">
        <v>130</v>
      </c>
      <c r="H562" t="str">
        <f>IF(AND(G562&gt;18, G562&lt;65), "Valid", "Invalid")</f>
        <v>Invalid</v>
      </c>
      <c r="I562" t="s">
        <v>47</v>
      </c>
      <c r="J562" t="str">
        <f>PROPER(TRIM(I562))</f>
        <v>Enugu</v>
      </c>
      <c r="K562" t="s">
        <v>48</v>
      </c>
      <c r="L562" t="str">
        <f>PROPER(TRIM(K562))</f>
        <v>Groceries</v>
      </c>
      <c r="M562" t="s">
        <v>49</v>
      </c>
      <c r="N562" t="str">
        <f>PROPER(TRIM(M562))</f>
        <v>Rice</v>
      </c>
      <c r="O562">
        <v>345.47</v>
      </c>
      <c r="P562">
        <v>2</v>
      </c>
      <c r="Q562">
        <f>IF(P562&lt;1, 1, P562)</f>
        <v>2</v>
      </c>
      <c r="R562">
        <v>-10</v>
      </c>
      <c r="S562" t="str">
        <f>IF(OR(R562&lt;0,R562&gt;100),"invalid","Valid")</f>
        <v>invalid</v>
      </c>
      <c r="T562" t="s">
        <v>77</v>
      </c>
      <c r="U562" t="str">
        <f>PROPER(TRIM(T562))</f>
        <v>Cash</v>
      </c>
      <c r="V562" t="s">
        <v>41</v>
      </c>
      <c r="W562" t="str">
        <f t="shared" si="16"/>
        <v>Chi</v>
      </c>
      <c r="X562" t="s">
        <v>33</v>
      </c>
      <c r="Z562" t="str">
        <f>IF(D562="", "Missing", "ok")</f>
        <v>ok</v>
      </c>
      <c r="AA562">
        <f t="shared" si="17"/>
        <v>760.03400000000011</v>
      </c>
    </row>
    <row r="563" spans="1:27" x14ac:dyDescent="0.25">
      <c r="A563" t="s">
        <v>1550</v>
      </c>
      <c r="B563" s="1" t="s">
        <v>1551</v>
      </c>
      <c r="C563" t="s">
        <v>1552</v>
      </c>
      <c r="D563" t="s">
        <v>45</v>
      </c>
      <c r="E563" t="str">
        <f>PROPER(TRIM(D563))</f>
        <v>James</v>
      </c>
      <c r="F563" t="s">
        <v>20</v>
      </c>
      <c r="G563">
        <v>49</v>
      </c>
      <c r="H563" t="str">
        <f>IF(AND(G563&gt;18, G563&lt;65), "Valid", "Invalid")</f>
        <v>Valid</v>
      </c>
      <c r="I563" t="s">
        <v>86</v>
      </c>
      <c r="J563" t="str">
        <f>PROPER(TRIM(I563))</f>
        <v>Kano</v>
      </c>
      <c r="K563" t="s">
        <v>39</v>
      </c>
      <c r="L563" t="str">
        <f>PROPER(TRIM(K563))</f>
        <v>Electronics</v>
      </c>
      <c r="M563" t="s">
        <v>40</v>
      </c>
      <c r="N563" t="str">
        <f>PROPER(TRIM(M563))</f>
        <v>Phone</v>
      </c>
      <c r="O563">
        <v>49.35</v>
      </c>
      <c r="P563">
        <v>-2</v>
      </c>
      <c r="Q563">
        <f>IF(P563&lt;1, 1, P563)</f>
        <v>1</v>
      </c>
      <c r="R563">
        <v>15</v>
      </c>
      <c r="S563" t="str">
        <f>IF(OR(R563&lt;0,R563&gt;100),"invalid","Valid")</f>
        <v>Valid</v>
      </c>
      <c r="U563" t="str">
        <f>PROPER(TRIM(T563))</f>
        <v/>
      </c>
      <c r="V563" t="s">
        <v>41</v>
      </c>
      <c r="W563" t="str">
        <f t="shared" si="16"/>
        <v>Chi</v>
      </c>
      <c r="X563" t="s">
        <v>82</v>
      </c>
      <c r="Y563">
        <v>5</v>
      </c>
      <c r="Z563" t="str">
        <f>IF(D563="", "Missing", "ok")</f>
        <v>ok</v>
      </c>
      <c r="AA563">
        <f t="shared" si="17"/>
        <v>41.947499999999998</v>
      </c>
    </row>
    <row r="564" spans="1:27" x14ac:dyDescent="0.25">
      <c r="A564" t="s">
        <v>1553</v>
      </c>
      <c r="B564" s="1" t="s">
        <v>671</v>
      </c>
      <c r="C564" t="s">
        <v>1554</v>
      </c>
      <c r="D564" t="s">
        <v>69</v>
      </c>
      <c r="E564" t="str">
        <f>PROPER(TRIM(D564))</f>
        <v>Mary</v>
      </c>
      <c r="F564" t="s">
        <v>46</v>
      </c>
      <c r="G564">
        <v>63</v>
      </c>
      <c r="H564" t="str">
        <f>IF(AND(G564&gt;18, G564&lt;65), "Valid", "Invalid")</f>
        <v>Valid</v>
      </c>
      <c r="I564" t="s">
        <v>70</v>
      </c>
      <c r="J564" t="str">
        <f>PROPER(TRIM(I564))</f>
        <v>Abuja</v>
      </c>
      <c r="K564" t="s">
        <v>87</v>
      </c>
      <c r="L564" t="str">
        <f>PROPER(TRIM(K564))</f>
        <v>Groceris</v>
      </c>
      <c r="M564" t="s">
        <v>49</v>
      </c>
      <c r="N564" t="str">
        <f>PROPER(TRIM(M564))</f>
        <v>Rice</v>
      </c>
      <c r="O564">
        <v>498.81</v>
      </c>
      <c r="P564">
        <v>4</v>
      </c>
      <c r="Q564">
        <f>IF(P564&lt;1, 1, P564)</f>
        <v>4</v>
      </c>
      <c r="R564">
        <v>0</v>
      </c>
      <c r="S564" t="str">
        <f>IF(OR(R564&lt;0,R564&gt;100),"invalid","Valid")</f>
        <v>Valid</v>
      </c>
      <c r="U564" t="str">
        <f>PROPER(TRIM(T564))</f>
        <v/>
      </c>
      <c r="V564" t="s">
        <v>81</v>
      </c>
      <c r="W564" t="str">
        <f t="shared" si="16"/>
        <v>Ada</v>
      </c>
      <c r="X564" t="s">
        <v>82</v>
      </c>
      <c r="Y564">
        <v>1</v>
      </c>
      <c r="Z564" t="str">
        <f>IF(D564="", "Missing", "ok")</f>
        <v>ok</v>
      </c>
      <c r="AA564">
        <f t="shared" si="17"/>
        <v>1995.24</v>
      </c>
    </row>
    <row r="565" spans="1:27" x14ac:dyDescent="0.25">
      <c r="A565" t="s">
        <v>1555</v>
      </c>
      <c r="B565" s="1" t="s">
        <v>1556</v>
      </c>
      <c r="C565" t="s">
        <v>1557</v>
      </c>
      <c r="D565" t="s">
        <v>101</v>
      </c>
      <c r="E565" t="str">
        <f>PROPER(TRIM(D565))</f>
        <v>Grace</v>
      </c>
      <c r="F565" t="s">
        <v>20</v>
      </c>
      <c r="G565">
        <v>8</v>
      </c>
      <c r="H565" t="str">
        <f>IF(AND(G565&gt;18, G565&lt;65), "Valid", "Invalid")</f>
        <v>Invalid</v>
      </c>
      <c r="I565" t="s">
        <v>30</v>
      </c>
      <c r="J565" t="str">
        <f>PROPER(TRIM(I565))</f>
        <v>Lagos</v>
      </c>
      <c r="K565" t="s">
        <v>121</v>
      </c>
      <c r="L565" t="str">
        <f>PROPER(TRIM(K565))</f>
        <v>Beauty</v>
      </c>
      <c r="M565" t="s">
        <v>122</v>
      </c>
      <c r="N565" t="str">
        <f>PROPER(TRIM(M565))</f>
        <v>Cream</v>
      </c>
      <c r="O565">
        <v>35.82</v>
      </c>
      <c r="P565">
        <v>7</v>
      </c>
      <c r="Q565">
        <f>IF(P565&lt;1, 1, P565)</f>
        <v>7</v>
      </c>
      <c r="R565">
        <v>10</v>
      </c>
      <c r="S565" t="str">
        <f>IF(OR(R565&lt;0,R565&gt;100),"invalid","Valid")</f>
        <v>Valid</v>
      </c>
      <c r="T565" t="s">
        <v>59</v>
      </c>
      <c r="U565" t="str">
        <f>PROPER(TRIM(T565))</f>
        <v>Mobile Money</v>
      </c>
      <c r="V565" t="s">
        <v>91</v>
      </c>
      <c r="W565" t="str">
        <f t="shared" si="16"/>
        <v>Ben</v>
      </c>
      <c r="X565" t="s">
        <v>65</v>
      </c>
      <c r="Z565" t="str">
        <f>IF(D565="", "Missing", "ok")</f>
        <v>ok</v>
      </c>
      <c r="AA565">
        <f t="shared" si="17"/>
        <v>225.66600000000003</v>
      </c>
    </row>
    <row r="566" spans="1:27" x14ac:dyDescent="0.25">
      <c r="A566" t="s">
        <v>1558</v>
      </c>
      <c r="B566" s="1" t="s">
        <v>181</v>
      </c>
      <c r="C566" t="s">
        <v>1559</v>
      </c>
      <c r="D566" t="s">
        <v>37</v>
      </c>
      <c r="E566" t="str">
        <f>PROPER(TRIM(D566))</f>
        <v>Aisha</v>
      </c>
      <c r="F566" t="s">
        <v>46</v>
      </c>
      <c r="G566">
        <v>8</v>
      </c>
      <c r="H566" t="str">
        <f>IF(AND(G566&gt;18, G566&lt;65), "Valid", "Invalid")</f>
        <v>Invalid</v>
      </c>
      <c r="I566" t="s">
        <v>70</v>
      </c>
      <c r="J566" t="str">
        <f>PROPER(TRIM(I566))</f>
        <v>Abuja</v>
      </c>
      <c r="K566" t="s">
        <v>121</v>
      </c>
      <c r="L566" t="str">
        <f>PROPER(TRIM(K566))</f>
        <v>Beauty</v>
      </c>
      <c r="M566" t="s">
        <v>122</v>
      </c>
      <c r="N566" t="str">
        <f>PROPER(TRIM(M566))</f>
        <v>Cream</v>
      </c>
      <c r="O566">
        <v>340.75</v>
      </c>
      <c r="P566">
        <v>-2</v>
      </c>
      <c r="Q566">
        <f>IF(P566&lt;1, 1, P566)</f>
        <v>1</v>
      </c>
      <c r="R566">
        <v>0</v>
      </c>
      <c r="S566" t="str">
        <f>IF(OR(R566&lt;0,R566&gt;100),"invalid","Valid")</f>
        <v>Valid</v>
      </c>
      <c r="T566" t="s">
        <v>64</v>
      </c>
      <c r="U566" t="str">
        <f>PROPER(TRIM(T566))</f>
        <v>Transfer</v>
      </c>
      <c r="V566" t="s">
        <v>25</v>
      </c>
      <c r="W566" t="str">
        <f t="shared" si="16"/>
        <v>Dan</v>
      </c>
      <c r="X566" t="s">
        <v>82</v>
      </c>
      <c r="Z566" t="str">
        <f>IF(D566="", "Missing", "ok")</f>
        <v>ok</v>
      </c>
      <c r="AA566">
        <f t="shared" si="17"/>
        <v>340.75</v>
      </c>
    </row>
    <row r="567" spans="1:27" x14ac:dyDescent="0.25">
      <c r="A567" t="s">
        <v>1560</v>
      </c>
      <c r="B567" s="1" t="s">
        <v>659</v>
      </c>
      <c r="C567" t="s">
        <v>1561</v>
      </c>
      <c r="D567" t="s">
        <v>69</v>
      </c>
      <c r="E567" t="str">
        <f>PROPER(TRIM(D567))</f>
        <v>Mary</v>
      </c>
      <c r="F567" t="s">
        <v>46</v>
      </c>
      <c r="G567">
        <v>130</v>
      </c>
      <c r="H567" t="str">
        <f>IF(AND(G567&gt;18, G567&lt;65), "Valid", "Invalid")</f>
        <v>Invalid</v>
      </c>
      <c r="I567" t="s">
        <v>21</v>
      </c>
      <c r="J567" t="str">
        <f>PROPER(TRIM(I567))</f>
        <v>Lagos</v>
      </c>
      <c r="K567" t="s">
        <v>87</v>
      </c>
      <c r="L567" t="str">
        <f>PROPER(TRIM(K567))</f>
        <v>Groceris</v>
      </c>
      <c r="M567" t="s">
        <v>49</v>
      </c>
      <c r="N567" t="str">
        <f>PROPER(TRIM(M567))</f>
        <v>Rice</v>
      </c>
      <c r="O567">
        <v>212.75</v>
      </c>
      <c r="P567">
        <v>1</v>
      </c>
      <c r="Q567">
        <f>IF(P567&lt;1, 1, P567)</f>
        <v>1</v>
      </c>
      <c r="R567">
        <v>-10</v>
      </c>
      <c r="S567" t="str">
        <f>IF(OR(R567&lt;0,R567&gt;100),"invalid","Valid")</f>
        <v>invalid</v>
      </c>
      <c r="U567" t="str">
        <f>PROPER(TRIM(T567))</f>
        <v/>
      </c>
      <c r="V567" t="s">
        <v>81</v>
      </c>
      <c r="W567" t="str">
        <f t="shared" si="16"/>
        <v>Ada</v>
      </c>
      <c r="X567" t="s">
        <v>82</v>
      </c>
      <c r="Y567">
        <v>2</v>
      </c>
      <c r="Z567" t="str">
        <f>IF(D567="", "Missing", "ok")</f>
        <v>ok</v>
      </c>
      <c r="AA567">
        <f t="shared" si="17"/>
        <v>234.02500000000001</v>
      </c>
    </row>
    <row r="568" spans="1:27" x14ac:dyDescent="0.25">
      <c r="A568" t="s">
        <v>1562</v>
      </c>
      <c r="B568" s="1" t="s">
        <v>1089</v>
      </c>
      <c r="C568" t="s">
        <v>1563</v>
      </c>
      <c r="E568" t="str">
        <f>PROPER(TRIM(D568))</f>
        <v/>
      </c>
      <c r="F568" t="s">
        <v>46</v>
      </c>
      <c r="G568">
        <v>25</v>
      </c>
      <c r="H568" t="str">
        <f>IF(AND(G568&gt;18, G568&lt;65), "Valid", "Invalid")</f>
        <v>Valid</v>
      </c>
      <c r="I568" t="s">
        <v>38</v>
      </c>
      <c r="J568" t="str">
        <f>PROPER(TRIM(I568))</f>
        <v>Ph</v>
      </c>
      <c r="K568" t="s">
        <v>121</v>
      </c>
      <c r="L568" t="str">
        <f>PROPER(TRIM(K568))</f>
        <v>Beauty</v>
      </c>
      <c r="M568" t="s">
        <v>122</v>
      </c>
      <c r="N568" t="str">
        <f>PROPER(TRIM(M568))</f>
        <v>Cream</v>
      </c>
      <c r="O568">
        <v>252.32</v>
      </c>
      <c r="P568">
        <v>6</v>
      </c>
      <c r="Q568">
        <f>IF(P568&lt;1, 1, P568)</f>
        <v>6</v>
      </c>
      <c r="R568">
        <v>10</v>
      </c>
      <c r="S568" t="str">
        <f>IF(OR(R568&lt;0,R568&gt;100),"invalid","Valid")</f>
        <v>Valid</v>
      </c>
      <c r="T568" t="s">
        <v>77</v>
      </c>
      <c r="U568" t="str">
        <f>PROPER(TRIM(T568))</f>
        <v>Cash</v>
      </c>
      <c r="V568" t="s">
        <v>91</v>
      </c>
      <c r="W568" t="str">
        <f t="shared" si="16"/>
        <v>Ben</v>
      </c>
      <c r="X568" t="s">
        <v>65</v>
      </c>
      <c r="Y568">
        <v>1</v>
      </c>
      <c r="Z568" t="str">
        <f>IF(D568="", "Missing", "ok")</f>
        <v>Missing</v>
      </c>
      <c r="AA568">
        <f t="shared" si="17"/>
        <v>1362.528</v>
      </c>
    </row>
    <row r="569" spans="1:27" x14ac:dyDescent="0.25">
      <c r="A569" t="s">
        <v>1564</v>
      </c>
      <c r="B569" s="1" t="s">
        <v>596</v>
      </c>
      <c r="C569" t="s">
        <v>1565</v>
      </c>
      <c r="D569" t="s">
        <v>45</v>
      </c>
      <c r="E569" t="str">
        <f>PROPER(TRIM(D569))</f>
        <v>James</v>
      </c>
      <c r="F569" t="s">
        <v>46</v>
      </c>
      <c r="G569">
        <v>130</v>
      </c>
      <c r="H569" t="str">
        <f>IF(AND(G569&gt;18, G569&lt;65), "Valid", "Invalid")</f>
        <v>Invalid</v>
      </c>
      <c r="I569" t="s">
        <v>70</v>
      </c>
      <c r="J569" t="str">
        <f>PROPER(TRIM(I569))</f>
        <v>Abuja</v>
      </c>
      <c r="K569" t="s">
        <v>54</v>
      </c>
      <c r="L569" t="str">
        <f>PROPER(TRIM(K569))</f>
        <v>Home</v>
      </c>
      <c r="M569" t="s">
        <v>55</v>
      </c>
      <c r="N569" t="str">
        <f>PROPER(TRIM(M569))</f>
        <v>Chair</v>
      </c>
      <c r="O569">
        <v>392.72</v>
      </c>
      <c r="P569">
        <v>-2</v>
      </c>
      <c r="Q569">
        <f>IF(P569&lt;1, 1, P569)</f>
        <v>1</v>
      </c>
      <c r="R569">
        <v>10</v>
      </c>
      <c r="S569" t="str">
        <f>IF(OR(R569&lt;0,R569&gt;100),"invalid","Valid")</f>
        <v>Valid</v>
      </c>
      <c r="U569" t="str">
        <f>PROPER(TRIM(T569))</f>
        <v/>
      </c>
      <c r="V569" t="s">
        <v>25</v>
      </c>
      <c r="W569" t="str">
        <f t="shared" si="16"/>
        <v>Dan</v>
      </c>
      <c r="X569" t="s">
        <v>82</v>
      </c>
      <c r="Y569">
        <v>4</v>
      </c>
      <c r="Z569" t="str">
        <f>IF(D569="", "Missing", "ok")</f>
        <v>ok</v>
      </c>
      <c r="AA569">
        <f t="shared" si="17"/>
        <v>353.44800000000004</v>
      </c>
    </row>
    <row r="570" spans="1:27" x14ac:dyDescent="0.25">
      <c r="A570" t="s">
        <v>1566</v>
      </c>
      <c r="B570" s="1" t="s">
        <v>415</v>
      </c>
      <c r="C570" t="s">
        <v>1567</v>
      </c>
      <c r="D570" t="s">
        <v>37</v>
      </c>
      <c r="E570" t="str">
        <f>PROPER(TRIM(D570))</f>
        <v>Aisha</v>
      </c>
      <c r="F570" t="s">
        <v>20</v>
      </c>
      <c r="G570">
        <v>50</v>
      </c>
      <c r="H570" t="str">
        <f>IF(AND(G570&gt;18, G570&lt;65), "Valid", "Invalid")</f>
        <v>Valid</v>
      </c>
      <c r="I570" t="s">
        <v>21</v>
      </c>
      <c r="J570" t="str">
        <f>PROPER(TRIM(I570))</f>
        <v>Lagos</v>
      </c>
      <c r="K570" t="s">
        <v>39</v>
      </c>
      <c r="L570" t="str">
        <f>PROPER(TRIM(K570))</f>
        <v>Electronics</v>
      </c>
      <c r="M570" t="s">
        <v>40</v>
      </c>
      <c r="N570" t="str">
        <f>PROPER(TRIM(M570))</f>
        <v>Phone</v>
      </c>
      <c r="O570">
        <v>332.67</v>
      </c>
      <c r="P570">
        <v>-2</v>
      </c>
      <c r="Q570">
        <f>IF(P570&lt;1, 1, P570)</f>
        <v>1</v>
      </c>
      <c r="R570">
        <v>0</v>
      </c>
      <c r="S570" t="str">
        <f>IF(OR(R570&lt;0,R570&gt;100),"invalid","Valid")</f>
        <v>Valid</v>
      </c>
      <c r="T570" t="s">
        <v>64</v>
      </c>
      <c r="U570" t="str">
        <f>PROPER(TRIM(T570))</f>
        <v>Transfer</v>
      </c>
      <c r="V570" t="s">
        <v>81</v>
      </c>
      <c r="W570" t="str">
        <f t="shared" si="16"/>
        <v>Ada</v>
      </c>
      <c r="X570" t="s">
        <v>82</v>
      </c>
      <c r="Y570">
        <v>3</v>
      </c>
      <c r="Z570" t="str">
        <f>IF(D570="", "Missing", "ok")</f>
        <v>ok</v>
      </c>
      <c r="AA570">
        <f t="shared" si="17"/>
        <v>332.67</v>
      </c>
    </row>
    <row r="571" spans="1:27" x14ac:dyDescent="0.25">
      <c r="A571" t="s">
        <v>1568</v>
      </c>
      <c r="B571" s="1" t="s">
        <v>500</v>
      </c>
      <c r="C571" t="s">
        <v>1569</v>
      </c>
      <c r="D571" t="s">
        <v>45</v>
      </c>
      <c r="E571" t="str">
        <f>PROPER(TRIM(D571))</f>
        <v>James</v>
      </c>
      <c r="F571" t="s">
        <v>20</v>
      </c>
      <c r="G571">
        <v>130</v>
      </c>
      <c r="H571" t="str">
        <f>IF(AND(G571&gt;18, G571&lt;65), "Valid", "Invalid")</f>
        <v>Invalid</v>
      </c>
      <c r="I571" t="s">
        <v>70</v>
      </c>
      <c r="J571" t="str">
        <f>PROPER(TRIM(I571))</f>
        <v>Abuja</v>
      </c>
      <c r="K571" t="s">
        <v>39</v>
      </c>
      <c r="L571" t="str">
        <f>PROPER(TRIM(K571))</f>
        <v>Electronics</v>
      </c>
      <c r="M571" t="s">
        <v>40</v>
      </c>
      <c r="N571" t="str">
        <f>PROPER(TRIM(M571))</f>
        <v>Phone</v>
      </c>
      <c r="O571">
        <v>404.44</v>
      </c>
      <c r="P571">
        <v>-2</v>
      </c>
      <c r="Q571">
        <f>IF(P571&lt;1, 1, P571)</f>
        <v>1</v>
      </c>
      <c r="R571">
        <v>15</v>
      </c>
      <c r="S571" t="str">
        <f>IF(OR(R571&lt;0,R571&gt;100),"invalid","Valid")</f>
        <v>Valid</v>
      </c>
      <c r="T571" t="s">
        <v>77</v>
      </c>
      <c r="U571" t="str">
        <f>PROPER(TRIM(T571))</f>
        <v>Cash</v>
      </c>
      <c r="V571" t="s">
        <v>81</v>
      </c>
      <c r="W571" t="str">
        <f t="shared" si="16"/>
        <v>Ada</v>
      </c>
      <c r="X571" t="s">
        <v>65</v>
      </c>
      <c r="Y571">
        <v>1</v>
      </c>
      <c r="Z571" t="str">
        <f>IF(D571="", "Missing", "ok")</f>
        <v>ok</v>
      </c>
      <c r="AA571">
        <f t="shared" si="17"/>
        <v>343.774</v>
      </c>
    </row>
    <row r="572" spans="1:27" x14ac:dyDescent="0.25">
      <c r="A572" t="s">
        <v>1570</v>
      </c>
      <c r="B572" s="1" t="s">
        <v>871</v>
      </c>
      <c r="C572" t="s">
        <v>1571</v>
      </c>
      <c r="D572" t="s">
        <v>117</v>
      </c>
      <c r="E572" t="str">
        <f>PROPER(TRIM(D572))</f>
        <v>David</v>
      </c>
      <c r="F572" t="s">
        <v>46</v>
      </c>
      <c r="G572">
        <v>130</v>
      </c>
      <c r="H572" t="str">
        <f>IF(AND(G572&gt;18, G572&lt;65), "Valid", "Invalid")</f>
        <v>Invalid</v>
      </c>
      <c r="I572" t="s">
        <v>21</v>
      </c>
      <c r="J572" t="str">
        <f>PROPER(TRIM(I572))</f>
        <v>Lagos</v>
      </c>
      <c r="K572" t="s">
        <v>54</v>
      </c>
      <c r="L572" t="str">
        <f>PROPER(TRIM(K572))</f>
        <v>Home</v>
      </c>
      <c r="M572" t="s">
        <v>55</v>
      </c>
      <c r="N572" t="str">
        <f>PROPER(TRIM(M572))</f>
        <v>Chair</v>
      </c>
      <c r="O572">
        <v>444.53</v>
      </c>
      <c r="P572">
        <v>-2</v>
      </c>
      <c r="Q572">
        <f>IF(P572&lt;1, 1, P572)</f>
        <v>1</v>
      </c>
      <c r="R572">
        <v>-10</v>
      </c>
      <c r="S572" t="str">
        <f>IF(OR(R572&lt;0,R572&gt;100),"invalid","Valid")</f>
        <v>invalid</v>
      </c>
      <c r="U572" t="str">
        <f>PROPER(TRIM(T572))</f>
        <v/>
      </c>
      <c r="V572" t="s">
        <v>81</v>
      </c>
      <c r="W572" t="str">
        <f t="shared" si="16"/>
        <v>Ada</v>
      </c>
      <c r="X572" t="s">
        <v>26</v>
      </c>
      <c r="Y572">
        <v>2</v>
      </c>
      <c r="Z572" t="str">
        <f>IF(D572="", "Missing", "ok")</f>
        <v>ok</v>
      </c>
      <c r="AA572">
        <f t="shared" si="17"/>
        <v>488.983</v>
      </c>
    </row>
    <row r="573" spans="1:27" x14ac:dyDescent="0.25">
      <c r="A573" t="s">
        <v>1572</v>
      </c>
      <c r="B573" s="1" t="s">
        <v>208</v>
      </c>
      <c r="C573" t="s">
        <v>1573</v>
      </c>
      <c r="D573" t="s">
        <v>101</v>
      </c>
      <c r="E573" t="str">
        <f>PROPER(TRIM(D573))</f>
        <v>Grace</v>
      </c>
      <c r="F573" t="s">
        <v>20</v>
      </c>
      <c r="G573">
        <v>130</v>
      </c>
      <c r="H573" t="str">
        <f>IF(AND(G573&gt;18, G573&lt;65), "Valid", "Invalid")</f>
        <v>Invalid</v>
      </c>
      <c r="I573" t="s">
        <v>30</v>
      </c>
      <c r="J573" t="str">
        <f>PROPER(TRIM(I573))</f>
        <v>Lagos</v>
      </c>
      <c r="K573" t="s">
        <v>48</v>
      </c>
      <c r="L573" t="str">
        <f>PROPER(TRIM(K573))</f>
        <v>Groceries</v>
      </c>
      <c r="M573" t="s">
        <v>49</v>
      </c>
      <c r="N573" t="str">
        <f>PROPER(TRIM(M573))</f>
        <v>Rice</v>
      </c>
      <c r="O573">
        <v>300.8</v>
      </c>
      <c r="P573">
        <v>3</v>
      </c>
      <c r="Q573">
        <f>IF(P573&lt;1, 1, P573)</f>
        <v>3</v>
      </c>
      <c r="R573">
        <v>0</v>
      </c>
      <c r="S573" t="str">
        <f>IF(OR(R573&lt;0,R573&gt;100),"invalid","Valid")</f>
        <v>Valid</v>
      </c>
      <c r="T573" t="s">
        <v>59</v>
      </c>
      <c r="U573" t="str">
        <f>PROPER(TRIM(T573))</f>
        <v>Mobile Money</v>
      </c>
      <c r="V573" t="s">
        <v>91</v>
      </c>
      <c r="W573" t="str">
        <f t="shared" si="16"/>
        <v>Ben</v>
      </c>
      <c r="X573" t="s">
        <v>33</v>
      </c>
      <c r="Y573">
        <v>3</v>
      </c>
      <c r="Z573" t="str">
        <f>IF(D573="", "Missing", "ok")</f>
        <v>ok</v>
      </c>
      <c r="AA573">
        <f t="shared" si="17"/>
        <v>902.40000000000009</v>
      </c>
    </row>
    <row r="574" spans="1:27" x14ac:dyDescent="0.25">
      <c r="A574" t="s">
        <v>1574</v>
      </c>
      <c r="B574" s="1" t="s">
        <v>1211</v>
      </c>
      <c r="C574" t="s">
        <v>1575</v>
      </c>
      <c r="D574" t="s">
        <v>117</v>
      </c>
      <c r="E574" t="str">
        <f>PROPER(TRIM(D574))</f>
        <v>David</v>
      </c>
      <c r="F574" t="s">
        <v>46</v>
      </c>
      <c r="G574">
        <v>19</v>
      </c>
      <c r="H574" t="str">
        <f>IF(AND(G574&gt;18, G574&lt;65), "Valid", "Invalid")</f>
        <v>Valid</v>
      </c>
      <c r="I574" t="s">
        <v>70</v>
      </c>
      <c r="J574" t="str">
        <f>PROPER(TRIM(I574))</f>
        <v>Abuja</v>
      </c>
      <c r="K574" t="s">
        <v>48</v>
      </c>
      <c r="L574" t="str">
        <f>PROPER(TRIM(K574))</f>
        <v>Groceries</v>
      </c>
      <c r="M574" t="s">
        <v>49</v>
      </c>
      <c r="N574" t="str">
        <f>PROPER(TRIM(M574))</f>
        <v>Rice</v>
      </c>
      <c r="O574">
        <v>61.37</v>
      </c>
      <c r="P574">
        <v>-2</v>
      </c>
      <c r="Q574">
        <f>IF(P574&lt;1, 1, P574)</f>
        <v>1</v>
      </c>
      <c r="R574">
        <v>0</v>
      </c>
      <c r="S574" t="str">
        <f>IF(OR(R574&lt;0,R574&gt;100),"invalid","Valid")</f>
        <v>Valid</v>
      </c>
      <c r="T574" t="s">
        <v>64</v>
      </c>
      <c r="U574" t="str">
        <f>PROPER(TRIM(T574))</f>
        <v>Transfer</v>
      </c>
      <c r="V574" t="s">
        <v>91</v>
      </c>
      <c r="W574" t="str">
        <f t="shared" si="16"/>
        <v>Ben</v>
      </c>
      <c r="X574" t="s">
        <v>26</v>
      </c>
      <c r="Z574" t="str">
        <f>IF(D574="", "Missing", "ok")</f>
        <v>ok</v>
      </c>
      <c r="AA574">
        <f t="shared" si="17"/>
        <v>61.37</v>
      </c>
    </row>
    <row r="575" spans="1:27" x14ac:dyDescent="0.25">
      <c r="A575" t="s">
        <v>1576</v>
      </c>
      <c r="B575" s="1" t="s">
        <v>1149</v>
      </c>
      <c r="C575" t="s">
        <v>1577</v>
      </c>
      <c r="D575" t="s">
        <v>45</v>
      </c>
      <c r="E575" t="str">
        <f>PROPER(TRIM(D575))</f>
        <v>James</v>
      </c>
      <c r="F575" t="s">
        <v>46</v>
      </c>
      <c r="G575">
        <v>130</v>
      </c>
      <c r="H575" t="str">
        <f>IF(AND(G575&gt;18, G575&lt;65), "Valid", "Invalid")</f>
        <v>Invalid</v>
      </c>
      <c r="I575" t="s">
        <v>30</v>
      </c>
      <c r="J575" t="str">
        <f>PROPER(TRIM(I575))</f>
        <v>Lagos</v>
      </c>
      <c r="K575" t="s">
        <v>39</v>
      </c>
      <c r="L575" t="str">
        <f>PROPER(TRIM(K575))</f>
        <v>Electronics</v>
      </c>
      <c r="M575" t="s">
        <v>40</v>
      </c>
      <c r="N575" t="str">
        <f>PROPER(TRIM(M575))</f>
        <v>Phone</v>
      </c>
      <c r="O575">
        <v>15.13</v>
      </c>
      <c r="P575">
        <v>9</v>
      </c>
      <c r="Q575">
        <f>IF(P575&lt;1, 1, P575)</f>
        <v>9</v>
      </c>
      <c r="R575">
        <v>15</v>
      </c>
      <c r="S575" t="str">
        <f>IF(OR(R575&lt;0,R575&gt;100),"invalid","Valid")</f>
        <v>Valid</v>
      </c>
      <c r="T575" t="s">
        <v>77</v>
      </c>
      <c r="U575" t="str">
        <f>PROPER(TRIM(T575))</f>
        <v>Cash</v>
      </c>
      <c r="V575" t="s">
        <v>25</v>
      </c>
      <c r="W575" t="str">
        <f t="shared" si="16"/>
        <v>Dan</v>
      </c>
      <c r="X575" t="s">
        <v>82</v>
      </c>
      <c r="Y575">
        <v>1</v>
      </c>
      <c r="Z575" t="str">
        <f>IF(D575="", "Missing", "ok")</f>
        <v>ok</v>
      </c>
      <c r="AA575">
        <f t="shared" si="17"/>
        <v>115.74450000000002</v>
      </c>
    </row>
    <row r="576" spans="1:27" x14ac:dyDescent="0.25">
      <c r="A576" t="s">
        <v>1578</v>
      </c>
      <c r="B576" s="1" t="s">
        <v>1579</v>
      </c>
      <c r="C576" t="s">
        <v>1580</v>
      </c>
      <c r="D576" t="s">
        <v>45</v>
      </c>
      <c r="E576" t="str">
        <f>PROPER(TRIM(D576))</f>
        <v>James</v>
      </c>
      <c r="F576" t="s">
        <v>20</v>
      </c>
      <c r="G576">
        <v>130</v>
      </c>
      <c r="H576" t="str">
        <f>IF(AND(G576&gt;18, G576&lt;65), "Valid", "Invalid")</f>
        <v>Invalid</v>
      </c>
      <c r="I576" t="s">
        <v>70</v>
      </c>
      <c r="J576" t="str">
        <f>PROPER(TRIM(I576))</f>
        <v>Abuja</v>
      </c>
      <c r="K576" t="s">
        <v>39</v>
      </c>
      <c r="L576" t="str">
        <f>PROPER(TRIM(K576))</f>
        <v>Electronics</v>
      </c>
      <c r="M576" t="s">
        <v>40</v>
      </c>
      <c r="N576" t="str">
        <f>PROPER(TRIM(M576))</f>
        <v>Phone</v>
      </c>
      <c r="O576">
        <v>142</v>
      </c>
      <c r="P576">
        <v>10</v>
      </c>
      <c r="Q576">
        <f>IF(P576&lt;1, 1, P576)</f>
        <v>10</v>
      </c>
      <c r="R576">
        <v>0</v>
      </c>
      <c r="S576" t="str">
        <f>IF(OR(R576&lt;0,R576&gt;100),"invalid","Valid")</f>
        <v>Valid</v>
      </c>
      <c r="T576" t="s">
        <v>77</v>
      </c>
      <c r="U576" t="str">
        <f>PROPER(TRIM(T576))</f>
        <v>Cash</v>
      </c>
      <c r="V576" t="s">
        <v>25</v>
      </c>
      <c r="W576" t="str">
        <f t="shared" si="16"/>
        <v>Dan</v>
      </c>
      <c r="X576" t="s">
        <v>82</v>
      </c>
      <c r="Y576">
        <v>5</v>
      </c>
      <c r="Z576" t="str">
        <f>IF(D576="", "Missing", "ok")</f>
        <v>ok</v>
      </c>
      <c r="AA576">
        <f t="shared" si="17"/>
        <v>1420</v>
      </c>
    </row>
    <row r="577" spans="1:27" x14ac:dyDescent="0.25">
      <c r="A577" t="s">
        <v>1581</v>
      </c>
      <c r="B577" s="1" t="s">
        <v>1039</v>
      </c>
      <c r="C577" t="s">
        <v>1582</v>
      </c>
      <c r="D577" t="s">
        <v>45</v>
      </c>
      <c r="E577" t="str">
        <f>PROPER(TRIM(D577))</f>
        <v>James</v>
      </c>
      <c r="F577" t="s">
        <v>46</v>
      </c>
      <c r="G577">
        <v>8</v>
      </c>
      <c r="H577" t="str">
        <f>IF(AND(G577&gt;18, G577&lt;65), "Valid", "Invalid")</f>
        <v>Invalid</v>
      </c>
      <c r="I577" t="s">
        <v>30</v>
      </c>
      <c r="J577" t="str">
        <f>PROPER(TRIM(I577))</f>
        <v>Lagos</v>
      </c>
      <c r="K577" t="s">
        <v>121</v>
      </c>
      <c r="L577" t="str">
        <f>PROPER(TRIM(K577))</f>
        <v>Beauty</v>
      </c>
      <c r="M577" t="s">
        <v>122</v>
      </c>
      <c r="N577" t="str">
        <f>PROPER(TRIM(M577))</f>
        <v>Cream</v>
      </c>
      <c r="O577">
        <v>410.44</v>
      </c>
      <c r="P577">
        <v>2</v>
      </c>
      <c r="Q577">
        <f>IF(P577&lt;1, 1, P577)</f>
        <v>2</v>
      </c>
      <c r="R577">
        <v>0</v>
      </c>
      <c r="S577" t="str">
        <f>IF(OR(R577&lt;0,R577&gt;100),"invalid","Valid")</f>
        <v>Valid</v>
      </c>
      <c r="T577" t="s">
        <v>24</v>
      </c>
      <c r="U577" t="str">
        <f>PROPER(TRIM(T577))</f>
        <v>Pos</v>
      </c>
      <c r="V577" t="s">
        <v>25</v>
      </c>
      <c r="W577" t="str">
        <f t="shared" si="16"/>
        <v>Dan</v>
      </c>
      <c r="X577" t="s">
        <v>65</v>
      </c>
      <c r="Z577" t="str">
        <f>IF(D577="", "Missing", "ok")</f>
        <v>ok</v>
      </c>
      <c r="AA577">
        <f t="shared" si="17"/>
        <v>820.88</v>
      </c>
    </row>
    <row r="578" spans="1:27" x14ac:dyDescent="0.25">
      <c r="A578" t="s">
        <v>1583</v>
      </c>
      <c r="B578" s="1" t="s">
        <v>1186</v>
      </c>
      <c r="C578" t="s">
        <v>1584</v>
      </c>
      <c r="D578" t="s">
        <v>63</v>
      </c>
      <c r="E578" t="str">
        <f>PROPER(TRIM(D578))</f>
        <v>John</v>
      </c>
      <c r="F578" t="s">
        <v>46</v>
      </c>
      <c r="G578">
        <v>8</v>
      </c>
      <c r="H578" t="str">
        <f>IF(AND(G578&gt;18, G578&lt;65), "Valid", "Invalid")</f>
        <v>Invalid</v>
      </c>
      <c r="I578" t="s">
        <v>21</v>
      </c>
      <c r="J578" t="str">
        <f>PROPER(TRIM(I578))</f>
        <v>Lagos</v>
      </c>
      <c r="K578" t="s">
        <v>54</v>
      </c>
      <c r="L578" t="str">
        <f>PROPER(TRIM(K578))</f>
        <v>Home</v>
      </c>
      <c r="M578" t="s">
        <v>55</v>
      </c>
      <c r="N578" t="str">
        <f>PROPER(TRIM(M578))</f>
        <v>Chair</v>
      </c>
      <c r="O578">
        <v>90.77</v>
      </c>
      <c r="P578">
        <v>-2</v>
      </c>
      <c r="Q578">
        <f>IF(P578&lt;1, 1, P578)</f>
        <v>1</v>
      </c>
      <c r="R578">
        <v>5</v>
      </c>
      <c r="S578" t="str">
        <f>IF(OR(R578&lt;0,R578&gt;100),"invalid","Valid")</f>
        <v>Valid</v>
      </c>
      <c r="T578" t="s">
        <v>24</v>
      </c>
      <c r="U578" t="str">
        <f>PROPER(TRIM(T578))</f>
        <v>Pos</v>
      </c>
      <c r="V578" t="s">
        <v>25</v>
      </c>
      <c r="W578" t="str">
        <f t="shared" ref="W578:W641" si="18">PROPER(TRIM(V578))</f>
        <v>Dan</v>
      </c>
      <c r="X578" t="s">
        <v>65</v>
      </c>
      <c r="Y578">
        <v>5</v>
      </c>
      <c r="Z578" t="str">
        <f>IF(D578="", "Missing", "ok")</f>
        <v>ok</v>
      </c>
      <c r="AA578">
        <f t="shared" si="17"/>
        <v>86.231499999999997</v>
      </c>
    </row>
    <row r="579" spans="1:27" x14ac:dyDescent="0.25">
      <c r="A579" t="s">
        <v>1585</v>
      </c>
      <c r="B579" s="1" t="s">
        <v>1586</v>
      </c>
      <c r="C579" t="s">
        <v>1587</v>
      </c>
      <c r="D579" t="s">
        <v>19</v>
      </c>
      <c r="E579" t="str">
        <f>PROPER(TRIM(D579))</f>
        <v>Peter</v>
      </c>
      <c r="F579" t="s">
        <v>20</v>
      </c>
      <c r="G579">
        <v>130</v>
      </c>
      <c r="H579" t="str">
        <f>IF(AND(G579&gt;18, G579&lt;65), "Valid", "Invalid")</f>
        <v>Invalid</v>
      </c>
      <c r="I579" t="s">
        <v>30</v>
      </c>
      <c r="J579" t="str">
        <f>PROPER(TRIM(I579))</f>
        <v>Lagos</v>
      </c>
      <c r="K579" t="s">
        <v>22</v>
      </c>
      <c r="L579" t="str">
        <f>PROPER(TRIM(K579))</f>
        <v>Fashion</v>
      </c>
      <c r="M579" t="s">
        <v>23</v>
      </c>
      <c r="N579" t="str">
        <f>PROPER(TRIM(M579))</f>
        <v>Shirt</v>
      </c>
      <c r="O579">
        <v>38.61</v>
      </c>
      <c r="P579">
        <v>10</v>
      </c>
      <c r="Q579">
        <f>IF(P579&lt;1, 1, P579)</f>
        <v>10</v>
      </c>
      <c r="R579">
        <v>10</v>
      </c>
      <c r="S579" t="str">
        <f>IF(OR(R579&lt;0,R579&gt;100),"invalid","Valid")</f>
        <v>Valid</v>
      </c>
      <c r="T579" t="s">
        <v>77</v>
      </c>
      <c r="U579" t="str">
        <f>PROPER(TRIM(T579))</f>
        <v>Cash</v>
      </c>
      <c r="V579" t="s">
        <v>25</v>
      </c>
      <c r="W579" t="str">
        <f t="shared" si="18"/>
        <v>Dan</v>
      </c>
      <c r="X579" t="s">
        <v>33</v>
      </c>
      <c r="Y579">
        <v>4</v>
      </c>
      <c r="Z579" t="str">
        <f>IF(D579="", "Missing", "ok")</f>
        <v>ok</v>
      </c>
      <c r="AA579">
        <f t="shared" ref="AA579:AA642" si="19">(O579*Q579)*(1-R579/100)</f>
        <v>347.49</v>
      </c>
    </row>
    <row r="580" spans="1:27" x14ac:dyDescent="0.25">
      <c r="A580" t="s">
        <v>1588</v>
      </c>
      <c r="B580" s="1" t="s">
        <v>1589</v>
      </c>
      <c r="C580" t="s">
        <v>1590</v>
      </c>
      <c r="D580" t="s">
        <v>19</v>
      </c>
      <c r="E580" t="str">
        <f>PROPER(TRIM(D580))</f>
        <v>Peter</v>
      </c>
      <c r="F580" t="s">
        <v>46</v>
      </c>
      <c r="G580">
        <v>46</v>
      </c>
      <c r="H580" t="str">
        <f>IF(AND(G580&gt;18, G580&lt;65), "Valid", "Invalid")</f>
        <v>Valid</v>
      </c>
      <c r="I580" t="s">
        <v>53</v>
      </c>
      <c r="J580" t="str">
        <f>PROPER(TRIM(I580))</f>
        <v>Lagos</v>
      </c>
      <c r="K580" t="s">
        <v>121</v>
      </c>
      <c r="L580" t="str">
        <f>PROPER(TRIM(K580))</f>
        <v>Beauty</v>
      </c>
      <c r="M580" t="s">
        <v>122</v>
      </c>
      <c r="N580" t="str">
        <f>PROPER(TRIM(M580))</f>
        <v>Cream</v>
      </c>
      <c r="O580">
        <v>167.28</v>
      </c>
      <c r="P580">
        <v>2</v>
      </c>
      <c r="Q580">
        <f>IF(P580&lt;1, 1, P580)</f>
        <v>2</v>
      </c>
      <c r="R580">
        <v>5</v>
      </c>
      <c r="S580" t="str">
        <f>IF(OR(R580&lt;0,R580&gt;100),"invalid","Valid")</f>
        <v>Valid</v>
      </c>
      <c r="T580" t="s">
        <v>59</v>
      </c>
      <c r="U580" t="str">
        <f>PROPER(TRIM(T580))</f>
        <v>Mobile Money</v>
      </c>
      <c r="V580" t="s">
        <v>81</v>
      </c>
      <c r="W580" t="str">
        <f t="shared" si="18"/>
        <v>Ada</v>
      </c>
      <c r="X580" t="s">
        <v>26</v>
      </c>
      <c r="Y580">
        <v>1</v>
      </c>
      <c r="Z580" t="str">
        <f>IF(D580="", "Missing", "ok")</f>
        <v>ok</v>
      </c>
      <c r="AA580">
        <f t="shared" si="19"/>
        <v>317.83199999999999</v>
      </c>
    </row>
    <row r="581" spans="1:27" x14ac:dyDescent="0.25">
      <c r="A581" t="s">
        <v>1591</v>
      </c>
      <c r="B581" s="1" t="s">
        <v>1592</v>
      </c>
      <c r="C581" t="s">
        <v>1593</v>
      </c>
      <c r="D581" t="s">
        <v>69</v>
      </c>
      <c r="E581" t="str">
        <f>PROPER(TRIM(D581))</f>
        <v>Mary</v>
      </c>
      <c r="F581" t="s">
        <v>20</v>
      </c>
      <c r="G581">
        <v>34</v>
      </c>
      <c r="H581" t="str">
        <f>IF(AND(G581&gt;18, G581&lt;65), "Valid", "Invalid")</f>
        <v>Valid</v>
      </c>
      <c r="I581" t="s">
        <v>21</v>
      </c>
      <c r="J581" t="str">
        <f>PROPER(TRIM(I581))</f>
        <v>Lagos</v>
      </c>
      <c r="K581" t="s">
        <v>121</v>
      </c>
      <c r="L581" t="str">
        <f>PROPER(TRIM(K581))</f>
        <v>Beauty</v>
      </c>
      <c r="M581" t="s">
        <v>122</v>
      </c>
      <c r="N581" t="str">
        <f>PROPER(TRIM(M581))</f>
        <v>Cream</v>
      </c>
      <c r="O581">
        <v>437.48</v>
      </c>
      <c r="P581">
        <v>-2</v>
      </c>
      <c r="Q581">
        <f>IF(P581&lt;1, 1, P581)</f>
        <v>1</v>
      </c>
      <c r="R581">
        <v>15</v>
      </c>
      <c r="S581" t="str">
        <f>IF(OR(R581&lt;0,R581&gt;100),"invalid","Valid")</f>
        <v>Valid</v>
      </c>
      <c r="T581" t="s">
        <v>59</v>
      </c>
      <c r="U581" t="str">
        <f>PROPER(TRIM(T581))</f>
        <v>Mobile Money</v>
      </c>
      <c r="V581" t="s">
        <v>41</v>
      </c>
      <c r="W581" t="str">
        <f t="shared" si="18"/>
        <v>Chi</v>
      </c>
      <c r="X581" t="s">
        <v>26</v>
      </c>
      <c r="Y581">
        <v>4</v>
      </c>
      <c r="Z581" t="str">
        <f>IF(D581="", "Missing", "ok")</f>
        <v>ok</v>
      </c>
      <c r="AA581">
        <f t="shared" si="19"/>
        <v>371.858</v>
      </c>
    </row>
    <row r="582" spans="1:27" x14ac:dyDescent="0.25">
      <c r="A582" t="s">
        <v>1594</v>
      </c>
      <c r="B582" s="1" t="s">
        <v>911</v>
      </c>
      <c r="C582" t="s">
        <v>1595</v>
      </c>
      <c r="E582" t="str">
        <f>PROPER(TRIM(D582))</f>
        <v/>
      </c>
      <c r="F582" t="s">
        <v>20</v>
      </c>
      <c r="G582">
        <v>130</v>
      </c>
      <c r="H582" t="str">
        <f>IF(AND(G582&gt;18, G582&lt;65), "Valid", "Invalid")</f>
        <v>Invalid</v>
      </c>
      <c r="I582" t="s">
        <v>38</v>
      </c>
      <c r="J582" t="str">
        <f>PROPER(TRIM(I582))</f>
        <v>Ph</v>
      </c>
      <c r="K582" t="s">
        <v>48</v>
      </c>
      <c r="L582" t="str">
        <f>PROPER(TRIM(K582))</f>
        <v>Groceries</v>
      </c>
      <c r="M582" t="s">
        <v>49</v>
      </c>
      <c r="N582" t="str">
        <f>PROPER(TRIM(M582))</f>
        <v>Rice</v>
      </c>
      <c r="O582">
        <v>419.4</v>
      </c>
      <c r="P582">
        <v>-2</v>
      </c>
      <c r="Q582">
        <f>IF(P582&lt;1, 1, P582)</f>
        <v>1</v>
      </c>
      <c r="R582">
        <v>5</v>
      </c>
      <c r="S582" t="str">
        <f>IF(OR(R582&lt;0,R582&gt;100),"invalid","Valid")</f>
        <v>Valid</v>
      </c>
      <c r="U582" t="str">
        <f>PROPER(TRIM(T582))</f>
        <v/>
      </c>
      <c r="V582" t="s">
        <v>41</v>
      </c>
      <c r="W582" t="str">
        <f t="shared" si="18"/>
        <v>Chi</v>
      </c>
      <c r="X582" t="s">
        <v>33</v>
      </c>
      <c r="Y582">
        <v>2</v>
      </c>
      <c r="Z582" t="str">
        <f>IF(D582="", "Missing", "ok")</f>
        <v>Missing</v>
      </c>
      <c r="AA582">
        <f t="shared" si="19"/>
        <v>398.42999999999995</v>
      </c>
    </row>
    <row r="583" spans="1:27" x14ac:dyDescent="0.25">
      <c r="A583" t="s">
        <v>1596</v>
      </c>
      <c r="B583" s="1" t="s">
        <v>455</v>
      </c>
      <c r="C583" t="s">
        <v>1597</v>
      </c>
      <c r="D583" t="s">
        <v>101</v>
      </c>
      <c r="E583" t="str">
        <f>PROPER(TRIM(D583))</f>
        <v>Grace</v>
      </c>
      <c r="F583" t="s">
        <v>46</v>
      </c>
      <c r="G583">
        <v>60</v>
      </c>
      <c r="H583" t="str">
        <f>IF(AND(G583&gt;18, G583&lt;65), "Valid", "Invalid")</f>
        <v>Valid</v>
      </c>
      <c r="I583" t="s">
        <v>47</v>
      </c>
      <c r="J583" t="str">
        <f>PROPER(TRIM(I583))</f>
        <v>Enugu</v>
      </c>
      <c r="K583" t="s">
        <v>31</v>
      </c>
      <c r="L583" t="str">
        <f>PROPER(TRIM(K583))</f>
        <v>Sports</v>
      </c>
      <c r="M583" t="s">
        <v>32</v>
      </c>
      <c r="N583" t="str">
        <f>PROPER(TRIM(M583))</f>
        <v>Ball</v>
      </c>
      <c r="O583">
        <v>399.3</v>
      </c>
      <c r="P583">
        <v>-2</v>
      </c>
      <c r="Q583">
        <f>IF(P583&lt;1, 1, P583)</f>
        <v>1</v>
      </c>
      <c r="R583">
        <v>15</v>
      </c>
      <c r="S583" t="str">
        <f>IF(OR(R583&lt;0,R583&gt;100),"invalid","Valid")</f>
        <v>Valid</v>
      </c>
      <c r="T583" t="s">
        <v>64</v>
      </c>
      <c r="U583" t="str">
        <f>PROPER(TRIM(T583))</f>
        <v>Transfer</v>
      </c>
      <c r="V583" t="s">
        <v>81</v>
      </c>
      <c r="W583" t="str">
        <f t="shared" si="18"/>
        <v>Ada</v>
      </c>
      <c r="X583" t="s">
        <v>33</v>
      </c>
      <c r="Y583">
        <v>5</v>
      </c>
      <c r="Z583" t="str">
        <f>IF(D583="", "Missing", "ok")</f>
        <v>ok</v>
      </c>
      <c r="AA583">
        <f t="shared" si="19"/>
        <v>339.40499999999997</v>
      </c>
    </row>
    <row r="584" spans="1:27" x14ac:dyDescent="0.25">
      <c r="A584" t="s">
        <v>1598</v>
      </c>
      <c r="B584" s="1" t="s">
        <v>443</v>
      </c>
      <c r="C584" t="s">
        <v>939</v>
      </c>
      <c r="D584" t="s">
        <v>37</v>
      </c>
      <c r="E584" t="str">
        <f>PROPER(TRIM(D584))</f>
        <v>Aisha</v>
      </c>
      <c r="F584" t="s">
        <v>20</v>
      </c>
      <c r="G584">
        <v>8</v>
      </c>
      <c r="H584" t="str">
        <f>IF(AND(G584&gt;18, G584&lt;65), "Valid", "Invalid")</f>
        <v>Invalid</v>
      </c>
      <c r="I584" t="s">
        <v>53</v>
      </c>
      <c r="J584" t="str">
        <f>PROPER(TRIM(I584))</f>
        <v>Lagos</v>
      </c>
      <c r="K584" t="s">
        <v>48</v>
      </c>
      <c r="L584" t="str">
        <f>PROPER(TRIM(K584))</f>
        <v>Groceries</v>
      </c>
      <c r="M584" t="s">
        <v>49</v>
      </c>
      <c r="N584" t="str">
        <f>PROPER(TRIM(M584))</f>
        <v>Rice</v>
      </c>
      <c r="O584">
        <v>253.99</v>
      </c>
      <c r="P584">
        <v>-2</v>
      </c>
      <c r="Q584">
        <f>IF(P584&lt;1, 1, P584)</f>
        <v>1</v>
      </c>
      <c r="R584">
        <v>120</v>
      </c>
      <c r="S584" t="str">
        <f>IF(OR(R584&lt;0,R584&gt;100),"invalid","Valid")</f>
        <v>invalid</v>
      </c>
      <c r="T584" t="s">
        <v>64</v>
      </c>
      <c r="U584" t="str">
        <f>PROPER(TRIM(T584))</f>
        <v>Transfer</v>
      </c>
      <c r="V584" t="s">
        <v>41</v>
      </c>
      <c r="W584" t="str">
        <f t="shared" si="18"/>
        <v>Chi</v>
      </c>
      <c r="X584" t="s">
        <v>33</v>
      </c>
      <c r="Y584">
        <v>3</v>
      </c>
      <c r="Z584" t="str">
        <f>IF(D584="", "Missing", "ok")</f>
        <v>ok</v>
      </c>
      <c r="AA584">
        <f t="shared" si="19"/>
        <v>-50.797999999999988</v>
      </c>
    </row>
    <row r="585" spans="1:27" x14ac:dyDescent="0.25">
      <c r="A585" t="s">
        <v>1599</v>
      </c>
      <c r="B585" s="1" t="s">
        <v>1600</v>
      </c>
      <c r="C585" t="s">
        <v>1601</v>
      </c>
      <c r="D585" t="s">
        <v>37</v>
      </c>
      <c r="E585" t="str">
        <f>PROPER(TRIM(D585))</f>
        <v>Aisha</v>
      </c>
      <c r="F585" t="s">
        <v>20</v>
      </c>
      <c r="G585">
        <v>8</v>
      </c>
      <c r="H585" t="str">
        <f>IF(AND(G585&gt;18, G585&lt;65), "Valid", "Invalid")</f>
        <v>Invalid</v>
      </c>
      <c r="I585" t="s">
        <v>86</v>
      </c>
      <c r="J585" t="str">
        <f>PROPER(TRIM(I585))</f>
        <v>Kano</v>
      </c>
      <c r="K585" t="s">
        <v>121</v>
      </c>
      <c r="L585" t="str">
        <f>PROPER(TRIM(K585))</f>
        <v>Beauty</v>
      </c>
      <c r="M585" t="s">
        <v>122</v>
      </c>
      <c r="N585" t="str">
        <f>PROPER(TRIM(M585))</f>
        <v>Cream</v>
      </c>
      <c r="O585">
        <v>184.92</v>
      </c>
      <c r="P585">
        <v>-2</v>
      </c>
      <c r="Q585">
        <f>IF(P585&lt;1, 1, P585)</f>
        <v>1</v>
      </c>
      <c r="R585">
        <v>-10</v>
      </c>
      <c r="S585" t="str">
        <f>IF(OR(R585&lt;0,R585&gt;100),"invalid","Valid")</f>
        <v>invalid</v>
      </c>
      <c r="T585" t="s">
        <v>59</v>
      </c>
      <c r="U585" t="str">
        <f>PROPER(TRIM(T585))</f>
        <v>Mobile Money</v>
      </c>
      <c r="V585" t="s">
        <v>25</v>
      </c>
      <c r="W585" t="str">
        <f t="shared" si="18"/>
        <v>Dan</v>
      </c>
      <c r="X585" t="s">
        <v>82</v>
      </c>
      <c r="Y585">
        <v>2</v>
      </c>
      <c r="Z585" t="str">
        <f>IF(D585="", "Missing", "ok")</f>
        <v>ok</v>
      </c>
      <c r="AA585">
        <f t="shared" si="19"/>
        <v>203.41200000000001</v>
      </c>
    </row>
    <row r="586" spans="1:27" x14ac:dyDescent="0.25">
      <c r="A586" t="s">
        <v>1602</v>
      </c>
      <c r="B586" s="1" t="s">
        <v>1603</v>
      </c>
      <c r="C586" t="s">
        <v>826</v>
      </c>
      <c r="D586" t="s">
        <v>19</v>
      </c>
      <c r="E586" t="str">
        <f>PROPER(TRIM(D586))</f>
        <v>Peter</v>
      </c>
      <c r="F586" t="s">
        <v>20</v>
      </c>
      <c r="G586">
        <v>130</v>
      </c>
      <c r="H586" t="str">
        <f>IF(AND(G586&gt;18, G586&lt;65), "Valid", "Invalid")</f>
        <v>Invalid</v>
      </c>
      <c r="I586" t="s">
        <v>53</v>
      </c>
      <c r="J586" t="str">
        <f>PROPER(TRIM(I586))</f>
        <v>Lagos</v>
      </c>
      <c r="K586" t="s">
        <v>48</v>
      </c>
      <c r="L586" t="str">
        <f>PROPER(TRIM(K586))</f>
        <v>Groceries</v>
      </c>
      <c r="M586" t="s">
        <v>49</v>
      </c>
      <c r="N586" t="str">
        <f>PROPER(TRIM(M586))</f>
        <v>Rice</v>
      </c>
      <c r="O586">
        <v>338.19</v>
      </c>
      <c r="P586">
        <v>-2</v>
      </c>
      <c r="Q586">
        <f>IF(P586&lt;1, 1, P586)</f>
        <v>1</v>
      </c>
      <c r="R586">
        <v>15</v>
      </c>
      <c r="S586" t="str">
        <f>IF(OR(R586&lt;0,R586&gt;100),"invalid","Valid")</f>
        <v>Valid</v>
      </c>
      <c r="T586" t="s">
        <v>64</v>
      </c>
      <c r="U586" t="str">
        <f>PROPER(TRIM(T586))</f>
        <v>Transfer</v>
      </c>
      <c r="V586" t="s">
        <v>81</v>
      </c>
      <c r="W586" t="str">
        <f t="shared" si="18"/>
        <v>Ada</v>
      </c>
      <c r="X586" t="s">
        <v>65</v>
      </c>
      <c r="Z586" t="str">
        <f>IF(D586="", "Missing", "ok")</f>
        <v>ok</v>
      </c>
      <c r="AA586">
        <f t="shared" si="19"/>
        <v>287.4615</v>
      </c>
    </row>
    <row r="587" spans="1:27" x14ac:dyDescent="0.25">
      <c r="A587" t="s">
        <v>1604</v>
      </c>
      <c r="B587" s="1" t="s">
        <v>584</v>
      </c>
      <c r="C587" t="s">
        <v>1605</v>
      </c>
      <c r="E587" t="str">
        <f>PROPER(TRIM(D587))</f>
        <v/>
      </c>
      <c r="F587" t="s">
        <v>20</v>
      </c>
      <c r="G587">
        <v>8</v>
      </c>
      <c r="H587" t="str">
        <f>IF(AND(G587&gt;18, G587&lt;65), "Valid", "Invalid")</f>
        <v>Invalid</v>
      </c>
      <c r="I587" t="s">
        <v>53</v>
      </c>
      <c r="J587" t="str">
        <f>PROPER(TRIM(I587))</f>
        <v>Lagos</v>
      </c>
      <c r="K587" t="s">
        <v>31</v>
      </c>
      <c r="L587" t="str">
        <f>PROPER(TRIM(K587))</f>
        <v>Sports</v>
      </c>
      <c r="M587" t="s">
        <v>32</v>
      </c>
      <c r="N587" t="str">
        <f>PROPER(TRIM(M587))</f>
        <v>Ball</v>
      </c>
      <c r="O587">
        <v>347.26</v>
      </c>
      <c r="P587">
        <v>4</v>
      </c>
      <c r="Q587">
        <f>IF(P587&lt;1, 1, P587)</f>
        <v>4</v>
      </c>
      <c r="R587">
        <v>15</v>
      </c>
      <c r="S587" t="str">
        <f>IF(OR(R587&lt;0,R587&gt;100),"invalid","Valid")</f>
        <v>Valid</v>
      </c>
      <c r="T587" t="s">
        <v>24</v>
      </c>
      <c r="U587" t="str">
        <f>PROPER(TRIM(T587))</f>
        <v>Pos</v>
      </c>
      <c r="V587" t="s">
        <v>81</v>
      </c>
      <c r="W587" t="str">
        <f t="shared" si="18"/>
        <v>Ada</v>
      </c>
      <c r="X587" t="s">
        <v>33</v>
      </c>
      <c r="Y587">
        <v>2</v>
      </c>
      <c r="Z587" t="str">
        <f>IF(D587="", "Missing", "ok")</f>
        <v>Missing</v>
      </c>
      <c r="AA587">
        <f t="shared" si="19"/>
        <v>1180.684</v>
      </c>
    </row>
    <row r="588" spans="1:27" x14ac:dyDescent="0.25">
      <c r="A588" t="s">
        <v>1606</v>
      </c>
      <c r="B588" s="1" t="s">
        <v>1607</v>
      </c>
      <c r="C588" t="s">
        <v>1608</v>
      </c>
      <c r="D588" t="s">
        <v>69</v>
      </c>
      <c r="E588" t="str">
        <f>PROPER(TRIM(D588))</f>
        <v>Mary</v>
      </c>
      <c r="F588" t="s">
        <v>46</v>
      </c>
      <c r="G588">
        <v>8</v>
      </c>
      <c r="H588" t="str">
        <f>IF(AND(G588&gt;18, G588&lt;65), "Valid", "Invalid")</f>
        <v>Invalid</v>
      </c>
      <c r="I588" t="s">
        <v>21</v>
      </c>
      <c r="J588" t="str">
        <f>PROPER(TRIM(I588))</f>
        <v>Lagos</v>
      </c>
      <c r="K588" t="s">
        <v>48</v>
      </c>
      <c r="L588" t="str">
        <f>PROPER(TRIM(K588))</f>
        <v>Groceries</v>
      </c>
      <c r="M588" t="s">
        <v>49</v>
      </c>
      <c r="N588" t="str">
        <f>PROPER(TRIM(M588))</f>
        <v>Rice</v>
      </c>
      <c r="O588">
        <v>409.71</v>
      </c>
      <c r="P588">
        <v>-2</v>
      </c>
      <c r="Q588">
        <f>IF(P588&lt;1, 1, P588)</f>
        <v>1</v>
      </c>
      <c r="R588">
        <v>15</v>
      </c>
      <c r="S588" t="str">
        <f>IF(OR(R588&lt;0,R588&gt;100),"invalid","Valid")</f>
        <v>Valid</v>
      </c>
      <c r="T588" t="s">
        <v>24</v>
      </c>
      <c r="U588" t="str">
        <f>PROPER(TRIM(T588))</f>
        <v>Pos</v>
      </c>
      <c r="V588" t="s">
        <v>25</v>
      </c>
      <c r="W588" t="str">
        <f t="shared" si="18"/>
        <v>Dan</v>
      </c>
      <c r="X588" t="s">
        <v>65</v>
      </c>
      <c r="Y588">
        <v>3</v>
      </c>
      <c r="Z588" t="str">
        <f>IF(D588="", "Missing", "ok")</f>
        <v>ok</v>
      </c>
      <c r="AA588">
        <f t="shared" si="19"/>
        <v>348.25349999999997</v>
      </c>
    </row>
    <row r="589" spans="1:27" x14ac:dyDescent="0.25">
      <c r="A589" t="s">
        <v>1609</v>
      </c>
      <c r="B589" s="1" t="s">
        <v>369</v>
      </c>
      <c r="C589" t="s">
        <v>1610</v>
      </c>
      <c r="D589" t="s">
        <v>63</v>
      </c>
      <c r="E589" t="str">
        <f>PROPER(TRIM(D589))</f>
        <v>John</v>
      </c>
      <c r="F589" t="s">
        <v>46</v>
      </c>
      <c r="G589">
        <v>51</v>
      </c>
      <c r="H589" t="str">
        <f>IF(AND(G589&gt;18, G589&lt;65), "Valid", "Invalid")</f>
        <v>Valid</v>
      </c>
      <c r="I589" t="s">
        <v>21</v>
      </c>
      <c r="J589" t="str">
        <f>PROPER(TRIM(I589))</f>
        <v>Lagos</v>
      </c>
      <c r="K589" t="s">
        <v>121</v>
      </c>
      <c r="L589" t="str">
        <f>PROPER(TRIM(K589))</f>
        <v>Beauty</v>
      </c>
      <c r="M589" t="s">
        <v>122</v>
      </c>
      <c r="N589" t="str">
        <f>PROPER(TRIM(M589))</f>
        <v>Cream</v>
      </c>
      <c r="O589">
        <v>479.27</v>
      </c>
      <c r="P589">
        <v>-2</v>
      </c>
      <c r="Q589">
        <f>IF(P589&lt;1, 1, P589)</f>
        <v>1</v>
      </c>
      <c r="R589">
        <v>-10</v>
      </c>
      <c r="S589" t="str">
        <f>IF(OR(R589&lt;0,R589&gt;100),"invalid","Valid")</f>
        <v>invalid</v>
      </c>
      <c r="T589" t="s">
        <v>24</v>
      </c>
      <c r="U589" t="str">
        <f>PROPER(TRIM(T589))</f>
        <v>Pos</v>
      </c>
      <c r="V589" t="s">
        <v>91</v>
      </c>
      <c r="W589" t="str">
        <f t="shared" si="18"/>
        <v>Ben</v>
      </c>
      <c r="X589" t="s">
        <v>65</v>
      </c>
      <c r="Y589">
        <v>3</v>
      </c>
      <c r="Z589" t="str">
        <f>IF(D589="", "Missing", "ok")</f>
        <v>ok</v>
      </c>
      <c r="AA589">
        <f t="shared" si="19"/>
        <v>527.197</v>
      </c>
    </row>
    <row r="590" spans="1:27" x14ac:dyDescent="0.25">
      <c r="A590" t="s">
        <v>1611</v>
      </c>
      <c r="B590" s="1" t="s">
        <v>1612</v>
      </c>
      <c r="C590" t="s">
        <v>1613</v>
      </c>
      <c r="D590" t="s">
        <v>69</v>
      </c>
      <c r="E590" t="str">
        <f>PROPER(TRIM(D590))</f>
        <v>Mary</v>
      </c>
      <c r="F590" t="s">
        <v>46</v>
      </c>
      <c r="G590">
        <v>130</v>
      </c>
      <c r="H590" t="str">
        <f>IF(AND(G590&gt;18, G590&lt;65), "Valid", "Invalid")</f>
        <v>Invalid</v>
      </c>
      <c r="I590" t="s">
        <v>70</v>
      </c>
      <c r="J590" t="str">
        <f>PROPER(TRIM(I590))</f>
        <v>Abuja</v>
      </c>
      <c r="K590" t="s">
        <v>121</v>
      </c>
      <c r="L590" t="str">
        <f>PROPER(TRIM(K590))</f>
        <v>Beauty</v>
      </c>
      <c r="M590" t="s">
        <v>122</v>
      </c>
      <c r="N590" t="str">
        <f>PROPER(TRIM(M590))</f>
        <v>Cream</v>
      </c>
      <c r="O590">
        <v>231.99</v>
      </c>
      <c r="P590">
        <v>2</v>
      </c>
      <c r="Q590">
        <f>IF(P590&lt;1, 1, P590)</f>
        <v>2</v>
      </c>
      <c r="R590">
        <v>0</v>
      </c>
      <c r="S590" t="str">
        <f>IF(OR(R590&lt;0,R590&gt;100),"invalid","Valid")</f>
        <v>Valid</v>
      </c>
      <c r="T590" t="s">
        <v>64</v>
      </c>
      <c r="U590" t="str">
        <f>PROPER(TRIM(T590))</f>
        <v>Transfer</v>
      </c>
      <c r="V590" t="s">
        <v>25</v>
      </c>
      <c r="W590" t="str">
        <f t="shared" si="18"/>
        <v>Dan</v>
      </c>
      <c r="X590" t="s">
        <v>26</v>
      </c>
      <c r="Y590">
        <v>4</v>
      </c>
      <c r="Z590" t="str">
        <f>IF(D590="", "Missing", "ok")</f>
        <v>ok</v>
      </c>
      <c r="AA590">
        <f t="shared" si="19"/>
        <v>463.98</v>
      </c>
    </row>
    <row r="591" spans="1:27" x14ac:dyDescent="0.25">
      <c r="A591" t="s">
        <v>1614</v>
      </c>
      <c r="B591" s="1" t="s">
        <v>1615</v>
      </c>
      <c r="C591" t="s">
        <v>1616</v>
      </c>
      <c r="D591" t="s">
        <v>19</v>
      </c>
      <c r="E591" t="str">
        <f>PROPER(TRIM(D591))</f>
        <v>Peter</v>
      </c>
      <c r="F591" t="s">
        <v>20</v>
      </c>
      <c r="G591">
        <v>8</v>
      </c>
      <c r="H591" t="str">
        <f>IF(AND(G591&gt;18, G591&lt;65), "Valid", "Invalid")</f>
        <v>Invalid</v>
      </c>
      <c r="I591" t="s">
        <v>21</v>
      </c>
      <c r="J591" t="str">
        <f>PROPER(TRIM(I591))</f>
        <v>Lagos</v>
      </c>
      <c r="K591" t="s">
        <v>87</v>
      </c>
      <c r="L591" t="str">
        <f>PROPER(TRIM(K591))</f>
        <v>Groceris</v>
      </c>
      <c r="M591" t="s">
        <v>49</v>
      </c>
      <c r="N591" t="str">
        <f>PROPER(TRIM(M591))</f>
        <v>Rice</v>
      </c>
      <c r="O591">
        <v>227.25</v>
      </c>
      <c r="P591">
        <v>2</v>
      </c>
      <c r="Q591">
        <f>IF(P591&lt;1, 1, P591)</f>
        <v>2</v>
      </c>
      <c r="R591">
        <v>120</v>
      </c>
      <c r="S591" t="str">
        <f>IF(OR(R591&lt;0,R591&gt;100),"invalid","Valid")</f>
        <v>invalid</v>
      </c>
      <c r="T591" t="s">
        <v>24</v>
      </c>
      <c r="U591" t="str">
        <f>PROPER(TRIM(T591))</f>
        <v>Pos</v>
      </c>
      <c r="V591" t="s">
        <v>41</v>
      </c>
      <c r="W591" t="str">
        <f t="shared" si="18"/>
        <v>Chi</v>
      </c>
      <c r="X591" t="s">
        <v>82</v>
      </c>
      <c r="Y591">
        <v>2</v>
      </c>
      <c r="Z591" t="str">
        <f>IF(D591="", "Missing", "ok")</f>
        <v>ok</v>
      </c>
      <c r="AA591">
        <f t="shared" si="19"/>
        <v>-90.899999999999977</v>
      </c>
    </row>
    <row r="592" spans="1:27" x14ac:dyDescent="0.25">
      <c r="A592" t="s">
        <v>1617</v>
      </c>
      <c r="B592" s="1" t="s">
        <v>1618</v>
      </c>
      <c r="C592" t="s">
        <v>1619</v>
      </c>
      <c r="D592" t="s">
        <v>117</v>
      </c>
      <c r="E592" t="str">
        <f>PROPER(TRIM(D592))</f>
        <v>David</v>
      </c>
      <c r="F592" t="s">
        <v>20</v>
      </c>
      <c r="G592">
        <v>24</v>
      </c>
      <c r="H592" t="str">
        <f>IF(AND(G592&gt;18, G592&lt;65), "Valid", "Invalid")</f>
        <v>Valid</v>
      </c>
      <c r="I592" t="s">
        <v>70</v>
      </c>
      <c r="J592" t="str">
        <f>PROPER(TRIM(I592))</f>
        <v>Abuja</v>
      </c>
      <c r="K592" t="s">
        <v>121</v>
      </c>
      <c r="L592" t="str">
        <f>PROPER(TRIM(K592))</f>
        <v>Beauty</v>
      </c>
      <c r="M592" t="s">
        <v>122</v>
      </c>
      <c r="N592" t="str">
        <f>PROPER(TRIM(M592))</f>
        <v>Cream</v>
      </c>
      <c r="O592">
        <v>468.67</v>
      </c>
      <c r="P592">
        <v>-2</v>
      </c>
      <c r="Q592">
        <f>IF(P592&lt;1, 1, P592)</f>
        <v>1</v>
      </c>
      <c r="R592">
        <v>10</v>
      </c>
      <c r="S592" t="str">
        <f>IF(OR(R592&lt;0,R592&gt;100),"invalid","Valid")</f>
        <v>Valid</v>
      </c>
      <c r="T592" t="s">
        <v>59</v>
      </c>
      <c r="U592" t="str">
        <f>PROPER(TRIM(T592))</f>
        <v>Mobile Money</v>
      </c>
      <c r="V592" t="s">
        <v>25</v>
      </c>
      <c r="W592" t="str">
        <f t="shared" si="18"/>
        <v>Dan</v>
      </c>
      <c r="X592" t="s">
        <v>26</v>
      </c>
      <c r="Z592" t="str">
        <f>IF(D592="", "Missing", "ok")</f>
        <v>ok</v>
      </c>
      <c r="AA592">
        <f t="shared" si="19"/>
        <v>421.803</v>
      </c>
    </row>
    <row r="593" spans="1:27" x14ac:dyDescent="0.25">
      <c r="A593" t="s">
        <v>1620</v>
      </c>
      <c r="B593" s="1" t="s">
        <v>533</v>
      </c>
      <c r="C593" t="s">
        <v>1621</v>
      </c>
      <c r="E593" t="str">
        <f>PROPER(TRIM(D593))</f>
        <v/>
      </c>
      <c r="F593" t="s">
        <v>46</v>
      </c>
      <c r="G593">
        <v>19</v>
      </c>
      <c r="H593" t="str">
        <f>IF(AND(G593&gt;18, G593&lt;65), "Valid", "Invalid")</f>
        <v>Valid</v>
      </c>
      <c r="I593" t="s">
        <v>30</v>
      </c>
      <c r="J593" t="str">
        <f>PROPER(TRIM(I593))</f>
        <v>Lagos</v>
      </c>
      <c r="K593" t="s">
        <v>39</v>
      </c>
      <c r="L593" t="str">
        <f>PROPER(TRIM(K593))</f>
        <v>Electronics</v>
      </c>
      <c r="M593" t="s">
        <v>40</v>
      </c>
      <c r="N593" t="str">
        <f>PROPER(TRIM(M593))</f>
        <v>Phone</v>
      </c>
      <c r="O593">
        <v>220.74</v>
      </c>
      <c r="P593">
        <v>9</v>
      </c>
      <c r="Q593">
        <f>IF(P593&lt;1, 1, P593)</f>
        <v>9</v>
      </c>
      <c r="R593">
        <v>0</v>
      </c>
      <c r="S593" t="str">
        <f>IF(OR(R593&lt;0,R593&gt;100),"invalid","Valid")</f>
        <v>Valid</v>
      </c>
      <c r="U593" t="str">
        <f>PROPER(TRIM(T593))</f>
        <v/>
      </c>
      <c r="V593" t="s">
        <v>81</v>
      </c>
      <c r="W593" t="str">
        <f t="shared" si="18"/>
        <v>Ada</v>
      </c>
      <c r="X593" t="s">
        <v>33</v>
      </c>
      <c r="Y593">
        <v>4</v>
      </c>
      <c r="Z593" t="str">
        <f>IF(D593="", "Missing", "ok")</f>
        <v>Missing</v>
      </c>
      <c r="AA593">
        <f t="shared" si="19"/>
        <v>1986.66</v>
      </c>
    </row>
    <row r="594" spans="1:27" x14ac:dyDescent="0.25">
      <c r="A594" t="s">
        <v>1622</v>
      </c>
      <c r="B594" s="1" t="s">
        <v>1004</v>
      </c>
      <c r="C594" t="s">
        <v>1623</v>
      </c>
      <c r="D594" t="s">
        <v>63</v>
      </c>
      <c r="E594" t="str">
        <f>PROPER(TRIM(D594))</f>
        <v>John</v>
      </c>
      <c r="F594" t="s">
        <v>20</v>
      </c>
      <c r="G594">
        <v>8</v>
      </c>
      <c r="H594" t="str">
        <f>IF(AND(G594&gt;18, G594&lt;65), "Valid", "Invalid")</f>
        <v>Invalid</v>
      </c>
      <c r="I594" t="s">
        <v>70</v>
      </c>
      <c r="J594" t="str">
        <f>PROPER(TRIM(I594))</f>
        <v>Abuja</v>
      </c>
      <c r="K594" t="s">
        <v>87</v>
      </c>
      <c r="L594" t="str">
        <f>PROPER(TRIM(K594))</f>
        <v>Groceris</v>
      </c>
      <c r="M594" t="s">
        <v>49</v>
      </c>
      <c r="N594" t="str">
        <f>PROPER(TRIM(M594))</f>
        <v>Rice</v>
      </c>
      <c r="O594">
        <v>138.9</v>
      </c>
      <c r="P594">
        <v>7</v>
      </c>
      <c r="Q594">
        <f>IF(P594&lt;1, 1, P594)</f>
        <v>7</v>
      </c>
      <c r="R594">
        <v>-10</v>
      </c>
      <c r="S594" t="str">
        <f>IF(OR(R594&lt;0,R594&gt;100),"invalid","Valid")</f>
        <v>invalid</v>
      </c>
      <c r="T594" t="s">
        <v>59</v>
      </c>
      <c r="U594" t="str">
        <f>PROPER(TRIM(T594))</f>
        <v>Mobile Money</v>
      </c>
      <c r="V594" t="s">
        <v>25</v>
      </c>
      <c r="W594" t="str">
        <f t="shared" si="18"/>
        <v>Dan</v>
      </c>
      <c r="X594" t="s">
        <v>82</v>
      </c>
      <c r="Y594">
        <v>4</v>
      </c>
      <c r="Z594" t="str">
        <f>IF(D594="", "Missing", "ok")</f>
        <v>ok</v>
      </c>
      <c r="AA594">
        <f t="shared" si="19"/>
        <v>1069.5300000000002</v>
      </c>
    </row>
    <row r="595" spans="1:27" x14ac:dyDescent="0.25">
      <c r="A595" t="s">
        <v>1624</v>
      </c>
      <c r="B595" s="1" t="s">
        <v>1625</v>
      </c>
      <c r="C595" t="s">
        <v>1626</v>
      </c>
      <c r="D595" t="s">
        <v>117</v>
      </c>
      <c r="E595" t="str">
        <f>PROPER(TRIM(D595))</f>
        <v>David</v>
      </c>
      <c r="F595" t="s">
        <v>46</v>
      </c>
      <c r="G595">
        <v>8</v>
      </c>
      <c r="H595" t="str">
        <f>IF(AND(G595&gt;18, G595&lt;65), "Valid", "Invalid")</f>
        <v>Invalid</v>
      </c>
      <c r="I595" t="s">
        <v>70</v>
      </c>
      <c r="J595" t="str">
        <f>PROPER(TRIM(I595))</f>
        <v>Abuja</v>
      </c>
      <c r="K595" t="s">
        <v>48</v>
      </c>
      <c r="L595" t="str">
        <f>PROPER(TRIM(K595))</f>
        <v>Groceries</v>
      </c>
      <c r="M595" t="s">
        <v>49</v>
      </c>
      <c r="N595" t="str">
        <f>PROPER(TRIM(M595))</f>
        <v>Rice</v>
      </c>
      <c r="O595">
        <v>182.23</v>
      </c>
      <c r="P595">
        <v>-2</v>
      </c>
      <c r="Q595">
        <f>IF(P595&lt;1, 1, P595)</f>
        <v>1</v>
      </c>
      <c r="R595">
        <v>0</v>
      </c>
      <c r="S595" t="str">
        <f>IF(OR(R595&lt;0,R595&gt;100),"invalid","Valid")</f>
        <v>Valid</v>
      </c>
      <c r="T595" t="s">
        <v>24</v>
      </c>
      <c r="U595" t="str">
        <f>PROPER(TRIM(T595))</f>
        <v>Pos</v>
      </c>
      <c r="V595" t="s">
        <v>25</v>
      </c>
      <c r="W595" t="str">
        <f t="shared" si="18"/>
        <v>Dan</v>
      </c>
      <c r="X595" t="s">
        <v>33</v>
      </c>
      <c r="Y595">
        <v>4</v>
      </c>
      <c r="Z595" t="str">
        <f>IF(D595="", "Missing", "ok")</f>
        <v>ok</v>
      </c>
      <c r="AA595">
        <f t="shared" si="19"/>
        <v>182.23</v>
      </c>
    </row>
    <row r="596" spans="1:27" x14ac:dyDescent="0.25">
      <c r="A596" t="s">
        <v>1627</v>
      </c>
      <c r="B596" s="1" t="s">
        <v>1628</v>
      </c>
      <c r="C596" t="s">
        <v>1629</v>
      </c>
      <c r="D596" t="s">
        <v>117</v>
      </c>
      <c r="E596" t="str">
        <f>PROPER(TRIM(D596))</f>
        <v>David</v>
      </c>
      <c r="F596" t="s">
        <v>46</v>
      </c>
      <c r="G596">
        <v>28</v>
      </c>
      <c r="H596" t="str">
        <f>IF(AND(G596&gt;18, G596&lt;65), "Valid", "Invalid")</f>
        <v>Valid</v>
      </c>
      <c r="I596" t="s">
        <v>53</v>
      </c>
      <c r="J596" t="str">
        <f>PROPER(TRIM(I596))</f>
        <v>Lagos</v>
      </c>
      <c r="K596" t="s">
        <v>31</v>
      </c>
      <c r="L596" t="str">
        <f>PROPER(TRIM(K596))</f>
        <v>Sports</v>
      </c>
      <c r="M596" t="s">
        <v>32</v>
      </c>
      <c r="N596" t="str">
        <f>PROPER(TRIM(M596))</f>
        <v>Ball</v>
      </c>
      <c r="O596">
        <v>279.77</v>
      </c>
      <c r="P596">
        <v>-2</v>
      </c>
      <c r="Q596">
        <f>IF(P596&lt;1, 1, P596)</f>
        <v>1</v>
      </c>
      <c r="R596">
        <v>-10</v>
      </c>
      <c r="S596" t="str">
        <f>IF(OR(R596&lt;0,R596&gt;100),"invalid","Valid")</f>
        <v>invalid</v>
      </c>
      <c r="U596" t="str">
        <f>PROPER(TRIM(T596))</f>
        <v/>
      </c>
      <c r="V596" t="s">
        <v>25</v>
      </c>
      <c r="W596" t="str">
        <f t="shared" si="18"/>
        <v>Dan</v>
      </c>
      <c r="X596" t="s">
        <v>65</v>
      </c>
      <c r="Y596">
        <v>5</v>
      </c>
      <c r="Z596" t="str">
        <f>IF(D596="", "Missing", "ok")</f>
        <v>ok</v>
      </c>
      <c r="AA596">
        <f t="shared" si="19"/>
        <v>307.74700000000001</v>
      </c>
    </row>
    <row r="597" spans="1:27" x14ac:dyDescent="0.25">
      <c r="A597" t="s">
        <v>1630</v>
      </c>
      <c r="B597" s="1" t="s">
        <v>754</v>
      </c>
      <c r="C597" t="s">
        <v>1631</v>
      </c>
      <c r="D597" t="s">
        <v>117</v>
      </c>
      <c r="E597" t="str">
        <f>PROPER(TRIM(D597))</f>
        <v>David</v>
      </c>
      <c r="F597" t="s">
        <v>20</v>
      </c>
      <c r="G597">
        <v>130</v>
      </c>
      <c r="H597" t="str">
        <f>IF(AND(G597&gt;18, G597&lt;65), "Valid", "Invalid")</f>
        <v>Invalid</v>
      </c>
      <c r="I597" t="s">
        <v>21</v>
      </c>
      <c r="J597" t="str">
        <f>PROPER(TRIM(I597))</f>
        <v>Lagos</v>
      </c>
      <c r="K597" t="s">
        <v>22</v>
      </c>
      <c r="L597" t="str">
        <f>PROPER(TRIM(K597))</f>
        <v>Fashion</v>
      </c>
      <c r="M597" t="s">
        <v>23</v>
      </c>
      <c r="N597" t="str">
        <f>PROPER(TRIM(M597))</f>
        <v>Shirt</v>
      </c>
      <c r="O597">
        <v>11.12</v>
      </c>
      <c r="P597">
        <v>6</v>
      </c>
      <c r="Q597">
        <f>IF(P597&lt;1, 1, P597)</f>
        <v>6</v>
      </c>
      <c r="R597">
        <v>10</v>
      </c>
      <c r="S597" t="str">
        <f>IF(OR(R597&lt;0,R597&gt;100),"invalid","Valid")</f>
        <v>Valid</v>
      </c>
      <c r="T597" t="s">
        <v>77</v>
      </c>
      <c r="U597" t="str">
        <f>PROPER(TRIM(T597))</f>
        <v>Cash</v>
      </c>
      <c r="V597" t="s">
        <v>25</v>
      </c>
      <c r="W597" t="str">
        <f t="shared" si="18"/>
        <v>Dan</v>
      </c>
      <c r="X597" t="s">
        <v>26</v>
      </c>
      <c r="Y597">
        <v>5</v>
      </c>
      <c r="Z597" t="str">
        <f>IF(D597="", "Missing", "ok")</f>
        <v>ok</v>
      </c>
      <c r="AA597">
        <f t="shared" si="19"/>
        <v>60.048000000000002</v>
      </c>
    </row>
    <row r="598" spans="1:27" x14ac:dyDescent="0.25">
      <c r="A598" t="s">
        <v>1632</v>
      </c>
      <c r="B598" s="1" t="s">
        <v>1633</v>
      </c>
      <c r="C598" t="s">
        <v>142</v>
      </c>
      <c r="D598" t="s">
        <v>37</v>
      </c>
      <c r="E598" t="str">
        <f>PROPER(TRIM(D598))</f>
        <v>Aisha</v>
      </c>
      <c r="F598" t="s">
        <v>20</v>
      </c>
      <c r="G598">
        <v>8</v>
      </c>
      <c r="H598" t="str">
        <f>IF(AND(G598&gt;18, G598&lt;65), "Valid", "Invalid")</f>
        <v>Invalid</v>
      </c>
      <c r="I598" t="s">
        <v>21</v>
      </c>
      <c r="J598" t="str">
        <f>PROPER(TRIM(I598))</f>
        <v>Lagos</v>
      </c>
      <c r="K598" t="s">
        <v>48</v>
      </c>
      <c r="L598" t="str">
        <f>PROPER(TRIM(K598))</f>
        <v>Groceries</v>
      </c>
      <c r="M598" t="s">
        <v>49</v>
      </c>
      <c r="N598" t="str">
        <f>PROPER(TRIM(M598))</f>
        <v>Rice</v>
      </c>
      <c r="O598">
        <v>6.83</v>
      </c>
      <c r="P598">
        <v>4</v>
      </c>
      <c r="Q598">
        <f>IF(P598&lt;1, 1, P598)</f>
        <v>4</v>
      </c>
      <c r="R598">
        <v>0</v>
      </c>
      <c r="S598" t="str">
        <f>IF(OR(R598&lt;0,R598&gt;100),"invalid","Valid")</f>
        <v>Valid</v>
      </c>
      <c r="T598" t="s">
        <v>24</v>
      </c>
      <c r="U598" t="str">
        <f>PROPER(TRIM(T598))</f>
        <v>Pos</v>
      </c>
      <c r="V598" t="s">
        <v>25</v>
      </c>
      <c r="W598" t="str">
        <f t="shared" si="18"/>
        <v>Dan</v>
      </c>
      <c r="X598" t="s">
        <v>65</v>
      </c>
      <c r="Y598">
        <v>2</v>
      </c>
      <c r="Z598" t="str">
        <f>IF(D598="", "Missing", "ok")</f>
        <v>ok</v>
      </c>
      <c r="AA598">
        <f t="shared" si="19"/>
        <v>27.32</v>
      </c>
    </row>
    <row r="599" spans="1:27" x14ac:dyDescent="0.25">
      <c r="A599" t="s">
        <v>1634</v>
      </c>
      <c r="B599" s="1" t="s">
        <v>1635</v>
      </c>
      <c r="C599" t="s">
        <v>1636</v>
      </c>
      <c r="D599" t="s">
        <v>101</v>
      </c>
      <c r="E599" t="str">
        <f>PROPER(TRIM(D599))</f>
        <v>Grace</v>
      </c>
      <c r="F599" t="s">
        <v>20</v>
      </c>
      <c r="G599">
        <v>8</v>
      </c>
      <c r="H599" t="str">
        <f>IF(AND(G599&gt;18, G599&lt;65), "Valid", "Invalid")</f>
        <v>Invalid</v>
      </c>
      <c r="I599" t="s">
        <v>38</v>
      </c>
      <c r="J599" t="str">
        <f>PROPER(TRIM(I599))</f>
        <v>Ph</v>
      </c>
      <c r="K599" t="s">
        <v>48</v>
      </c>
      <c r="L599" t="str">
        <f>PROPER(TRIM(K599))</f>
        <v>Groceries</v>
      </c>
      <c r="M599" t="s">
        <v>49</v>
      </c>
      <c r="N599" t="str">
        <f>PROPER(TRIM(M599))</f>
        <v>Rice</v>
      </c>
      <c r="O599">
        <v>29.11</v>
      </c>
      <c r="P599">
        <v>4</v>
      </c>
      <c r="Q599">
        <f>IF(P599&lt;1, 1, P599)</f>
        <v>4</v>
      </c>
      <c r="R599">
        <v>-10</v>
      </c>
      <c r="S599" t="str">
        <f>IF(OR(R599&lt;0,R599&gt;100),"invalid","Valid")</f>
        <v>invalid</v>
      </c>
      <c r="T599" t="s">
        <v>59</v>
      </c>
      <c r="U599" t="str">
        <f>PROPER(TRIM(T599))</f>
        <v>Mobile Money</v>
      </c>
      <c r="V599" t="s">
        <v>81</v>
      </c>
      <c r="W599" t="str">
        <f t="shared" si="18"/>
        <v>Ada</v>
      </c>
      <c r="X599" t="s">
        <v>82</v>
      </c>
      <c r="Y599">
        <v>1</v>
      </c>
      <c r="Z599" t="str">
        <f>IF(D599="", "Missing", "ok")</f>
        <v>ok</v>
      </c>
      <c r="AA599">
        <f t="shared" si="19"/>
        <v>128.084</v>
      </c>
    </row>
    <row r="600" spans="1:27" x14ac:dyDescent="0.25">
      <c r="A600" t="s">
        <v>1637</v>
      </c>
      <c r="B600" s="1" t="s">
        <v>1638</v>
      </c>
      <c r="C600" t="s">
        <v>1639</v>
      </c>
      <c r="E600" t="str">
        <f>PROPER(TRIM(D600))</f>
        <v/>
      </c>
      <c r="F600" t="s">
        <v>20</v>
      </c>
      <c r="G600">
        <v>54</v>
      </c>
      <c r="H600" t="str">
        <f>IF(AND(G600&gt;18, G600&lt;65), "Valid", "Invalid")</f>
        <v>Valid</v>
      </c>
      <c r="I600" t="s">
        <v>86</v>
      </c>
      <c r="J600" t="str">
        <f>PROPER(TRIM(I600))</f>
        <v>Kano</v>
      </c>
      <c r="K600" t="s">
        <v>87</v>
      </c>
      <c r="L600" t="str">
        <f>PROPER(TRIM(K600))</f>
        <v>Groceris</v>
      </c>
      <c r="M600" t="s">
        <v>49</v>
      </c>
      <c r="N600" t="str">
        <f>PROPER(TRIM(M600))</f>
        <v>Rice</v>
      </c>
      <c r="O600">
        <v>139.44999999999999</v>
      </c>
      <c r="P600">
        <v>-2</v>
      </c>
      <c r="Q600">
        <f>IF(P600&lt;1, 1, P600)</f>
        <v>1</v>
      </c>
      <c r="R600">
        <v>0</v>
      </c>
      <c r="S600" t="str">
        <f>IF(OR(R600&lt;0,R600&gt;100),"invalid","Valid")</f>
        <v>Valid</v>
      </c>
      <c r="T600" t="s">
        <v>59</v>
      </c>
      <c r="U600" t="str">
        <f>PROPER(TRIM(T600))</f>
        <v>Mobile Money</v>
      </c>
      <c r="V600" t="s">
        <v>91</v>
      </c>
      <c r="W600" t="str">
        <f t="shared" si="18"/>
        <v>Ben</v>
      </c>
      <c r="X600" t="s">
        <v>33</v>
      </c>
      <c r="Y600">
        <v>3</v>
      </c>
      <c r="Z600" t="str">
        <f>IF(D600="", "Missing", "ok")</f>
        <v>Missing</v>
      </c>
      <c r="AA600">
        <f t="shared" si="19"/>
        <v>139.44999999999999</v>
      </c>
    </row>
    <row r="601" spans="1:27" x14ac:dyDescent="0.25">
      <c r="A601" t="s">
        <v>1640</v>
      </c>
      <c r="B601" s="1" t="s">
        <v>1641</v>
      </c>
      <c r="C601" t="s">
        <v>1642</v>
      </c>
      <c r="D601" t="s">
        <v>37</v>
      </c>
      <c r="E601" t="str">
        <f>PROPER(TRIM(D601))</f>
        <v>Aisha</v>
      </c>
      <c r="F601" t="s">
        <v>20</v>
      </c>
      <c r="G601">
        <v>40</v>
      </c>
      <c r="H601" t="str">
        <f>IF(AND(G601&gt;18, G601&lt;65), "Valid", "Invalid")</f>
        <v>Valid</v>
      </c>
      <c r="I601" t="s">
        <v>21</v>
      </c>
      <c r="J601" t="str">
        <f>PROPER(TRIM(I601))</f>
        <v>Lagos</v>
      </c>
      <c r="K601" t="s">
        <v>54</v>
      </c>
      <c r="L601" t="str">
        <f>PROPER(TRIM(K601))</f>
        <v>Home</v>
      </c>
      <c r="M601" t="s">
        <v>55</v>
      </c>
      <c r="N601" t="str">
        <f>PROPER(TRIM(M601))</f>
        <v>Chair</v>
      </c>
      <c r="O601">
        <v>276.43</v>
      </c>
      <c r="P601">
        <v>-2</v>
      </c>
      <c r="Q601">
        <f>IF(P601&lt;1, 1, P601)</f>
        <v>1</v>
      </c>
      <c r="R601">
        <v>120</v>
      </c>
      <c r="S601" t="str">
        <f>IF(OR(R601&lt;0,R601&gt;100),"invalid","Valid")</f>
        <v>invalid</v>
      </c>
      <c r="T601" t="s">
        <v>64</v>
      </c>
      <c r="U601" t="str">
        <f>PROPER(TRIM(T601))</f>
        <v>Transfer</v>
      </c>
      <c r="V601" t="s">
        <v>41</v>
      </c>
      <c r="W601" t="str">
        <f t="shared" si="18"/>
        <v>Chi</v>
      </c>
      <c r="X601" t="s">
        <v>26</v>
      </c>
      <c r="Y601">
        <v>4</v>
      </c>
      <c r="Z601" t="str">
        <f>IF(D601="", "Missing", "ok")</f>
        <v>ok</v>
      </c>
      <c r="AA601">
        <f t="shared" si="19"/>
        <v>-55.285999999999987</v>
      </c>
    </row>
    <row r="602" spans="1:27" x14ac:dyDescent="0.25">
      <c r="A602" t="s">
        <v>1643</v>
      </c>
      <c r="B602" s="1" t="s">
        <v>1380</v>
      </c>
      <c r="C602" t="s">
        <v>1644</v>
      </c>
      <c r="D602" t="s">
        <v>117</v>
      </c>
      <c r="E602" t="str">
        <f>PROPER(TRIM(D602))</f>
        <v>David</v>
      </c>
      <c r="F602" t="s">
        <v>20</v>
      </c>
      <c r="G602">
        <v>8</v>
      </c>
      <c r="H602" t="str">
        <f>IF(AND(G602&gt;18, G602&lt;65), "Valid", "Invalid")</f>
        <v>Invalid</v>
      </c>
      <c r="I602" t="s">
        <v>53</v>
      </c>
      <c r="J602" t="str">
        <f>PROPER(TRIM(I602))</f>
        <v>Lagos</v>
      </c>
      <c r="K602" t="s">
        <v>87</v>
      </c>
      <c r="L602" t="str">
        <f>PROPER(TRIM(K602))</f>
        <v>Groceris</v>
      </c>
      <c r="M602" t="s">
        <v>49</v>
      </c>
      <c r="N602" t="str">
        <f>PROPER(TRIM(M602))</f>
        <v>Rice</v>
      </c>
      <c r="O602">
        <v>304.25</v>
      </c>
      <c r="P602">
        <v>3</v>
      </c>
      <c r="Q602">
        <f>IF(P602&lt;1, 1, P602)</f>
        <v>3</v>
      </c>
      <c r="R602">
        <v>10</v>
      </c>
      <c r="S602" t="str">
        <f>IF(OR(R602&lt;0,R602&gt;100),"invalid","Valid")</f>
        <v>Valid</v>
      </c>
      <c r="T602" t="s">
        <v>64</v>
      </c>
      <c r="U602" t="str">
        <f>PROPER(TRIM(T602))</f>
        <v>Transfer</v>
      </c>
      <c r="V602" t="s">
        <v>41</v>
      </c>
      <c r="W602" t="str">
        <f t="shared" si="18"/>
        <v>Chi</v>
      </c>
      <c r="X602" t="s">
        <v>65</v>
      </c>
      <c r="Y602">
        <v>1</v>
      </c>
      <c r="Z602" t="str">
        <f>IF(D602="", "Missing", "ok")</f>
        <v>ok</v>
      </c>
      <c r="AA602">
        <f t="shared" si="19"/>
        <v>821.47500000000002</v>
      </c>
    </row>
    <row r="603" spans="1:27" x14ac:dyDescent="0.25">
      <c r="A603" t="s">
        <v>1645</v>
      </c>
      <c r="B603" s="1" t="s">
        <v>235</v>
      </c>
      <c r="C603" t="s">
        <v>1646</v>
      </c>
      <c r="D603" t="s">
        <v>19</v>
      </c>
      <c r="E603" t="str">
        <f>PROPER(TRIM(D603))</f>
        <v>Peter</v>
      </c>
      <c r="F603" t="s">
        <v>46</v>
      </c>
      <c r="G603">
        <v>130</v>
      </c>
      <c r="H603" t="str">
        <f>IF(AND(G603&gt;18, G603&lt;65), "Valid", "Invalid")</f>
        <v>Invalid</v>
      </c>
      <c r="I603" t="s">
        <v>70</v>
      </c>
      <c r="J603" t="str">
        <f>PROPER(TRIM(I603))</f>
        <v>Abuja</v>
      </c>
      <c r="K603" t="s">
        <v>87</v>
      </c>
      <c r="L603" t="str">
        <f>PROPER(TRIM(K603))</f>
        <v>Groceris</v>
      </c>
      <c r="M603" t="s">
        <v>49</v>
      </c>
      <c r="N603" t="str">
        <f>PROPER(TRIM(M603))</f>
        <v>Rice</v>
      </c>
      <c r="O603">
        <v>46.7</v>
      </c>
      <c r="P603">
        <v>9</v>
      </c>
      <c r="Q603">
        <f>IF(P603&lt;1, 1, P603)</f>
        <v>9</v>
      </c>
      <c r="R603">
        <v>120</v>
      </c>
      <c r="S603" t="str">
        <f>IF(OR(R603&lt;0,R603&gt;100),"invalid","Valid")</f>
        <v>invalid</v>
      </c>
      <c r="T603" t="s">
        <v>24</v>
      </c>
      <c r="U603" t="str">
        <f>PROPER(TRIM(T603))</f>
        <v>Pos</v>
      </c>
      <c r="V603" t="s">
        <v>41</v>
      </c>
      <c r="W603" t="str">
        <f t="shared" si="18"/>
        <v>Chi</v>
      </c>
      <c r="X603" t="s">
        <v>82</v>
      </c>
      <c r="Y603">
        <v>4</v>
      </c>
      <c r="Z603" t="str">
        <f>IF(D603="", "Missing", "ok")</f>
        <v>ok</v>
      </c>
      <c r="AA603">
        <f t="shared" si="19"/>
        <v>-84.059999999999988</v>
      </c>
    </row>
    <row r="604" spans="1:27" x14ac:dyDescent="0.25">
      <c r="A604" t="s">
        <v>1647</v>
      </c>
      <c r="B604" s="1" t="s">
        <v>1648</v>
      </c>
      <c r="C604" t="s">
        <v>1443</v>
      </c>
      <c r="D604" t="s">
        <v>101</v>
      </c>
      <c r="E604" t="str">
        <f>PROPER(TRIM(D604))</f>
        <v>Grace</v>
      </c>
      <c r="F604" t="s">
        <v>20</v>
      </c>
      <c r="G604">
        <v>56</v>
      </c>
      <c r="H604" t="str">
        <f>IF(AND(G604&gt;18, G604&lt;65), "Valid", "Invalid")</f>
        <v>Valid</v>
      </c>
      <c r="I604" t="s">
        <v>38</v>
      </c>
      <c r="J604" t="str">
        <f>PROPER(TRIM(I604))</f>
        <v>Ph</v>
      </c>
      <c r="K604" t="s">
        <v>31</v>
      </c>
      <c r="L604" t="str">
        <f>PROPER(TRIM(K604))</f>
        <v>Sports</v>
      </c>
      <c r="M604" t="s">
        <v>32</v>
      </c>
      <c r="N604" t="str">
        <f>PROPER(TRIM(M604))</f>
        <v>Ball</v>
      </c>
      <c r="O604">
        <v>368.18</v>
      </c>
      <c r="P604">
        <v>8</v>
      </c>
      <c r="Q604">
        <f>IF(P604&lt;1, 1, P604)</f>
        <v>8</v>
      </c>
      <c r="R604">
        <v>-10</v>
      </c>
      <c r="S604" t="str">
        <f>IF(OR(R604&lt;0,R604&gt;100),"invalid","Valid")</f>
        <v>invalid</v>
      </c>
      <c r="T604" t="s">
        <v>24</v>
      </c>
      <c r="U604" t="str">
        <f>PROPER(TRIM(T604))</f>
        <v>Pos</v>
      </c>
      <c r="V604" t="s">
        <v>91</v>
      </c>
      <c r="W604" t="str">
        <f t="shared" si="18"/>
        <v>Ben</v>
      </c>
      <c r="X604" t="s">
        <v>26</v>
      </c>
      <c r="Y604">
        <v>4</v>
      </c>
      <c r="Z604" t="str">
        <f>IF(D604="", "Missing", "ok")</f>
        <v>ok</v>
      </c>
      <c r="AA604">
        <f t="shared" si="19"/>
        <v>3239.9840000000004</v>
      </c>
    </row>
    <row r="605" spans="1:27" x14ac:dyDescent="0.25">
      <c r="A605" t="s">
        <v>1649</v>
      </c>
      <c r="B605" s="1" t="s">
        <v>181</v>
      </c>
      <c r="C605" t="s">
        <v>1650</v>
      </c>
      <c r="D605" t="s">
        <v>37</v>
      </c>
      <c r="E605" t="str">
        <f>PROPER(TRIM(D605))</f>
        <v>Aisha</v>
      </c>
      <c r="F605" t="s">
        <v>46</v>
      </c>
      <c r="G605">
        <v>130</v>
      </c>
      <c r="H605" t="str">
        <f>IF(AND(G605&gt;18, G605&lt;65), "Valid", "Invalid")</f>
        <v>Invalid</v>
      </c>
      <c r="I605" t="s">
        <v>21</v>
      </c>
      <c r="J605" t="str">
        <f>PROPER(TRIM(I605))</f>
        <v>Lagos</v>
      </c>
      <c r="K605" t="s">
        <v>22</v>
      </c>
      <c r="L605" t="str">
        <f>PROPER(TRIM(K605))</f>
        <v>Fashion</v>
      </c>
      <c r="M605" t="s">
        <v>23</v>
      </c>
      <c r="N605" t="str">
        <f>PROPER(TRIM(M605))</f>
        <v>Shirt</v>
      </c>
      <c r="O605">
        <v>126</v>
      </c>
      <c r="P605">
        <v>2</v>
      </c>
      <c r="Q605">
        <f>IF(P605&lt;1, 1, P605)</f>
        <v>2</v>
      </c>
      <c r="R605">
        <v>0</v>
      </c>
      <c r="S605" t="str">
        <f>IF(OR(R605&lt;0,R605&gt;100),"invalid","Valid")</f>
        <v>Valid</v>
      </c>
      <c r="T605" t="s">
        <v>64</v>
      </c>
      <c r="U605" t="str">
        <f>PROPER(TRIM(T605))</f>
        <v>Transfer</v>
      </c>
      <c r="V605" t="s">
        <v>81</v>
      </c>
      <c r="W605" t="str">
        <f t="shared" si="18"/>
        <v>Ada</v>
      </c>
      <c r="X605" t="s">
        <v>65</v>
      </c>
      <c r="Y605">
        <v>5</v>
      </c>
      <c r="Z605" t="str">
        <f>IF(D605="", "Missing", "ok")</f>
        <v>ok</v>
      </c>
      <c r="AA605">
        <f t="shared" si="19"/>
        <v>252</v>
      </c>
    </row>
    <row r="606" spans="1:27" x14ac:dyDescent="0.25">
      <c r="A606" t="s">
        <v>1651</v>
      </c>
      <c r="B606" s="1" t="s">
        <v>1652</v>
      </c>
      <c r="C606" t="s">
        <v>1653</v>
      </c>
      <c r="D606" t="s">
        <v>19</v>
      </c>
      <c r="E606" t="str">
        <f>PROPER(TRIM(D606))</f>
        <v>Peter</v>
      </c>
      <c r="F606" t="s">
        <v>46</v>
      </c>
      <c r="G606">
        <v>52</v>
      </c>
      <c r="H606" t="str">
        <f>IF(AND(G606&gt;18, G606&lt;65), "Valid", "Invalid")</f>
        <v>Valid</v>
      </c>
      <c r="I606" t="s">
        <v>53</v>
      </c>
      <c r="J606" t="str">
        <f>PROPER(TRIM(I606))</f>
        <v>Lagos</v>
      </c>
      <c r="K606" t="s">
        <v>22</v>
      </c>
      <c r="L606" t="str">
        <f>PROPER(TRIM(K606))</f>
        <v>Fashion</v>
      </c>
      <c r="M606" t="s">
        <v>23</v>
      </c>
      <c r="N606" t="str">
        <f>PROPER(TRIM(M606))</f>
        <v>Shirt</v>
      </c>
      <c r="O606">
        <v>264.92</v>
      </c>
      <c r="P606">
        <v>-2</v>
      </c>
      <c r="Q606">
        <f>IF(P606&lt;1, 1, P606)</f>
        <v>1</v>
      </c>
      <c r="R606">
        <v>120</v>
      </c>
      <c r="S606" t="str">
        <f>IF(OR(R606&lt;0,R606&gt;100),"invalid","Valid")</f>
        <v>invalid</v>
      </c>
      <c r="T606" t="s">
        <v>59</v>
      </c>
      <c r="U606" t="str">
        <f>PROPER(TRIM(T606))</f>
        <v>Mobile Money</v>
      </c>
      <c r="V606" t="s">
        <v>25</v>
      </c>
      <c r="W606" t="str">
        <f t="shared" si="18"/>
        <v>Dan</v>
      </c>
      <c r="X606" t="s">
        <v>33</v>
      </c>
      <c r="Y606">
        <v>1</v>
      </c>
      <c r="Z606" t="str">
        <f>IF(D606="", "Missing", "ok")</f>
        <v>ok</v>
      </c>
      <c r="AA606">
        <f t="shared" si="19"/>
        <v>-52.983999999999995</v>
      </c>
    </row>
    <row r="607" spans="1:27" x14ac:dyDescent="0.25">
      <c r="A607" t="s">
        <v>1654</v>
      </c>
      <c r="B607" s="1" t="s">
        <v>1655</v>
      </c>
      <c r="C607" t="s">
        <v>1656</v>
      </c>
      <c r="D607" t="s">
        <v>63</v>
      </c>
      <c r="E607" t="str">
        <f>PROPER(TRIM(D607))</f>
        <v>John</v>
      </c>
      <c r="F607" t="s">
        <v>46</v>
      </c>
      <c r="G607">
        <v>18</v>
      </c>
      <c r="H607" t="str">
        <f>IF(AND(G607&gt;18, G607&lt;65), "Valid", "Invalid")</f>
        <v>Invalid</v>
      </c>
      <c r="I607" t="s">
        <v>38</v>
      </c>
      <c r="J607" t="str">
        <f>PROPER(TRIM(I607))</f>
        <v>Ph</v>
      </c>
      <c r="K607" t="s">
        <v>121</v>
      </c>
      <c r="L607" t="str">
        <f>PROPER(TRIM(K607))</f>
        <v>Beauty</v>
      </c>
      <c r="M607" t="s">
        <v>122</v>
      </c>
      <c r="N607" t="str">
        <f>PROPER(TRIM(M607))</f>
        <v>Cream</v>
      </c>
      <c r="O607">
        <v>147.71</v>
      </c>
      <c r="P607">
        <v>-2</v>
      </c>
      <c r="Q607">
        <f>IF(P607&lt;1, 1, P607)</f>
        <v>1</v>
      </c>
      <c r="R607">
        <v>-10</v>
      </c>
      <c r="S607" t="str">
        <f>IF(OR(R607&lt;0,R607&gt;100),"invalid","Valid")</f>
        <v>invalid</v>
      </c>
      <c r="T607" t="s">
        <v>24</v>
      </c>
      <c r="U607" t="str">
        <f>PROPER(TRIM(T607))</f>
        <v>Pos</v>
      </c>
      <c r="V607" t="s">
        <v>91</v>
      </c>
      <c r="W607" t="str">
        <f t="shared" si="18"/>
        <v>Ben</v>
      </c>
      <c r="X607" t="s">
        <v>82</v>
      </c>
      <c r="Y607">
        <v>5</v>
      </c>
      <c r="Z607" t="str">
        <f>IF(D607="", "Missing", "ok")</f>
        <v>ok</v>
      </c>
      <c r="AA607">
        <f t="shared" si="19"/>
        <v>162.48100000000002</v>
      </c>
    </row>
    <row r="608" spans="1:27" x14ac:dyDescent="0.25">
      <c r="A608" t="s">
        <v>1657</v>
      </c>
      <c r="B608" s="1" t="s">
        <v>1658</v>
      </c>
      <c r="C608" t="s">
        <v>1659</v>
      </c>
      <c r="D608" t="s">
        <v>37</v>
      </c>
      <c r="E608" t="str">
        <f>PROPER(TRIM(D608))</f>
        <v>Aisha</v>
      </c>
      <c r="F608" t="s">
        <v>20</v>
      </c>
      <c r="G608">
        <v>8</v>
      </c>
      <c r="H608" t="str">
        <f>IF(AND(G608&gt;18, G608&lt;65), "Valid", "Invalid")</f>
        <v>Invalid</v>
      </c>
      <c r="I608" t="s">
        <v>86</v>
      </c>
      <c r="J608" t="str">
        <f>PROPER(TRIM(I608))</f>
        <v>Kano</v>
      </c>
      <c r="K608" t="s">
        <v>54</v>
      </c>
      <c r="L608" t="str">
        <f>PROPER(TRIM(K608))</f>
        <v>Home</v>
      </c>
      <c r="M608" t="s">
        <v>55</v>
      </c>
      <c r="N608" t="str">
        <f>PROPER(TRIM(M608))</f>
        <v>Chair</v>
      </c>
      <c r="O608">
        <v>237.21</v>
      </c>
      <c r="P608">
        <v>-2</v>
      </c>
      <c r="Q608">
        <f>IF(P608&lt;1, 1, P608)</f>
        <v>1</v>
      </c>
      <c r="R608">
        <v>-10</v>
      </c>
      <c r="S608" t="str">
        <f>IF(OR(R608&lt;0,R608&gt;100),"invalid","Valid")</f>
        <v>invalid</v>
      </c>
      <c r="T608" t="s">
        <v>24</v>
      </c>
      <c r="U608" t="str">
        <f>PROPER(TRIM(T608))</f>
        <v>Pos</v>
      </c>
      <c r="V608" t="s">
        <v>25</v>
      </c>
      <c r="W608" t="str">
        <f t="shared" si="18"/>
        <v>Dan</v>
      </c>
      <c r="X608" t="s">
        <v>82</v>
      </c>
      <c r="Y608">
        <v>1</v>
      </c>
      <c r="Z608" t="str">
        <f>IF(D608="", "Missing", "ok")</f>
        <v>ok</v>
      </c>
      <c r="AA608">
        <f t="shared" si="19"/>
        <v>260.93100000000004</v>
      </c>
    </row>
    <row r="609" spans="1:27" x14ac:dyDescent="0.25">
      <c r="A609" t="s">
        <v>1660</v>
      </c>
      <c r="B609" s="1" t="s">
        <v>1529</v>
      </c>
      <c r="C609" t="s">
        <v>1661</v>
      </c>
      <c r="D609" t="s">
        <v>37</v>
      </c>
      <c r="E609" t="str">
        <f>PROPER(TRIM(D609))</f>
        <v>Aisha</v>
      </c>
      <c r="F609" t="s">
        <v>20</v>
      </c>
      <c r="G609">
        <v>8</v>
      </c>
      <c r="H609" t="str">
        <f>IF(AND(G609&gt;18, G609&lt;65), "Valid", "Invalid")</f>
        <v>Invalid</v>
      </c>
      <c r="I609" t="s">
        <v>70</v>
      </c>
      <c r="J609" t="str">
        <f>PROPER(TRIM(I609))</f>
        <v>Abuja</v>
      </c>
      <c r="K609" t="s">
        <v>22</v>
      </c>
      <c r="L609" t="str">
        <f>PROPER(TRIM(K609))</f>
        <v>Fashion</v>
      </c>
      <c r="M609" t="s">
        <v>23</v>
      </c>
      <c r="N609" t="str">
        <f>PROPER(TRIM(M609))</f>
        <v>Shirt</v>
      </c>
      <c r="O609">
        <v>202.59</v>
      </c>
      <c r="P609">
        <v>2</v>
      </c>
      <c r="Q609">
        <f>IF(P609&lt;1, 1, P609)</f>
        <v>2</v>
      </c>
      <c r="R609">
        <v>10</v>
      </c>
      <c r="S609" t="str">
        <f>IF(OR(R609&lt;0,R609&gt;100),"invalid","Valid")</f>
        <v>Valid</v>
      </c>
      <c r="T609" t="s">
        <v>77</v>
      </c>
      <c r="U609" t="str">
        <f>PROPER(TRIM(T609))</f>
        <v>Cash</v>
      </c>
      <c r="V609" t="s">
        <v>91</v>
      </c>
      <c r="W609" t="str">
        <f t="shared" si="18"/>
        <v>Ben</v>
      </c>
      <c r="X609" t="s">
        <v>65</v>
      </c>
      <c r="Y609">
        <v>1</v>
      </c>
      <c r="Z609" t="str">
        <f>IF(D609="", "Missing", "ok")</f>
        <v>ok</v>
      </c>
      <c r="AA609">
        <f t="shared" si="19"/>
        <v>364.66200000000003</v>
      </c>
    </row>
    <row r="610" spans="1:27" x14ac:dyDescent="0.25">
      <c r="A610" t="s">
        <v>1662</v>
      </c>
      <c r="B610" s="1" t="s">
        <v>777</v>
      </c>
      <c r="C610" t="s">
        <v>1663</v>
      </c>
      <c r="E610" t="str">
        <f>PROPER(TRIM(D610))</f>
        <v/>
      </c>
      <c r="F610" t="s">
        <v>20</v>
      </c>
      <c r="G610">
        <v>8</v>
      </c>
      <c r="H610" t="str">
        <f>IF(AND(G610&gt;18, G610&lt;65), "Valid", "Invalid")</f>
        <v>Invalid</v>
      </c>
      <c r="I610" t="s">
        <v>21</v>
      </c>
      <c r="J610" t="str">
        <f>PROPER(TRIM(I610))</f>
        <v>Lagos</v>
      </c>
      <c r="K610" t="s">
        <v>39</v>
      </c>
      <c r="L610" t="str">
        <f>PROPER(TRIM(K610))</f>
        <v>Electronics</v>
      </c>
      <c r="M610" t="s">
        <v>40</v>
      </c>
      <c r="N610" t="str">
        <f>PROPER(TRIM(M610))</f>
        <v>Phone</v>
      </c>
      <c r="O610">
        <v>325.45</v>
      </c>
      <c r="P610">
        <v>-2</v>
      </c>
      <c r="Q610">
        <f>IF(P610&lt;1, 1, P610)</f>
        <v>1</v>
      </c>
      <c r="R610">
        <v>0</v>
      </c>
      <c r="S610" t="str">
        <f>IF(OR(R610&lt;0,R610&gt;100),"invalid","Valid")</f>
        <v>Valid</v>
      </c>
      <c r="T610" t="s">
        <v>59</v>
      </c>
      <c r="U610" t="str">
        <f>PROPER(TRIM(T610))</f>
        <v>Mobile Money</v>
      </c>
      <c r="V610" t="s">
        <v>41</v>
      </c>
      <c r="W610" t="str">
        <f t="shared" si="18"/>
        <v>Chi</v>
      </c>
      <c r="X610" t="s">
        <v>65</v>
      </c>
      <c r="Y610">
        <v>1</v>
      </c>
      <c r="Z610" t="str">
        <f>IF(D610="", "Missing", "ok")</f>
        <v>Missing</v>
      </c>
      <c r="AA610">
        <f t="shared" si="19"/>
        <v>325.45</v>
      </c>
    </row>
    <row r="611" spans="1:27" x14ac:dyDescent="0.25">
      <c r="A611" t="s">
        <v>1664</v>
      </c>
      <c r="B611" s="1" t="s">
        <v>1665</v>
      </c>
      <c r="C611" t="s">
        <v>1666</v>
      </c>
      <c r="D611" t="s">
        <v>117</v>
      </c>
      <c r="E611" t="str">
        <f>PROPER(TRIM(D611))</f>
        <v>David</v>
      </c>
      <c r="F611" t="s">
        <v>20</v>
      </c>
      <c r="G611">
        <v>8</v>
      </c>
      <c r="H611" t="str">
        <f>IF(AND(G611&gt;18, G611&lt;65), "Valid", "Invalid")</f>
        <v>Invalid</v>
      </c>
      <c r="I611" t="s">
        <v>38</v>
      </c>
      <c r="J611" t="str">
        <f>PROPER(TRIM(I611))</f>
        <v>Ph</v>
      </c>
      <c r="K611" t="s">
        <v>22</v>
      </c>
      <c r="L611" t="str">
        <f>PROPER(TRIM(K611))</f>
        <v>Fashion</v>
      </c>
      <c r="M611" t="s">
        <v>23</v>
      </c>
      <c r="N611" t="str">
        <f>PROPER(TRIM(M611))</f>
        <v>Shirt</v>
      </c>
      <c r="O611">
        <v>178.77</v>
      </c>
      <c r="P611">
        <v>6</v>
      </c>
      <c r="Q611">
        <f>IF(P611&lt;1, 1, P611)</f>
        <v>6</v>
      </c>
      <c r="R611">
        <v>5</v>
      </c>
      <c r="S611" t="str">
        <f>IF(OR(R611&lt;0,R611&gt;100),"invalid","Valid")</f>
        <v>Valid</v>
      </c>
      <c r="T611" t="s">
        <v>77</v>
      </c>
      <c r="U611" t="str">
        <f>PROPER(TRIM(T611))</f>
        <v>Cash</v>
      </c>
      <c r="V611" t="s">
        <v>81</v>
      </c>
      <c r="W611" t="str">
        <f t="shared" si="18"/>
        <v>Ada</v>
      </c>
      <c r="X611" t="s">
        <v>82</v>
      </c>
      <c r="Y611">
        <v>2</v>
      </c>
      <c r="Z611" t="str">
        <f>IF(D611="", "Missing", "ok")</f>
        <v>ok</v>
      </c>
      <c r="AA611">
        <f t="shared" si="19"/>
        <v>1018.989</v>
      </c>
    </row>
    <row r="612" spans="1:27" x14ac:dyDescent="0.25">
      <c r="A612" t="s">
        <v>1667</v>
      </c>
      <c r="B612" s="1" t="s">
        <v>1395</v>
      </c>
      <c r="C612" t="s">
        <v>1668</v>
      </c>
      <c r="D612" t="s">
        <v>19</v>
      </c>
      <c r="E612" t="str">
        <f>PROPER(TRIM(D612))</f>
        <v>Peter</v>
      </c>
      <c r="F612" t="s">
        <v>20</v>
      </c>
      <c r="G612">
        <v>8</v>
      </c>
      <c r="H612" t="str">
        <f>IF(AND(G612&gt;18, G612&lt;65), "Valid", "Invalid")</f>
        <v>Invalid</v>
      </c>
      <c r="I612" t="s">
        <v>21</v>
      </c>
      <c r="J612" t="str">
        <f>PROPER(TRIM(I612))</f>
        <v>Lagos</v>
      </c>
      <c r="K612" t="s">
        <v>54</v>
      </c>
      <c r="L612" t="str">
        <f>PROPER(TRIM(K612))</f>
        <v>Home</v>
      </c>
      <c r="M612" t="s">
        <v>55</v>
      </c>
      <c r="N612" t="str">
        <f>PROPER(TRIM(M612))</f>
        <v>Chair</v>
      </c>
      <c r="O612">
        <v>277.95</v>
      </c>
      <c r="P612">
        <v>-2</v>
      </c>
      <c r="Q612">
        <f>IF(P612&lt;1, 1, P612)</f>
        <v>1</v>
      </c>
      <c r="R612">
        <v>10</v>
      </c>
      <c r="S612" t="str">
        <f>IF(OR(R612&lt;0,R612&gt;100),"invalid","Valid")</f>
        <v>Valid</v>
      </c>
      <c r="T612" t="s">
        <v>64</v>
      </c>
      <c r="U612" t="str">
        <f>PROPER(TRIM(T612))</f>
        <v>Transfer</v>
      </c>
      <c r="V612" t="s">
        <v>91</v>
      </c>
      <c r="W612" t="str">
        <f t="shared" si="18"/>
        <v>Ben</v>
      </c>
      <c r="X612" t="s">
        <v>26</v>
      </c>
      <c r="Y612">
        <v>4</v>
      </c>
      <c r="Z612" t="str">
        <f>IF(D612="", "Missing", "ok")</f>
        <v>ok</v>
      </c>
      <c r="AA612">
        <f t="shared" si="19"/>
        <v>250.155</v>
      </c>
    </row>
    <row r="613" spans="1:27" x14ac:dyDescent="0.25">
      <c r="A613" t="s">
        <v>1669</v>
      </c>
      <c r="B613" s="1" t="s">
        <v>725</v>
      </c>
      <c r="C613" t="s">
        <v>1670</v>
      </c>
      <c r="D613" t="s">
        <v>101</v>
      </c>
      <c r="E613" t="str">
        <f>PROPER(TRIM(D613))</f>
        <v>Grace</v>
      </c>
      <c r="F613" t="s">
        <v>46</v>
      </c>
      <c r="G613">
        <v>130</v>
      </c>
      <c r="H613" t="str">
        <f>IF(AND(G613&gt;18, G613&lt;65), "Valid", "Invalid")</f>
        <v>Invalid</v>
      </c>
      <c r="I613" t="s">
        <v>86</v>
      </c>
      <c r="J613" t="str">
        <f>PROPER(TRIM(I613))</f>
        <v>Kano</v>
      </c>
      <c r="K613" t="s">
        <v>87</v>
      </c>
      <c r="L613" t="str">
        <f>PROPER(TRIM(K613))</f>
        <v>Groceris</v>
      </c>
      <c r="M613" t="s">
        <v>49</v>
      </c>
      <c r="N613" t="str">
        <f>PROPER(TRIM(M613))</f>
        <v>Rice</v>
      </c>
      <c r="O613">
        <v>167.52</v>
      </c>
      <c r="P613">
        <v>6</v>
      </c>
      <c r="Q613">
        <f>IF(P613&lt;1, 1, P613)</f>
        <v>6</v>
      </c>
      <c r="R613">
        <v>5</v>
      </c>
      <c r="S613" t="str">
        <f>IF(OR(R613&lt;0,R613&gt;100),"invalid","Valid")</f>
        <v>Valid</v>
      </c>
      <c r="T613" t="s">
        <v>64</v>
      </c>
      <c r="U613" t="str">
        <f>PROPER(TRIM(T613))</f>
        <v>Transfer</v>
      </c>
      <c r="V613" t="s">
        <v>25</v>
      </c>
      <c r="W613" t="str">
        <f t="shared" si="18"/>
        <v>Dan</v>
      </c>
      <c r="X613" t="s">
        <v>65</v>
      </c>
      <c r="Y613">
        <v>4</v>
      </c>
      <c r="Z613" t="str">
        <f>IF(D613="", "Missing", "ok")</f>
        <v>ok</v>
      </c>
      <c r="AA613">
        <f t="shared" si="19"/>
        <v>954.86400000000003</v>
      </c>
    </row>
    <row r="614" spans="1:27" x14ac:dyDescent="0.25">
      <c r="A614" t="s">
        <v>1671</v>
      </c>
      <c r="B614" s="1" t="s">
        <v>1672</v>
      </c>
      <c r="C614" t="s">
        <v>1673</v>
      </c>
      <c r="D614" t="s">
        <v>45</v>
      </c>
      <c r="E614" t="str">
        <f>PROPER(TRIM(D614))</f>
        <v>James</v>
      </c>
      <c r="F614" t="s">
        <v>20</v>
      </c>
      <c r="G614">
        <v>130</v>
      </c>
      <c r="H614" t="str">
        <f>IF(AND(G614&gt;18, G614&lt;65), "Valid", "Invalid")</f>
        <v>Invalid</v>
      </c>
      <c r="I614" t="s">
        <v>30</v>
      </c>
      <c r="J614" t="str">
        <f>PROPER(TRIM(I614))</f>
        <v>Lagos</v>
      </c>
      <c r="K614" t="s">
        <v>39</v>
      </c>
      <c r="L614" t="str">
        <f>PROPER(TRIM(K614))</f>
        <v>Electronics</v>
      </c>
      <c r="M614" t="s">
        <v>40</v>
      </c>
      <c r="N614" t="str">
        <f>PROPER(TRIM(M614))</f>
        <v>Phone</v>
      </c>
      <c r="O614">
        <v>470.53</v>
      </c>
      <c r="P614">
        <v>6</v>
      </c>
      <c r="Q614">
        <f>IF(P614&lt;1, 1, P614)</f>
        <v>6</v>
      </c>
      <c r="R614">
        <v>5</v>
      </c>
      <c r="S614" t="str">
        <f>IF(OR(R614&lt;0,R614&gt;100),"invalid","Valid")</f>
        <v>Valid</v>
      </c>
      <c r="T614" t="s">
        <v>59</v>
      </c>
      <c r="U614" t="str">
        <f>PROPER(TRIM(T614))</f>
        <v>Mobile Money</v>
      </c>
      <c r="V614" t="s">
        <v>91</v>
      </c>
      <c r="W614" t="str">
        <f t="shared" si="18"/>
        <v>Ben</v>
      </c>
      <c r="X614" t="s">
        <v>65</v>
      </c>
      <c r="Y614">
        <v>2</v>
      </c>
      <c r="Z614" t="str">
        <f>IF(D614="", "Missing", "ok")</f>
        <v>ok</v>
      </c>
      <c r="AA614">
        <f t="shared" si="19"/>
        <v>2682.0209999999997</v>
      </c>
    </row>
    <row r="615" spans="1:27" x14ac:dyDescent="0.25">
      <c r="A615" t="s">
        <v>1674</v>
      </c>
      <c r="B615" s="1" t="s">
        <v>1427</v>
      </c>
      <c r="C615" t="s">
        <v>1675</v>
      </c>
      <c r="D615" t="s">
        <v>101</v>
      </c>
      <c r="E615" t="str">
        <f>PROPER(TRIM(D615))</f>
        <v>Grace</v>
      </c>
      <c r="F615" t="s">
        <v>20</v>
      </c>
      <c r="G615">
        <v>130</v>
      </c>
      <c r="H615" t="str">
        <f>IF(AND(G615&gt;18, G615&lt;65), "Valid", "Invalid")</f>
        <v>Invalid</v>
      </c>
      <c r="I615" t="s">
        <v>30</v>
      </c>
      <c r="J615" t="str">
        <f>PROPER(TRIM(I615))</f>
        <v>Lagos</v>
      </c>
      <c r="K615" t="s">
        <v>54</v>
      </c>
      <c r="L615" t="str">
        <f>PROPER(TRIM(K615))</f>
        <v>Home</v>
      </c>
      <c r="M615" t="s">
        <v>55</v>
      </c>
      <c r="N615" t="str">
        <f>PROPER(TRIM(M615))</f>
        <v>Chair</v>
      </c>
      <c r="O615">
        <v>147.83000000000001</v>
      </c>
      <c r="P615">
        <v>-2</v>
      </c>
      <c r="Q615">
        <f>IF(P615&lt;1, 1, P615)</f>
        <v>1</v>
      </c>
      <c r="R615">
        <v>120</v>
      </c>
      <c r="S615" t="str">
        <f>IF(OR(R615&lt;0,R615&gt;100),"invalid","Valid")</f>
        <v>invalid</v>
      </c>
      <c r="T615" t="s">
        <v>24</v>
      </c>
      <c r="U615" t="str">
        <f>PROPER(TRIM(T615))</f>
        <v>Pos</v>
      </c>
      <c r="V615" t="s">
        <v>81</v>
      </c>
      <c r="W615" t="str">
        <f t="shared" si="18"/>
        <v>Ada</v>
      </c>
      <c r="X615" t="s">
        <v>82</v>
      </c>
      <c r="Z615" t="str">
        <f>IF(D615="", "Missing", "ok")</f>
        <v>ok</v>
      </c>
      <c r="AA615">
        <f t="shared" si="19"/>
        <v>-29.565999999999995</v>
      </c>
    </row>
    <row r="616" spans="1:27" x14ac:dyDescent="0.25">
      <c r="A616" t="s">
        <v>1676</v>
      </c>
      <c r="B616" s="1" t="s">
        <v>1633</v>
      </c>
      <c r="C616" t="s">
        <v>1677</v>
      </c>
      <c r="E616" t="str">
        <f>PROPER(TRIM(D616))</f>
        <v/>
      </c>
      <c r="F616" t="s">
        <v>46</v>
      </c>
      <c r="G616">
        <v>8</v>
      </c>
      <c r="H616" t="str">
        <f>IF(AND(G616&gt;18, G616&lt;65), "Valid", "Invalid")</f>
        <v>Invalid</v>
      </c>
      <c r="I616" t="s">
        <v>53</v>
      </c>
      <c r="J616" t="str">
        <f>PROPER(TRIM(I616))</f>
        <v>Lagos</v>
      </c>
      <c r="K616" t="s">
        <v>48</v>
      </c>
      <c r="L616" t="str">
        <f>PROPER(TRIM(K616))</f>
        <v>Groceries</v>
      </c>
      <c r="M616" t="s">
        <v>49</v>
      </c>
      <c r="N616" t="str">
        <f>PROPER(TRIM(M616))</f>
        <v>Rice</v>
      </c>
      <c r="O616">
        <v>166.79</v>
      </c>
      <c r="P616">
        <v>5</v>
      </c>
      <c r="Q616">
        <f>IF(P616&lt;1, 1, P616)</f>
        <v>5</v>
      </c>
      <c r="R616">
        <v>5</v>
      </c>
      <c r="S616" t="str">
        <f>IF(OR(R616&lt;0,R616&gt;100),"invalid","Valid")</f>
        <v>Valid</v>
      </c>
      <c r="T616" t="s">
        <v>77</v>
      </c>
      <c r="U616" t="str">
        <f>PROPER(TRIM(T616))</f>
        <v>Cash</v>
      </c>
      <c r="V616" t="s">
        <v>81</v>
      </c>
      <c r="W616" t="str">
        <f t="shared" si="18"/>
        <v>Ada</v>
      </c>
      <c r="X616" t="s">
        <v>82</v>
      </c>
      <c r="Y616">
        <v>2</v>
      </c>
      <c r="Z616" t="str">
        <f>IF(D616="", "Missing", "ok")</f>
        <v>Missing</v>
      </c>
      <c r="AA616">
        <f t="shared" si="19"/>
        <v>792.25249999999994</v>
      </c>
    </row>
    <row r="617" spans="1:27" x14ac:dyDescent="0.25">
      <c r="A617" t="s">
        <v>1678</v>
      </c>
      <c r="B617" s="1" t="s">
        <v>1679</v>
      </c>
      <c r="C617" t="s">
        <v>1680</v>
      </c>
      <c r="D617" t="s">
        <v>69</v>
      </c>
      <c r="E617" t="str">
        <f>PROPER(TRIM(D617))</f>
        <v>Mary</v>
      </c>
      <c r="F617" t="s">
        <v>46</v>
      </c>
      <c r="G617">
        <v>8</v>
      </c>
      <c r="H617" t="str">
        <f>IF(AND(G617&gt;18, G617&lt;65), "Valid", "Invalid")</f>
        <v>Invalid</v>
      </c>
      <c r="I617" t="s">
        <v>53</v>
      </c>
      <c r="J617" t="str">
        <f>PROPER(TRIM(I617))</f>
        <v>Lagos</v>
      </c>
      <c r="K617" t="s">
        <v>22</v>
      </c>
      <c r="L617" t="str">
        <f>PROPER(TRIM(K617))</f>
        <v>Fashion</v>
      </c>
      <c r="M617" t="s">
        <v>23</v>
      </c>
      <c r="N617" t="str">
        <f>PROPER(TRIM(M617))</f>
        <v>Shirt</v>
      </c>
      <c r="O617">
        <v>127.89</v>
      </c>
      <c r="P617">
        <v>-2</v>
      </c>
      <c r="Q617">
        <f>IF(P617&lt;1, 1, P617)</f>
        <v>1</v>
      </c>
      <c r="R617">
        <v>0</v>
      </c>
      <c r="S617" t="str">
        <f>IF(OR(R617&lt;0,R617&gt;100),"invalid","Valid")</f>
        <v>Valid</v>
      </c>
      <c r="T617" t="s">
        <v>64</v>
      </c>
      <c r="U617" t="str">
        <f>PROPER(TRIM(T617))</f>
        <v>Transfer</v>
      </c>
      <c r="V617" t="s">
        <v>91</v>
      </c>
      <c r="W617" t="str">
        <f t="shared" si="18"/>
        <v>Ben</v>
      </c>
      <c r="X617" t="s">
        <v>65</v>
      </c>
      <c r="Z617" t="str">
        <f>IF(D617="", "Missing", "ok")</f>
        <v>ok</v>
      </c>
      <c r="AA617">
        <f t="shared" si="19"/>
        <v>127.89</v>
      </c>
    </row>
    <row r="618" spans="1:27" x14ac:dyDescent="0.25">
      <c r="A618" t="s">
        <v>1681</v>
      </c>
      <c r="B618" s="1" t="s">
        <v>1682</v>
      </c>
      <c r="C618" t="s">
        <v>1683</v>
      </c>
      <c r="E618" t="str">
        <f>PROPER(TRIM(D618))</f>
        <v/>
      </c>
      <c r="F618" t="s">
        <v>46</v>
      </c>
      <c r="G618">
        <v>8</v>
      </c>
      <c r="H618" t="str">
        <f>IF(AND(G618&gt;18, G618&lt;65), "Valid", "Invalid")</f>
        <v>Invalid</v>
      </c>
      <c r="I618" t="s">
        <v>21</v>
      </c>
      <c r="J618" t="str">
        <f>PROPER(TRIM(I618))</f>
        <v>Lagos</v>
      </c>
      <c r="K618" t="s">
        <v>39</v>
      </c>
      <c r="L618" t="str">
        <f>PROPER(TRIM(K618))</f>
        <v>Electronics</v>
      </c>
      <c r="M618" t="s">
        <v>40</v>
      </c>
      <c r="N618" t="str">
        <f>PROPER(TRIM(M618))</f>
        <v>Phone</v>
      </c>
      <c r="O618">
        <v>208.53</v>
      </c>
      <c r="P618">
        <v>5</v>
      </c>
      <c r="Q618">
        <f>IF(P618&lt;1, 1, P618)</f>
        <v>5</v>
      </c>
      <c r="R618">
        <v>-10</v>
      </c>
      <c r="S618" t="str">
        <f>IF(OR(R618&lt;0,R618&gt;100),"invalid","Valid")</f>
        <v>invalid</v>
      </c>
      <c r="T618" t="s">
        <v>64</v>
      </c>
      <c r="U618" t="str">
        <f>PROPER(TRIM(T618))</f>
        <v>Transfer</v>
      </c>
      <c r="V618" t="s">
        <v>25</v>
      </c>
      <c r="W618" t="str">
        <f t="shared" si="18"/>
        <v>Dan</v>
      </c>
      <c r="X618" t="s">
        <v>26</v>
      </c>
      <c r="Y618">
        <v>2</v>
      </c>
      <c r="Z618" t="str">
        <f>IF(D618="", "Missing", "ok")</f>
        <v>Missing</v>
      </c>
      <c r="AA618">
        <f t="shared" si="19"/>
        <v>1146.9150000000002</v>
      </c>
    </row>
    <row r="619" spans="1:27" x14ac:dyDescent="0.25">
      <c r="A619" t="s">
        <v>1684</v>
      </c>
      <c r="B619" s="1" t="s">
        <v>929</v>
      </c>
      <c r="C619" t="s">
        <v>1685</v>
      </c>
      <c r="D619" t="s">
        <v>37</v>
      </c>
      <c r="E619" t="str">
        <f>PROPER(TRIM(D619))</f>
        <v>Aisha</v>
      </c>
      <c r="F619" t="s">
        <v>20</v>
      </c>
      <c r="G619">
        <v>20</v>
      </c>
      <c r="H619" t="str">
        <f>IF(AND(G619&gt;18, G619&lt;65), "Valid", "Invalid")</f>
        <v>Valid</v>
      </c>
      <c r="I619" t="s">
        <v>38</v>
      </c>
      <c r="J619" t="str">
        <f>PROPER(TRIM(I619))</f>
        <v>Ph</v>
      </c>
      <c r="K619" t="s">
        <v>22</v>
      </c>
      <c r="L619" t="str">
        <f>PROPER(TRIM(K619))</f>
        <v>Fashion</v>
      </c>
      <c r="M619" t="s">
        <v>23</v>
      </c>
      <c r="N619" t="str">
        <f>PROPER(TRIM(M619))</f>
        <v>Shirt</v>
      </c>
      <c r="O619">
        <v>356.56</v>
      </c>
      <c r="P619">
        <v>-2</v>
      </c>
      <c r="Q619">
        <f>IF(P619&lt;1, 1, P619)</f>
        <v>1</v>
      </c>
      <c r="R619">
        <v>10</v>
      </c>
      <c r="S619" t="str">
        <f>IF(OR(R619&lt;0,R619&gt;100),"invalid","Valid")</f>
        <v>Valid</v>
      </c>
      <c r="T619" t="s">
        <v>64</v>
      </c>
      <c r="U619" t="str">
        <f>PROPER(TRIM(T619))</f>
        <v>Transfer</v>
      </c>
      <c r="V619" t="s">
        <v>91</v>
      </c>
      <c r="W619" t="str">
        <f t="shared" si="18"/>
        <v>Ben</v>
      </c>
      <c r="X619" t="s">
        <v>65</v>
      </c>
      <c r="Y619">
        <v>5</v>
      </c>
      <c r="Z619" t="str">
        <f>IF(D619="", "Missing", "ok")</f>
        <v>ok</v>
      </c>
      <c r="AA619">
        <f t="shared" si="19"/>
        <v>320.904</v>
      </c>
    </row>
    <row r="620" spans="1:27" x14ac:dyDescent="0.25">
      <c r="A620" t="s">
        <v>1686</v>
      </c>
      <c r="B620" s="1" t="s">
        <v>1194</v>
      </c>
      <c r="C620" t="s">
        <v>1687</v>
      </c>
      <c r="D620" t="s">
        <v>69</v>
      </c>
      <c r="E620" t="str">
        <f>PROPER(TRIM(D620))</f>
        <v>Mary</v>
      </c>
      <c r="F620" t="s">
        <v>46</v>
      </c>
      <c r="G620">
        <v>38</v>
      </c>
      <c r="H620" t="str">
        <f>IF(AND(G620&gt;18, G620&lt;65), "Valid", "Invalid")</f>
        <v>Valid</v>
      </c>
      <c r="I620" t="s">
        <v>21</v>
      </c>
      <c r="J620" t="str">
        <f>PROPER(TRIM(I620))</f>
        <v>Lagos</v>
      </c>
      <c r="K620" t="s">
        <v>31</v>
      </c>
      <c r="L620" t="str">
        <f>PROPER(TRIM(K620))</f>
        <v>Sports</v>
      </c>
      <c r="M620" t="s">
        <v>32</v>
      </c>
      <c r="N620" t="str">
        <f>PROPER(TRIM(M620))</f>
        <v>Ball</v>
      </c>
      <c r="O620">
        <v>77.540000000000006</v>
      </c>
      <c r="P620">
        <v>6</v>
      </c>
      <c r="Q620">
        <f>IF(P620&lt;1, 1, P620)</f>
        <v>6</v>
      </c>
      <c r="R620">
        <v>10</v>
      </c>
      <c r="S620" t="str">
        <f>IF(OR(R620&lt;0,R620&gt;100),"invalid","Valid")</f>
        <v>Valid</v>
      </c>
      <c r="T620" t="s">
        <v>64</v>
      </c>
      <c r="U620" t="str">
        <f>PROPER(TRIM(T620))</f>
        <v>Transfer</v>
      </c>
      <c r="V620" t="s">
        <v>91</v>
      </c>
      <c r="W620" t="str">
        <f t="shared" si="18"/>
        <v>Ben</v>
      </c>
      <c r="X620" t="s">
        <v>33</v>
      </c>
      <c r="Y620">
        <v>3</v>
      </c>
      <c r="Z620" t="str">
        <f>IF(D620="", "Missing", "ok")</f>
        <v>ok</v>
      </c>
      <c r="AA620">
        <f t="shared" si="19"/>
        <v>418.71600000000001</v>
      </c>
    </row>
    <row r="621" spans="1:27" x14ac:dyDescent="0.25">
      <c r="A621" t="s">
        <v>1688</v>
      </c>
      <c r="B621" s="1" t="s">
        <v>1689</v>
      </c>
      <c r="C621" t="s">
        <v>1690</v>
      </c>
      <c r="D621" t="s">
        <v>101</v>
      </c>
      <c r="E621" t="str">
        <f>PROPER(TRIM(D621))</f>
        <v>Grace</v>
      </c>
      <c r="F621" t="s">
        <v>46</v>
      </c>
      <c r="G621">
        <v>8</v>
      </c>
      <c r="H621" t="str">
        <f>IF(AND(G621&gt;18, G621&lt;65), "Valid", "Invalid")</f>
        <v>Invalid</v>
      </c>
      <c r="I621" t="s">
        <v>21</v>
      </c>
      <c r="J621" t="str">
        <f>PROPER(TRIM(I621))</f>
        <v>Lagos</v>
      </c>
      <c r="K621" t="s">
        <v>22</v>
      </c>
      <c r="L621" t="str">
        <f>PROPER(TRIM(K621))</f>
        <v>Fashion</v>
      </c>
      <c r="M621" t="s">
        <v>23</v>
      </c>
      <c r="N621" t="str">
        <f>PROPER(TRIM(M621))</f>
        <v>Shirt</v>
      </c>
      <c r="O621">
        <v>257.81</v>
      </c>
      <c r="P621">
        <v>3</v>
      </c>
      <c r="Q621">
        <f>IF(P621&lt;1, 1, P621)</f>
        <v>3</v>
      </c>
      <c r="R621">
        <v>5</v>
      </c>
      <c r="S621" t="str">
        <f>IF(OR(R621&lt;0,R621&gt;100),"invalid","Valid")</f>
        <v>Valid</v>
      </c>
      <c r="T621" t="s">
        <v>24</v>
      </c>
      <c r="U621" t="str">
        <f>PROPER(TRIM(T621))</f>
        <v>Pos</v>
      </c>
      <c r="V621" t="s">
        <v>81</v>
      </c>
      <c r="W621" t="str">
        <f t="shared" si="18"/>
        <v>Ada</v>
      </c>
      <c r="X621" t="s">
        <v>65</v>
      </c>
      <c r="Z621" t="str">
        <f>IF(D621="", "Missing", "ok")</f>
        <v>ok</v>
      </c>
      <c r="AA621">
        <f t="shared" si="19"/>
        <v>734.75850000000003</v>
      </c>
    </row>
    <row r="622" spans="1:27" x14ac:dyDescent="0.25">
      <c r="A622" t="s">
        <v>1691</v>
      </c>
      <c r="B622" s="1" t="s">
        <v>985</v>
      </c>
      <c r="C622" t="s">
        <v>1692</v>
      </c>
      <c r="D622" t="s">
        <v>45</v>
      </c>
      <c r="E622" t="str">
        <f>PROPER(TRIM(D622))</f>
        <v>James</v>
      </c>
      <c r="F622" t="s">
        <v>46</v>
      </c>
      <c r="G622">
        <v>44</v>
      </c>
      <c r="H622" t="str">
        <f>IF(AND(G622&gt;18, G622&lt;65), "Valid", "Invalid")</f>
        <v>Valid</v>
      </c>
      <c r="I622" t="s">
        <v>38</v>
      </c>
      <c r="J622" t="str">
        <f>PROPER(TRIM(I622))</f>
        <v>Ph</v>
      </c>
      <c r="K622" t="s">
        <v>22</v>
      </c>
      <c r="L622" t="str">
        <f>PROPER(TRIM(K622))</f>
        <v>Fashion</v>
      </c>
      <c r="M622" t="s">
        <v>23</v>
      </c>
      <c r="N622" t="str">
        <f>PROPER(TRIM(M622))</f>
        <v>Shirt</v>
      </c>
      <c r="O622">
        <v>201.37</v>
      </c>
      <c r="P622">
        <v>-2</v>
      </c>
      <c r="Q622">
        <f>IF(P622&lt;1, 1, P622)</f>
        <v>1</v>
      </c>
      <c r="R622">
        <v>5</v>
      </c>
      <c r="S622" t="str">
        <f>IF(OR(R622&lt;0,R622&gt;100),"invalid","Valid")</f>
        <v>Valid</v>
      </c>
      <c r="T622" t="s">
        <v>59</v>
      </c>
      <c r="U622" t="str">
        <f>PROPER(TRIM(T622))</f>
        <v>Mobile Money</v>
      </c>
      <c r="V622" t="s">
        <v>41</v>
      </c>
      <c r="W622" t="str">
        <f t="shared" si="18"/>
        <v>Chi</v>
      </c>
      <c r="X622" t="s">
        <v>33</v>
      </c>
      <c r="Y622">
        <v>3</v>
      </c>
      <c r="Z622" t="str">
        <f>IF(D622="", "Missing", "ok")</f>
        <v>ok</v>
      </c>
      <c r="AA622">
        <f t="shared" si="19"/>
        <v>191.3015</v>
      </c>
    </row>
    <row r="623" spans="1:27" x14ac:dyDescent="0.25">
      <c r="A623" t="s">
        <v>1693</v>
      </c>
      <c r="B623" s="1" t="s">
        <v>887</v>
      </c>
      <c r="C623" t="s">
        <v>1694</v>
      </c>
      <c r="D623" t="s">
        <v>101</v>
      </c>
      <c r="E623" t="str">
        <f>PROPER(TRIM(D623))</f>
        <v>Grace</v>
      </c>
      <c r="F623" t="s">
        <v>46</v>
      </c>
      <c r="G623">
        <v>8</v>
      </c>
      <c r="H623" t="str">
        <f>IF(AND(G623&gt;18, G623&lt;65), "Valid", "Invalid")</f>
        <v>Invalid</v>
      </c>
      <c r="I623" t="s">
        <v>70</v>
      </c>
      <c r="J623" t="str">
        <f>PROPER(TRIM(I623))</f>
        <v>Abuja</v>
      </c>
      <c r="K623" t="s">
        <v>22</v>
      </c>
      <c r="L623" t="str">
        <f>PROPER(TRIM(K623))</f>
        <v>Fashion</v>
      </c>
      <c r="M623" t="s">
        <v>23</v>
      </c>
      <c r="N623" t="str">
        <f>PROPER(TRIM(M623))</f>
        <v>Shirt</v>
      </c>
      <c r="O623">
        <v>402.34</v>
      </c>
      <c r="P623">
        <v>4</v>
      </c>
      <c r="Q623">
        <f>IF(P623&lt;1, 1, P623)</f>
        <v>4</v>
      </c>
      <c r="R623">
        <v>5</v>
      </c>
      <c r="S623" t="str">
        <f>IF(OR(R623&lt;0,R623&gt;100),"invalid","Valid")</f>
        <v>Valid</v>
      </c>
      <c r="U623" t="str">
        <f>PROPER(TRIM(T623))</f>
        <v/>
      </c>
      <c r="V623" t="s">
        <v>81</v>
      </c>
      <c r="W623" t="str">
        <f t="shared" si="18"/>
        <v>Ada</v>
      </c>
      <c r="X623" t="s">
        <v>33</v>
      </c>
      <c r="Y623">
        <v>4</v>
      </c>
      <c r="Z623" t="str">
        <f>IF(D623="", "Missing", "ok")</f>
        <v>ok</v>
      </c>
      <c r="AA623">
        <f t="shared" si="19"/>
        <v>1528.8919999999998</v>
      </c>
    </row>
    <row r="624" spans="1:27" x14ac:dyDescent="0.25">
      <c r="A624" t="s">
        <v>1695</v>
      </c>
      <c r="B624" s="1" t="s">
        <v>1696</v>
      </c>
      <c r="C624" t="s">
        <v>1697</v>
      </c>
      <c r="D624" t="s">
        <v>37</v>
      </c>
      <c r="E624" t="str">
        <f>PROPER(TRIM(D624))</f>
        <v>Aisha</v>
      </c>
      <c r="F624" t="s">
        <v>20</v>
      </c>
      <c r="G624">
        <v>130</v>
      </c>
      <c r="H624" t="str">
        <f>IF(AND(G624&gt;18, G624&lt;65), "Valid", "Invalid")</f>
        <v>Invalid</v>
      </c>
      <c r="I624" t="s">
        <v>70</v>
      </c>
      <c r="J624" t="str">
        <f>PROPER(TRIM(I624))</f>
        <v>Abuja</v>
      </c>
      <c r="K624" t="s">
        <v>87</v>
      </c>
      <c r="L624" t="str">
        <f>PROPER(TRIM(K624))</f>
        <v>Groceris</v>
      </c>
      <c r="M624" t="s">
        <v>49</v>
      </c>
      <c r="N624" t="str">
        <f>PROPER(TRIM(M624))</f>
        <v>Rice</v>
      </c>
      <c r="O624">
        <v>156.51</v>
      </c>
      <c r="P624">
        <v>-2</v>
      </c>
      <c r="Q624">
        <f>IF(P624&lt;1, 1, P624)</f>
        <v>1</v>
      </c>
      <c r="R624">
        <v>15</v>
      </c>
      <c r="S624" t="str">
        <f>IF(OR(R624&lt;0,R624&gt;100),"invalid","Valid")</f>
        <v>Valid</v>
      </c>
      <c r="T624" t="s">
        <v>77</v>
      </c>
      <c r="U624" t="str">
        <f>PROPER(TRIM(T624))</f>
        <v>Cash</v>
      </c>
      <c r="V624" t="s">
        <v>91</v>
      </c>
      <c r="W624" t="str">
        <f t="shared" si="18"/>
        <v>Ben</v>
      </c>
      <c r="X624" t="s">
        <v>65</v>
      </c>
      <c r="Z624" t="str">
        <f>IF(D624="", "Missing", "ok")</f>
        <v>ok</v>
      </c>
      <c r="AA624">
        <f t="shared" si="19"/>
        <v>133.03349999999998</v>
      </c>
    </row>
    <row r="625" spans="1:27" x14ac:dyDescent="0.25">
      <c r="A625" t="s">
        <v>1698</v>
      </c>
      <c r="B625" s="1" t="s">
        <v>1699</v>
      </c>
      <c r="C625" t="s">
        <v>1700</v>
      </c>
      <c r="D625" t="s">
        <v>45</v>
      </c>
      <c r="E625" t="str">
        <f>PROPER(TRIM(D625))</f>
        <v>James</v>
      </c>
      <c r="F625" t="s">
        <v>46</v>
      </c>
      <c r="G625">
        <v>54</v>
      </c>
      <c r="H625" t="str">
        <f>IF(AND(G625&gt;18, G625&lt;65), "Valid", "Invalid")</f>
        <v>Valid</v>
      </c>
      <c r="I625" t="s">
        <v>47</v>
      </c>
      <c r="J625" t="str">
        <f>PROPER(TRIM(I625))</f>
        <v>Enugu</v>
      </c>
      <c r="K625" t="s">
        <v>31</v>
      </c>
      <c r="L625" t="str">
        <f>PROPER(TRIM(K625))</f>
        <v>Sports</v>
      </c>
      <c r="M625" t="s">
        <v>32</v>
      </c>
      <c r="N625" t="str">
        <f>PROPER(TRIM(M625))</f>
        <v>Ball</v>
      </c>
      <c r="O625">
        <v>79.2</v>
      </c>
      <c r="P625">
        <v>10</v>
      </c>
      <c r="Q625">
        <f>IF(P625&lt;1, 1, P625)</f>
        <v>10</v>
      </c>
      <c r="R625">
        <v>5</v>
      </c>
      <c r="S625" t="str">
        <f>IF(OR(R625&lt;0,R625&gt;100),"invalid","Valid")</f>
        <v>Valid</v>
      </c>
      <c r="T625" t="s">
        <v>59</v>
      </c>
      <c r="U625" t="str">
        <f>PROPER(TRIM(T625))</f>
        <v>Mobile Money</v>
      </c>
      <c r="V625" t="s">
        <v>41</v>
      </c>
      <c r="W625" t="str">
        <f t="shared" si="18"/>
        <v>Chi</v>
      </c>
      <c r="X625" t="s">
        <v>26</v>
      </c>
      <c r="Y625">
        <v>5</v>
      </c>
      <c r="Z625" t="str">
        <f>IF(D625="", "Missing", "ok")</f>
        <v>ok</v>
      </c>
      <c r="AA625">
        <f t="shared" si="19"/>
        <v>752.4</v>
      </c>
    </row>
    <row r="626" spans="1:27" x14ac:dyDescent="0.25">
      <c r="A626" t="s">
        <v>1701</v>
      </c>
      <c r="B626" s="1" t="s">
        <v>1702</v>
      </c>
      <c r="C626" t="s">
        <v>1703</v>
      </c>
      <c r="D626" t="s">
        <v>19</v>
      </c>
      <c r="E626" t="str">
        <f>PROPER(TRIM(D626))</f>
        <v>Peter</v>
      </c>
      <c r="F626" t="s">
        <v>46</v>
      </c>
      <c r="G626">
        <v>36</v>
      </c>
      <c r="H626" t="str">
        <f>IF(AND(G626&gt;18, G626&lt;65), "Valid", "Invalid")</f>
        <v>Valid</v>
      </c>
      <c r="I626" t="s">
        <v>53</v>
      </c>
      <c r="J626" t="str">
        <f>PROPER(TRIM(I626))</f>
        <v>Lagos</v>
      </c>
      <c r="K626" t="s">
        <v>22</v>
      </c>
      <c r="L626" t="str">
        <f>PROPER(TRIM(K626))</f>
        <v>Fashion</v>
      </c>
      <c r="M626" t="s">
        <v>23</v>
      </c>
      <c r="N626" t="str">
        <f>PROPER(TRIM(M626))</f>
        <v>Shirt</v>
      </c>
      <c r="O626">
        <v>116.58</v>
      </c>
      <c r="P626">
        <v>-2</v>
      </c>
      <c r="Q626">
        <f>IF(P626&lt;1, 1, P626)</f>
        <v>1</v>
      </c>
      <c r="R626">
        <v>0</v>
      </c>
      <c r="S626" t="str">
        <f>IF(OR(R626&lt;0,R626&gt;100),"invalid","Valid")</f>
        <v>Valid</v>
      </c>
      <c r="U626" t="str">
        <f>PROPER(TRIM(T626))</f>
        <v/>
      </c>
      <c r="V626" t="s">
        <v>81</v>
      </c>
      <c r="W626" t="str">
        <f t="shared" si="18"/>
        <v>Ada</v>
      </c>
      <c r="X626" t="s">
        <v>26</v>
      </c>
      <c r="Y626">
        <v>4</v>
      </c>
      <c r="Z626" t="str">
        <f>IF(D626="", "Missing", "ok")</f>
        <v>ok</v>
      </c>
      <c r="AA626">
        <f t="shared" si="19"/>
        <v>116.58</v>
      </c>
    </row>
    <row r="627" spans="1:27" x14ac:dyDescent="0.25">
      <c r="A627" t="s">
        <v>1704</v>
      </c>
      <c r="B627" s="1" t="s">
        <v>1705</v>
      </c>
      <c r="C627" t="s">
        <v>1706</v>
      </c>
      <c r="D627" t="s">
        <v>69</v>
      </c>
      <c r="E627" t="str">
        <f>PROPER(TRIM(D627))</f>
        <v>Mary</v>
      </c>
      <c r="F627" t="s">
        <v>46</v>
      </c>
      <c r="G627">
        <v>8</v>
      </c>
      <c r="H627" t="str">
        <f>IF(AND(G627&gt;18, G627&lt;65), "Valid", "Invalid")</f>
        <v>Invalid</v>
      </c>
      <c r="I627" t="s">
        <v>70</v>
      </c>
      <c r="J627" t="str">
        <f>PROPER(TRIM(I627))</f>
        <v>Abuja</v>
      </c>
      <c r="K627" t="s">
        <v>87</v>
      </c>
      <c r="L627" t="str">
        <f>PROPER(TRIM(K627))</f>
        <v>Groceris</v>
      </c>
      <c r="M627" t="s">
        <v>49</v>
      </c>
      <c r="N627" t="str">
        <f>PROPER(TRIM(M627))</f>
        <v>Rice</v>
      </c>
      <c r="O627">
        <v>106.48</v>
      </c>
      <c r="P627">
        <v>-2</v>
      </c>
      <c r="Q627">
        <f>IF(P627&lt;1, 1, P627)</f>
        <v>1</v>
      </c>
      <c r="R627">
        <v>5</v>
      </c>
      <c r="S627" t="str">
        <f>IF(OR(R627&lt;0,R627&gt;100),"invalid","Valid")</f>
        <v>Valid</v>
      </c>
      <c r="T627" t="s">
        <v>77</v>
      </c>
      <c r="U627" t="str">
        <f>PROPER(TRIM(T627))</f>
        <v>Cash</v>
      </c>
      <c r="V627" t="s">
        <v>41</v>
      </c>
      <c r="W627" t="str">
        <f t="shared" si="18"/>
        <v>Chi</v>
      </c>
      <c r="X627" t="s">
        <v>26</v>
      </c>
      <c r="Z627" t="str">
        <f>IF(D627="", "Missing", "ok")</f>
        <v>ok</v>
      </c>
      <c r="AA627">
        <f t="shared" si="19"/>
        <v>101.15600000000001</v>
      </c>
    </row>
    <row r="628" spans="1:27" x14ac:dyDescent="0.25">
      <c r="A628" t="s">
        <v>1707</v>
      </c>
      <c r="B628" s="1" t="s">
        <v>1708</v>
      </c>
      <c r="C628" t="s">
        <v>1709</v>
      </c>
      <c r="D628" t="s">
        <v>117</v>
      </c>
      <c r="E628" t="str">
        <f>PROPER(TRIM(D628))</f>
        <v>David</v>
      </c>
      <c r="F628" t="s">
        <v>46</v>
      </c>
      <c r="G628">
        <v>8</v>
      </c>
      <c r="H628" t="str">
        <f>IF(AND(G628&gt;18, G628&lt;65), "Valid", "Invalid")</f>
        <v>Invalid</v>
      </c>
      <c r="I628" t="s">
        <v>86</v>
      </c>
      <c r="J628" t="str">
        <f>PROPER(TRIM(I628))</f>
        <v>Kano</v>
      </c>
      <c r="K628" t="s">
        <v>54</v>
      </c>
      <c r="L628" t="str">
        <f>PROPER(TRIM(K628))</f>
        <v>Home</v>
      </c>
      <c r="M628" t="s">
        <v>55</v>
      </c>
      <c r="N628" t="str">
        <f>PROPER(TRIM(M628))</f>
        <v>Chair</v>
      </c>
      <c r="O628">
        <v>106.25</v>
      </c>
      <c r="P628">
        <v>-2</v>
      </c>
      <c r="Q628">
        <f>IF(P628&lt;1, 1, P628)</f>
        <v>1</v>
      </c>
      <c r="R628">
        <v>10</v>
      </c>
      <c r="S628" t="str">
        <f>IF(OR(R628&lt;0,R628&gt;100),"invalid","Valid")</f>
        <v>Valid</v>
      </c>
      <c r="T628" t="s">
        <v>77</v>
      </c>
      <c r="U628" t="str">
        <f>PROPER(TRIM(T628))</f>
        <v>Cash</v>
      </c>
      <c r="V628" t="s">
        <v>25</v>
      </c>
      <c r="W628" t="str">
        <f t="shared" si="18"/>
        <v>Dan</v>
      </c>
      <c r="X628" t="s">
        <v>26</v>
      </c>
      <c r="Y628">
        <v>2</v>
      </c>
      <c r="Z628" t="str">
        <f>IF(D628="", "Missing", "ok")</f>
        <v>ok</v>
      </c>
      <c r="AA628">
        <f t="shared" si="19"/>
        <v>95.625</v>
      </c>
    </row>
    <row r="629" spans="1:27" x14ac:dyDescent="0.25">
      <c r="A629" t="s">
        <v>1710</v>
      </c>
      <c r="B629" s="1" t="s">
        <v>771</v>
      </c>
      <c r="C629" t="s">
        <v>922</v>
      </c>
      <c r="D629" t="s">
        <v>101</v>
      </c>
      <c r="E629" t="str">
        <f>PROPER(TRIM(D629))</f>
        <v>Grace</v>
      </c>
      <c r="F629" t="s">
        <v>46</v>
      </c>
      <c r="G629">
        <v>130</v>
      </c>
      <c r="H629" t="str">
        <f>IF(AND(G629&gt;18, G629&lt;65), "Valid", "Invalid")</f>
        <v>Invalid</v>
      </c>
      <c r="I629" t="s">
        <v>70</v>
      </c>
      <c r="J629" t="str">
        <f>PROPER(TRIM(I629))</f>
        <v>Abuja</v>
      </c>
      <c r="K629" t="s">
        <v>31</v>
      </c>
      <c r="L629" t="str">
        <f>PROPER(TRIM(K629))</f>
        <v>Sports</v>
      </c>
      <c r="M629" t="s">
        <v>32</v>
      </c>
      <c r="N629" t="str">
        <f>PROPER(TRIM(M629))</f>
        <v>Ball</v>
      </c>
      <c r="O629">
        <v>390.88</v>
      </c>
      <c r="P629">
        <v>-2</v>
      </c>
      <c r="Q629">
        <f>IF(P629&lt;1, 1, P629)</f>
        <v>1</v>
      </c>
      <c r="R629">
        <v>10</v>
      </c>
      <c r="S629" t="str">
        <f>IF(OR(R629&lt;0,R629&gt;100),"invalid","Valid")</f>
        <v>Valid</v>
      </c>
      <c r="T629" t="s">
        <v>77</v>
      </c>
      <c r="U629" t="str">
        <f>PROPER(TRIM(T629))</f>
        <v>Cash</v>
      </c>
      <c r="V629" t="s">
        <v>91</v>
      </c>
      <c r="W629" t="str">
        <f t="shared" si="18"/>
        <v>Ben</v>
      </c>
      <c r="X629" t="s">
        <v>82</v>
      </c>
      <c r="Z629" t="str">
        <f>IF(D629="", "Missing", "ok")</f>
        <v>ok</v>
      </c>
      <c r="AA629">
        <f t="shared" si="19"/>
        <v>351.79200000000003</v>
      </c>
    </row>
    <row r="630" spans="1:27" x14ac:dyDescent="0.25">
      <c r="A630" t="s">
        <v>1711</v>
      </c>
      <c r="B630" s="1" t="s">
        <v>1295</v>
      </c>
      <c r="C630" t="s">
        <v>1712</v>
      </c>
      <c r="D630" t="s">
        <v>37</v>
      </c>
      <c r="E630" t="str">
        <f>PROPER(TRIM(D630))</f>
        <v>Aisha</v>
      </c>
      <c r="F630" t="s">
        <v>46</v>
      </c>
      <c r="G630">
        <v>8</v>
      </c>
      <c r="H630" t="str">
        <f>IF(AND(G630&gt;18, G630&lt;65), "Valid", "Invalid")</f>
        <v>Invalid</v>
      </c>
      <c r="I630" t="s">
        <v>21</v>
      </c>
      <c r="J630" t="str">
        <f>PROPER(TRIM(I630))</f>
        <v>Lagos</v>
      </c>
      <c r="K630" t="s">
        <v>87</v>
      </c>
      <c r="L630" t="str">
        <f>PROPER(TRIM(K630))</f>
        <v>Groceris</v>
      </c>
      <c r="M630" t="s">
        <v>49</v>
      </c>
      <c r="N630" t="str">
        <f>PROPER(TRIM(M630))</f>
        <v>Rice</v>
      </c>
      <c r="O630">
        <v>61.26</v>
      </c>
      <c r="P630">
        <v>-2</v>
      </c>
      <c r="Q630">
        <f>IF(P630&lt;1, 1, P630)</f>
        <v>1</v>
      </c>
      <c r="R630">
        <v>10</v>
      </c>
      <c r="S630" t="str">
        <f>IF(OR(R630&lt;0,R630&gt;100),"invalid","Valid")</f>
        <v>Valid</v>
      </c>
      <c r="T630" t="s">
        <v>64</v>
      </c>
      <c r="U630" t="str">
        <f>PROPER(TRIM(T630))</f>
        <v>Transfer</v>
      </c>
      <c r="V630" t="s">
        <v>25</v>
      </c>
      <c r="W630" t="str">
        <f t="shared" si="18"/>
        <v>Dan</v>
      </c>
      <c r="X630" t="s">
        <v>33</v>
      </c>
      <c r="Y630">
        <v>1</v>
      </c>
      <c r="Z630" t="str">
        <f>IF(D630="", "Missing", "ok")</f>
        <v>ok</v>
      </c>
      <c r="AA630">
        <f t="shared" si="19"/>
        <v>55.134</v>
      </c>
    </row>
    <row r="631" spans="1:27" x14ac:dyDescent="0.25">
      <c r="A631" t="s">
        <v>1713</v>
      </c>
      <c r="B631" s="1" t="s">
        <v>1714</v>
      </c>
      <c r="C631" t="s">
        <v>1715</v>
      </c>
      <c r="D631" t="s">
        <v>19</v>
      </c>
      <c r="E631" t="str">
        <f>PROPER(TRIM(D631))</f>
        <v>Peter</v>
      </c>
      <c r="F631" t="s">
        <v>20</v>
      </c>
      <c r="G631">
        <v>41</v>
      </c>
      <c r="H631" t="str">
        <f>IF(AND(G631&gt;18, G631&lt;65), "Valid", "Invalid")</f>
        <v>Valid</v>
      </c>
      <c r="I631" t="s">
        <v>38</v>
      </c>
      <c r="J631" t="str">
        <f>PROPER(TRIM(I631))</f>
        <v>Ph</v>
      </c>
      <c r="K631" t="s">
        <v>39</v>
      </c>
      <c r="L631" t="str">
        <f>PROPER(TRIM(K631))</f>
        <v>Electronics</v>
      </c>
      <c r="M631" t="s">
        <v>40</v>
      </c>
      <c r="N631" t="str">
        <f>PROPER(TRIM(M631))</f>
        <v>Phone</v>
      </c>
      <c r="O631">
        <v>83.5</v>
      </c>
      <c r="P631">
        <v>5</v>
      </c>
      <c r="Q631">
        <f>IF(P631&lt;1, 1, P631)</f>
        <v>5</v>
      </c>
      <c r="R631">
        <v>5</v>
      </c>
      <c r="S631" t="str">
        <f>IF(OR(R631&lt;0,R631&gt;100),"invalid","Valid")</f>
        <v>Valid</v>
      </c>
      <c r="T631" t="s">
        <v>77</v>
      </c>
      <c r="U631" t="str">
        <f>PROPER(TRIM(T631))</f>
        <v>Cash</v>
      </c>
      <c r="V631" t="s">
        <v>81</v>
      </c>
      <c r="W631" t="str">
        <f t="shared" si="18"/>
        <v>Ada</v>
      </c>
      <c r="X631" t="s">
        <v>26</v>
      </c>
      <c r="Y631">
        <v>4</v>
      </c>
      <c r="Z631" t="str">
        <f>IF(D631="", "Missing", "ok")</f>
        <v>ok</v>
      </c>
      <c r="AA631">
        <f t="shared" si="19"/>
        <v>396.625</v>
      </c>
    </row>
    <row r="632" spans="1:27" x14ac:dyDescent="0.25">
      <c r="A632" t="s">
        <v>1716</v>
      </c>
      <c r="B632" s="1" t="s">
        <v>1717</v>
      </c>
      <c r="C632" t="s">
        <v>1718</v>
      </c>
      <c r="D632" t="s">
        <v>37</v>
      </c>
      <c r="E632" t="str">
        <f>PROPER(TRIM(D632))</f>
        <v>Aisha</v>
      </c>
      <c r="F632" t="s">
        <v>46</v>
      </c>
      <c r="G632">
        <v>43</v>
      </c>
      <c r="H632" t="str">
        <f>IF(AND(G632&gt;18, G632&lt;65), "Valid", "Invalid")</f>
        <v>Valid</v>
      </c>
      <c r="I632" t="s">
        <v>38</v>
      </c>
      <c r="J632" t="str">
        <f>PROPER(TRIM(I632))</f>
        <v>Ph</v>
      </c>
      <c r="K632" t="s">
        <v>87</v>
      </c>
      <c r="L632" t="str">
        <f>PROPER(TRIM(K632))</f>
        <v>Groceris</v>
      </c>
      <c r="M632" t="s">
        <v>49</v>
      </c>
      <c r="N632" t="str">
        <f>PROPER(TRIM(M632))</f>
        <v>Rice</v>
      </c>
      <c r="O632">
        <v>15.24</v>
      </c>
      <c r="P632">
        <v>-2</v>
      </c>
      <c r="Q632">
        <f>IF(P632&lt;1, 1, P632)</f>
        <v>1</v>
      </c>
      <c r="R632">
        <v>10</v>
      </c>
      <c r="S632" t="str">
        <f>IF(OR(R632&lt;0,R632&gt;100),"invalid","Valid")</f>
        <v>Valid</v>
      </c>
      <c r="T632" t="s">
        <v>24</v>
      </c>
      <c r="U632" t="str">
        <f>PROPER(TRIM(T632))</f>
        <v>Pos</v>
      </c>
      <c r="V632" t="s">
        <v>41</v>
      </c>
      <c r="W632" t="str">
        <f t="shared" si="18"/>
        <v>Chi</v>
      </c>
      <c r="X632" t="s">
        <v>33</v>
      </c>
      <c r="Y632">
        <v>4</v>
      </c>
      <c r="Z632" t="str">
        <f>IF(D632="", "Missing", "ok")</f>
        <v>ok</v>
      </c>
      <c r="AA632">
        <f t="shared" si="19"/>
        <v>13.716000000000001</v>
      </c>
    </row>
    <row r="633" spans="1:27" x14ac:dyDescent="0.25">
      <c r="A633" t="s">
        <v>1719</v>
      </c>
      <c r="B633" s="1" t="s">
        <v>35</v>
      </c>
      <c r="C633" t="s">
        <v>1720</v>
      </c>
      <c r="D633" t="s">
        <v>37</v>
      </c>
      <c r="E633" t="str">
        <f>PROPER(TRIM(D633))</f>
        <v>Aisha</v>
      </c>
      <c r="F633" t="s">
        <v>46</v>
      </c>
      <c r="G633">
        <v>130</v>
      </c>
      <c r="H633" t="str">
        <f>IF(AND(G633&gt;18, G633&lt;65), "Valid", "Invalid")</f>
        <v>Invalid</v>
      </c>
      <c r="I633" t="s">
        <v>53</v>
      </c>
      <c r="J633" t="str">
        <f>PROPER(TRIM(I633))</f>
        <v>Lagos</v>
      </c>
      <c r="K633" t="s">
        <v>39</v>
      </c>
      <c r="L633" t="str">
        <f>PROPER(TRIM(K633))</f>
        <v>Electronics</v>
      </c>
      <c r="M633" t="s">
        <v>40</v>
      </c>
      <c r="N633" t="str">
        <f>PROPER(TRIM(M633))</f>
        <v>Phone</v>
      </c>
      <c r="O633">
        <v>304.64</v>
      </c>
      <c r="P633">
        <v>7</v>
      </c>
      <c r="Q633">
        <f>IF(P633&lt;1, 1, P633)</f>
        <v>7</v>
      </c>
      <c r="R633">
        <v>120</v>
      </c>
      <c r="S633" t="str">
        <f>IF(OR(R633&lt;0,R633&gt;100),"invalid","Valid")</f>
        <v>invalid</v>
      </c>
      <c r="T633" t="s">
        <v>77</v>
      </c>
      <c r="U633" t="str">
        <f>PROPER(TRIM(T633))</f>
        <v>Cash</v>
      </c>
      <c r="V633" t="s">
        <v>41</v>
      </c>
      <c r="W633" t="str">
        <f t="shared" si="18"/>
        <v>Chi</v>
      </c>
      <c r="X633" t="s">
        <v>65</v>
      </c>
      <c r="Y633">
        <v>2</v>
      </c>
      <c r="Z633" t="str">
        <f>IF(D633="", "Missing", "ok")</f>
        <v>ok</v>
      </c>
      <c r="AA633">
        <f t="shared" si="19"/>
        <v>-426.49599999999992</v>
      </c>
    </row>
    <row r="634" spans="1:27" x14ac:dyDescent="0.25">
      <c r="A634" t="s">
        <v>1721</v>
      </c>
      <c r="B634" s="1" t="s">
        <v>1722</v>
      </c>
      <c r="C634" t="s">
        <v>1723</v>
      </c>
      <c r="E634" t="str">
        <f>PROPER(TRIM(D634))</f>
        <v/>
      </c>
      <c r="F634" t="s">
        <v>20</v>
      </c>
      <c r="G634">
        <v>46</v>
      </c>
      <c r="H634" t="str">
        <f>IF(AND(G634&gt;18, G634&lt;65), "Valid", "Invalid")</f>
        <v>Valid</v>
      </c>
      <c r="I634" t="s">
        <v>86</v>
      </c>
      <c r="J634" t="str">
        <f>PROPER(TRIM(I634))</f>
        <v>Kano</v>
      </c>
      <c r="K634" t="s">
        <v>121</v>
      </c>
      <c r="L634" t="str">
        <f>PROPER(TRIM(K634))</f>
        <v>Beauty</v>
      </c>
      <c r="M634" t="s">
        <v>122</v>
      </c>
      <c r="N634" t="str">
        <f>PROPER(TRIM(M634))</f>
        <v>Cream</v>
      </c>
      <c r="O634">
        <v>440.64</v>
      </c>
      <c r="P634">
        <v>-2</v>
      </c>
      <c r="Q634">
        <f>IF(P634&lt;1, 1, P634)</f>
        <v>1</v>
      </c>
      <c r="R634">
        <v>0</v>
      </c>
      <c r="S634" t="str">
        <f>IF(OR(R634&lt;0,R634&gt;100),"invalid","Valid")</f>
        <v>Valid</v>
      </c>
      <c r="T634" t="s">
        <v>24</v>
      </c>
      <c r="U634" t="str">
        <f>PROPER(TRIM(T634))</f>
        <v>Pos</v>
      </c>
      <c r="V634" t="s">
        <v>25</v>
      </c>
      <c r="W634" t="str">
        <f t="shared" si="18"/>
        <v>Dan</v>
      </c>
      <c r="X634" t="s">
        <v>26</v>
      </c>
      <c r="Z634" t="str">
        <f>IF(D634="", "Missing", "ok")</f>
        <v>Missing</v>
      </c>
      <c r="AA634">
        <f t="shared" si="19"/>
        <v>440.64</v>
      </c>
    </row>
    <row r="635" spans="1:27" x14ac:dyDescent="0.25">
      <c r="A635" t="s">
        <v>1724</v>
      </c>
      <c r="B635" s="1" t="s">
        <v>1725</v>
      </c>
      <c r="C635" t="s">
        <v>1726</v>
      </c>
      <c r="D635" t="s">
        <v>19</v>
      </c>
      <c r="E635" t="str">
        <f>PROPER(TRIM(D635))</f>
        <v>Peter</v>
      </c>
      <c r="F635" t="s">
        <v>46</v>
      </c>
      <c r="G635">
        <v>8</v>
      </c>
      <c r="H635" t="str">
        <f>IF(AND(G635&gt;18, G635&lt;65), "Valid", "Invalid")</f>
        <v>Invalid</v>
      </c>
      <c r="I635" t="s">
        <v>21</v>
      </c>
      <c r="J635" t="str">
        <f>PROPER(TRIM(I635))</f>
        <v>Lagos</v>
      </c>
      <c r="K635" t="s">
        <v>22</v>
      </c>
      <c r="L635" t="str">
        <f>PROPER(TRIM(K635))</f>
        <v>Fashion</v>
      </c>
      <c r="M635" t="s">
        <v>23</v>
      </c>
      <c r="N635" t="str">
        <f>PROPER(TRIM(M635))</f>
        <v>Shirt</v>
      </c>
      <c r="O635">
        <v>458.86</v>
      </c>
      <c r="P635">
        <v>5</v>
      </c>
      <c r="Q635">
        <f>IF(P635&lt;1, 1, P635)</f>
        <v>5</v>
      </c>
      <c r="R635">
        <v>-10</v>
      </c>
      <c r="S635" t="str">
        <f>IF(OR(R635&lt;0,R635&gt;100),"invalid","Valid")</f>
        <v>invalid</v>
      </c>
      <c r="T635" t="s">
        <v>24</v>
      </c>
      <c r="U635" t="str">
        <f>PROPER(TRIM(T635))</f>
        <v>Pos</v>
      </c>
      <c r="V635" t="s">
        <v>25</v>
      </c>
      <c r="W635" t="str">
        <f t="shared" si="18"/>
        <v>Dan</v>
      </c>
      <c r="X635" t="s">
        <v>82</v>
      </c>
      <c r="Y635">
        <v>3</v>
      </c>
      <c r="Z635" t="str">
        <f>IF(D635="", "Missing", "ok")</f>
        <v>ok</v>
      </c>
      <c r="AA635">
        <f t="shared" si="19"/>
        <v>2523.7300000000005</v>
      </c>
    </row>
    <row r="636" spans="1:27" x14ac:dyDescent="0.25">
      <c r="A636" t="s">
        <v>1727</v>
      </c>
      <c r="B636" s="1" t="s">
        <v>282</v>
      </c>
      <c r="C636" t="s">
        <v>145</v>
      </c>
      <c r="D636" t="s">
        <v>37</v>
      </c>
      <c r="E636" t="str">
        <f>PROPER(TRIM(D636))</f>
        <v>Aisha</v>
      </c>
      <c r="F636" t="s">
        <v>46</v>
      </c>
      <c r="G636">
        <v>8</v>
      </c>
      <c r="H636" t="str">
        <f>IF(AND(G636&gt;18, G636&lt;65), "Valid", "Invalid")</f>
        <v>Invalid</v>
      </c>
      <c r="I636" t="s">
        <v>21</v>
      </c>
      <c r="J636" t="str">
        <f>PROPER(TRIM(I636))</f>
        <v>Lagos</v>
      </c>
      <c r="K636" t="s">
        <v>121</v>
      </c>
      <c r="L636" t="str">
        <f>PROPER(TRIM(K636))</f>
        <v>Beauty</v>
      </c>
      <c r="M636" t="s">
        <v>122</v>
      </c>
      <c r="N636" t="str">
        <f>PROPER(TRIM(M636))</f>
        <v>Cream</v>
      </c>
      <c r="O636">
        <v>487.6</v>
      </c>
      <c r="P636">
        <v>1</v>
      </c>
      <c r="Q636">
        <f>IF(P636&lt;1, 1, P636)</f>
        <v>1</v>
      </c>
      <c r="R636">
        <v>15</v>
      </c>
      <c r="S636" t="str">
        <f>IF(OR(R636&lt;0,R636&gt;100),"invalid","Valid")</f>
        <v>Valid</v>
      </c>
      <c r="T636" t="s">
        <v>24</v>
      </c>
      <c r="U636" t="str">
        <f>PROPER(TRIM(T636))</f>
        <v>Pos</v>
      </c>
      <c r="V636" t="s">
        <v>81</v>
      </c>
      <c r="W636" t="str">
        <f t="shared" si="18"/>
        <v>Ada</v>
      </c>
      <c r="X636" t="s">
        <v>65</v>
      </c>
      <c r="Y636">
        <v>4</v>
      </c>
      <c r="Z636" t="str">
        <f>IF(D636="", "Missing", "ok")</f>
        <v>ok</v>
      </c>
      <c r="AA636">
        <f t="shared" si="19"/>
        <v>414.46000000000004</v>
      </c>
    </row>
    <row r="637" spans="1:27" x14ac:dyDescent="0.25">
      <c r="A637" t="s">
        <v>1728</v>
      </c>
      <c r="B637" s="1" t="s">
        <v>1729</v>
      </c>
      <c r="C637" t="s">
        <v>1730</v>
      </c>
      <c r="E637" t="str">
        <f>PROPER(TRIM(D637))</f>
        <v/>
      </c>
      <c r="F637" t="s">
        <v>20</v>
      </c>
      <c r="G637">
        <v>57</v>
      </c>
      <c r="H637" t="str">
        <f>IF(AND(G637&gt;18, G637&lt;65), "Valid", "Invalid")</f>
        <v>Valid</v>
      </c>
      <c r="I637" t="s">
        <v>86</v>
      </c>
      <c r="J637" t="str">
        <f>PROPER(TRIM(I637))</f>
        <v>Kano</v>
      </c>
      <c r="K637" t="s">
        <v>121</v>
      </c>
      <c r="L637" t="str">
        <f>PROPER(TRIM(K637))</f>
        <v>Beauty</v>
      </c>
      <c r="M637" t="s">
        <v>122</v>
      </c>
      <c r="N637" t="str">
        <f>PROPER(TRIM(M637))</f>
        <v>Cream</v>
      </c>
      <c r="O637">
        <v>166.06</v>
      </c>
      <c r="P637">
        <v>-2</v>
      </c>
      <c r="Q637">
        <f>IF(P637&lt;1, 1, P637)</f>
        <v>1</v>
      </c>
      <c r="R637">
        <v>5</v>
      </c>
      <c r="S637" t="str">
        <f>IF(OR(R637&lt;0,R637&gt;100),"invalid","Valid")</f>
        <v>Valid</v>
      </c>
      <c r="T637" t="s">
        <v>77</v>
      </c>
      <c r="U637" t="str">
        <f>PROPER(TRIM(T637))</f>
        <v>Cash</v>
      </c>
      <c r="V637" t="s">
        <v>25</v>
      </c>
      <c r="W637" t="str">
        <f t="shared" si="18"/>
        <v>Dan</v>
      </c>
      <c r="X637" t="s">
        <v>33</v>
      </c>
      <c r="Y637">
        <v>3</v>
      </c>
      <c r="Z637" t="str">
        <f>IF(D637="", "Missing", "ok")</f>
        <v>Missing</v>
      </c>
      <c r="AA637">
        <f t="shared" si="19"/>
        <v>157.75700000000001</v>
      </c>
    </row>
    <row r="638" spans="1:27" x14ac:dyDescent="0.25">
      <c r="A638" t="s">
        <v>1731</v>
      </c>
      <c r="B638" s="1" t="s">
        <v>1628</v>
      </c>
      <c r="C638" t="s">
        <v>1732</v>
      </c>
      <c r="D638" t="s">
        <v>63</v>
      </c>
      <c r="E638" t="str">
        <f>PROPER(TRIM(D638))</f>
        <v>John</v>
      </c>
      <c r="F638" t="s">
        <v>46</v>
      </c>
      <c r="G638">
        <v>130</v>
      </c>
      <c r="H638" t="str">
        <f>IF(AND(G638&gt;18, G638&lt;65), "Valid", "Invalid")</f>
        <v>Invalid</v>
      </c>
      <c r="I638" t="s">
        <v>30</v>
      </c>
      <c r="J638" t="str">
        <f>PROPER(TRIM(I638))</f>
        <v>Lagos</v>
      </c>
      <c r="K638" t="s">
        <v>39</v>
      </c>
      <c r="L638" t="str">
        <f>PROPER(TRIM(K638))</f>
        <v>Electronics</v>
      </c>
      <c r="M638" t="s">
        <v>40</v>
      </c>
      <c r="N638" t="str">
        <f>PROPER(TRIM(M638))</f>
        <v>Phone</v>
      </c>
      <c r="O638">
        <v>493.5</v>
      </c>
      <c r="P638">
        <v>-2</v>
      </c>
      <c r="Q638">
        <f>IF(P638&lt;1, 1, P638)</f>
        <v>1</v>
      </c>
      <c r="R638">
        <v>-10</v>
      </c>
      <c r="S638" t="str">
        <f>IF(OR(R638&lt;0,R638&gt;100),"invalid","Valid")</f>
        <v>invalid</v>
      </c>
      <c r="U638" t="str">
        <f>PROPER(TRIM(T638))</f>
        <v/>
      </c>
      <c r="V638" t="s">
        <v>41</v>
      </c>
      <c r="W638" t="str">
        <f t="shared" si="18"/>
        <v>Chi</v>
      </c>
      <c r="X638" t="s">
        <v>65</v>
      </c>
      <c r="Z638" t="str">
        <f>IF(D638="", "Missing", "ok")</f>
        <v>ok</v>
      </c>
      <c r="AA638">
        <f t="shared" si="19"/>
        <v>542.85</v>
      </c>
    </row>
    <row r="639" spans="1:27" x14ac:dyDescent="0.25">
      <c r="A639" t="s">
        <v>1733</v>
      </c>
      <c r="B639" s="1" t="s">
        <v>1607</v>
      </c>
      <c r="C639" t="s">
        <v>1734</v>
      </c>
      <c r="D639" t="s">
        <v>101</v>
      </c>
      <c r="E639" t="str">
        <f>PROPER(TRIM(D639))</f>
        <v>Grace</v>
      </c>
      <c r="F639" t="s">
        <v>46</v>
      </c>
      <c r="G639">
        <v>130</v>
      </c>
      <c r="H639" t="str">
        <f>IF(AND(G639&gt;18, G639&lt;65), "Valid", "Invalid")</f>
        <v>Invalid</v>
      </c>
      <c r="I639" t="s">
        <v>86</v>
      </c>
      <c r="J639" t="str">
        <f>PROPER(TRIM(I639))</f>
        <v>Kano</v>
      </c>
      <c r="K639" t="s">
        <v>31</v>
      </c>
      <c r="L639" t="str">
        <f>PROPER(TRIM(K639))</f>
        <v>Sports</v>
      </c>
      <c r="M639" t="s">
        <v>32</v>
      </c>
      <c r="N639" t="str">
        <f>PROPER(TRIM(M639))</f>
        <v>Ball</v>
      </c>
      <c r="O639">
        <v>428.14</v>
      </c>
      <c r="P639">
        <v>10</v>
      </c>
      <c r="Q639">
        <f>IF(P639&lt;1, 1, P639)</f>
        <v>10</v>
      </c>
      <c r="R639">
        <v>5</v>
      </c>
      <c r="S639" t="str">
        <f>IF(OR(R639&lt;0,R639&gt;100),"invalid","Valid")</f>
        <v>Valid</v>
      </c>
      <c r="T639" t="s">
        <v>59</v>
      </c>
      <c r="U639" t="str">
        <f>PROPER(TRIM(T639))</f>
        <v>Mobile Money</v>
      </c>
      <c r="V639" t="s">
        <v>81</v>
      </c>
      <c r="W639" t="str">
        <f t="shared" si="18"/>
        <v>Ada</v>
      </c>
      <c r="X639" t="s">
        <v>26</v>
      </c>
      <c r="Y639">
        <v>2</v>
      </c>
      <c r="Z639" t="str">
        <f>IF(D639="", "Missing", "ok")</f>
        <v>ok</v>
      </c>
      <c r="AA639">
        <f t="shared" si="19"/>
        <v>4067.3299999999995</v>
      </c>
    </row>
    <row r="640" spans="1:27" x14ac:dyDescent="0.25">
      <c r="A640" t="s">
        <v>1735</v>
      </c>
      <c r="B640" s="1" t="s">
        <v>43</v>
      </c>
      <c r="C640" t="s">
        <v>1736</v>
      </c>
      <c r="D640" t="s">
        <v>19</v>
      </c>
      <c r="E640" t="str">
        <f>PROPER(TRIM(D640))</f>
        <v>Peter</v>
      </c>
      <c r="F640" t="s">
        <v>46</v>
      </c>
      <c r="G640">
        <v>130</v>
      </c>
      <c r="H640" t="str">
        <f>IF(AND(G640&gt;18, G640&lt;65), "Valid", "Invalid")</f>
        <v>Invalid</v>
      </c>
      <c r="I640" t="s">
        <v>38</v>
      </c>
      <c r="J640" t="str">
        <f>PROPER(TRIM(I640))</f>
        <v>Ph</v>
      </c>
      <c r="K640" t="s">
        <v>48</v>
      </c>
      <c r="L640" t="str">
        <f>PROPER(TRIM(K640))</f>
        <v>Groceries</v>
      </c>
      <c r="M640" t="s">
        <v>49</v>
      </c>
      <c r="N640" t="str">
        <f>PROPER(TRIM(M640))</f>
        <v>Rice</v>
      </c>
      <c r="O640">
        <v>445.63</v>
      </c>
      <c r="P640">
        <v>-2</v>
      </c>
      <c r="Q640">
        <f>IF(P640&lt;1, 1, P640)</f>
        <v>1</v>
      </c>
      <c r="R640">
        <v>5</v>
      </c>
      <c r="S640" t="str">
        <f>IF(OR(R640&lt;0,R640&gt;100),"invalid","Valid")</f>
        <v>Valid</v>
      </c>
      <c r="T640" t="s">
        <v>24</v>
      </c>
      <c r="U640" t="str">
        <f>PROPER(TRIM(T640))</f>
        <v>Pos</v>
      </c>
      <c r="V640" t="s">
        <v>81</v>
      </c>
      <c r="W640" t="str">
        <f t="shared" si="18"/>
        <v>Ada</v>
      </c>
      <c r="X640" t="s">
        <v>33</v>
      </c>
      <c r="Y640">
        <v>5</v>
      </c>
      <c r="Z640" t="str">
        <f>IF(D640="", "Missing", "ok")</f>
        <v>ok</v>
      </c>
      <c r="AA640">
        <f t="shared" si="19"/>
        <v>423.3485</v>
      </c>
    </row>
    <row r="641" spans="1:27" x14ac:dyDescent="0.25">
      <c r="A641" t="s">
        <v>1737</v>
      </c>
      <c r="B641" s="1" t="s">
        <v>1486</v>
      </c>
      <c r="C641" t="s">
        <v>1738</v>
      </c>
      <c r="D641" t="s">
        <v>19</v>
      </c>
      <c r="E641" t="str">
        <f>PROPER(TRIM(D641))</f>
        <v>Peter</v>
      </c>
      <c r="F641" t="s">
        <v>46</v>
      </c>
      <c r="G641">
        <v>130</v>
      </c>
      <c r="H641" t="str">
        <f>IF(AND(G641&gt;18, G641&lt;65), "Valid", "Invalid")</f>
        <v>Invalid</v>
      </c>
      <c r="I641" t="s">
        <v>47</v>
      </c>
      <c r="J641" t="str">
        <f>PROPER(TRIM(I641))</f>
        <v>Enugu</v>
      </c>
      <c r="K641" t="s">
        <v>22</v>
      </c>
      <c r="L641" t="str">
        <f>PROPER(TRIM(K641))</f>
        <v>Fashion</v>
      </c>
      <c r="M641" t="s">
        <v>23</v>
      </c>
      <c r="N641" t="str">
        <f>PROPER(TRIM(M641))</f>
        <v>Shirt</v>
      </c>
      <c r="O641">
        <v>141.63999999999999</v>
      </c>
      <c r="P641">
        <v>-2</v>
      </c>
      <c r="Q641">
        <f>IF(P641&lt;1, 1, P641)</f>
        <v>1</v>
      </c>
      <c r="R641">
        <v>0</v>
      </c>
      <c r="S641" t="str">
        <f>IF(OR(R641&lt;0,R641&gt;100),"invalid","Valid")</f>
        <v>Valid</v>
      </c>
      <c r="T641" t="s">
        <v>59</v>
      </c>
      <c r="U641" t="str">
        <f>PROPER(TRIM(T641))</f>
        <v>Mobile Money</v>
      </c>
      <c r="V641" t="s">
        <v>25</v>
      </c>
      <c r="W641" t="str">
        <f t="shared" si="18"/>
        <v>Dan</v>
      </c>
      <c r="X641" t="s">
        <v>82</v>
      </c>
      <c r="Z641" t="str">
        <f>IF(D641="", "Missing", "ok")</f>
        <v>ok</v>
      </c>
      <c r="AA641">
        <f t="shared" si="19"/>
        <v>141.63999999999999</v>
      </c>
    </row>
    <row r="642" spans="1:27" x14ac:dyDescent="0.25">
      <c r="A642" t="s">
        <v>1739</v>
      </c>
      <c r="B642" s="1" t="s">
        <v>1740</v>
      </c>
      <c r="C642" t="s">
        <v>1741</v>
      </c>
      <c r="D642" t="s">
        <v>117</v>
      </c>
      <c r="E642" t="str">
        <f>PROPER(TRIM(D642))</f>
        <v>David</v>
      </c>
      <c r="F642" t="s">
        <v>46</v>
      </c>
      <c r="G642">
        <v>8</v>
      </c>
      <c r="H642" t="str">
        <f>IF(AND(G642&gt;18, G642&lt;65), "Valid", "Invalid")</f>
        <v>Invalid</v>
      </c>
      <c r="I642" t="s">
        <v>21</v>
      </c>
      <c r="J642" t="str">
        <f>PROPER(TRIM(I642))</f>
        <v>Lagos</v>
      </c>
      <c r="K642" t="s">
        <v>87</v>
      </c>
      <c r="L642" t="str">
        <f>PROPER(TRIM(K642))</f>
        <v>Groceris</v>
      </c>
      <c r="M642" t="s">
        <v>49</v>
      </c>
      <c r="N642" t="str">
        <f>PROPER(TRIM(M642))</f>
        <v>Rice</v>
      </c>
      <c r="O642">
        <v>429.31</v>
      </c>
      <c r="P642">
        <v>-2</v>
      </c>
      <c r="Q642">
        <f>IF(P642&lt;1, 1, P642)</f>
        <v>1</v>
      </c>
      <c r="R642">
        <v>10</v>
      </c>
      <c r="S642" t="str">
        <f>IF(OR(R642&lt;0,R642&gt;100),"invalid","Valid")</f>
        <v>Valid</v>
      </c>
      <c r="T642" t="s">
        <v>59</v>
      </c>
      <c r="U642" t="str">
        <f>PROPER(TRIM(T642))</f>
        <v>Mobile Money</v>
      </c>
      <c r="V642" t="s">
        <v>81</v>
      </c>
      <c r="W642" t="str">
        <f t="shared" ref="W642:W705" si="20">PROPER(TRIM(V642))</f>
        <v>Ada</v>
      </c>
      <c r="X642" t="s">
        <v>65</v>
      </c>
      <c r="Z642" t="str">
        <f>IF(D642="", "Missing", "ok")</f>
        <v>ok</v>
      </c>
      <c r="AA642">
        <f t="shared" si="19"/>
        <v>386.37900000000002</v>
      </c>
    </row>
    <row r="643" spans="1:27" x14ac:dyDescent="0.25">
      <c r="A643" t="s">
        <v>1742</v>
      </c>
      <c r="B643" s="1" t="s">
        <v>1743</v>
      </c>
      <c r="C643" t="s">
        <v>1744</v>
      </c>
      <c r="D643" t="s">
        <v>45</v>
      </c>
      <c r="E643" t="str">
        <f>PROPER(TRIM(D643))</f>
        <v>James</v>
      </c>
      <c r="F643" t="s">
        <v>20</v>
      </c>
      <c r="G643">
        <v>40</v>
      </c>
      <c r="H643" t="str">
        <f>IF(AND(G643&gt;18, G643&lt;65), "Valid", "Invalid")</f>
        <v>Valid</v>
      </c>
      <c r="I643" t="s">
        <v>38</v>
      </c>
      <c r="J643" t="str">
        <f>PROPER(TRIM(I643))</f>
        <v>Ph</v>
      </c>
      <c r="K643" t="s">
        <v>31</v>
      </c>
      <c r="L643" t="str">
        <f>PROPER(TRIM(K643))</f>
        <v>Sports</v>
      </c>
      <c r="M643" t="s">
        <v>32</v>
      </c>
      <c r="N643" t="str">
        <f>PROPER(TRIM(M643))</f>
        <v>Ball</v>
      </c>
      <c r="O643">
        <v>391.5</v>
      </c>
      <c r="P643">
        <v>-2</v>
      </c>
      <c r="Q643">
        <f>IF(P643&lt;1, 1, P643)</f>
        <v>1</v>
      </c>
      <c r="R643">
        <v>0</v>
      </c>
      <c r="S643" t="str">
        <f>IF(OR(R643&lt;0,R643&gt;100),"invalid","Valid")</f>
        <v>Valid</v>
      </c>
      <c r="T643" t="s">
        <v>64</v>
      </c>
      <c r="U643" t="str">
        <f>PROPER(TRIM(T643))</f>
        <v>Transfer</v>
      </c>
      <c r="V643" t="s">
        <v>91</v>
      </c>
      <c r="W643" t="str">
        <f t="shared" si="20"/>
        <v>Ben</v>
      </c>
      <c r="X643" t="s">
        <v>65</v>
      </c>
      <c r="Z643" t="str">
        <f>IF(D643="", "Missing", "ok")</f>
        <v>ok</v>
      </c>
      <c r="AA643">
        <f t="shared" ref="AA643:AA706" si="21">(O643*Q643)*(1-R643/100)</f>
        <v>391.5</v>
      </c>
    </row>
    <row r="644" spans="1:27" x14ac:dyDescent="0.25">
      <c r="A644" t="s">
        <v>1745</v>
      </c>
      <c r="B644" s="1" t="s">
        <v>1746</v>
      </c>
      <c r="C644" t="s">
        <v>1747</v>
      </c>
      <c r="D644" t="s">
        <v>117</v>
      </c>
      <c r="E644" t="str">
        <f>PROPER(TRIM(D644))</f>
        <v>David</v>
      </c>
      <c r="F644" t="s">
        <v>20</v>
      </c>
      <c r="G644">
        <v>130</v>
      </c>
      <c r="H644" t="str">
        <f>IF(AND(G644&gt;18, G644&lt;65), "Valid", "Invalid")</f>
        <v>Invalid</v>
      </c>
      <c r="I644" t="s">
        <v>53</v>
      </c>
      <c r="J644" t="str">
        <f>PROPER(TRIM(I644))</f>
        <v>Lagos</v>
      </c>
      <c r="K644" t="s">
        <v>31</v>
      </c>
      <c r="L644" t="str">
        <f>PROPER(TRIM(K644))</f>
        <v>Sports</v>
      </c>
      <c r="M644" t="s">
        <v>32</v>
      </c>
      <c r="N644" t="str">
        <f>PROPER(TRIM(M644))</f>
        <v>Ball</v>
      </c>
      <c r="O644">
        <v>57.66</v>
      </c>
      <c r="P644">
        <v>-2</v>
      </c>
      <c r="Q644">
        <f>IF(P644&lt;1, 1, P644)</f>
        <v>1</v>
      </c>
      <c r="R644">
        <v>10</v>
      </c>
      <c r="S644" t="str">
        <f>IF(OR(R644&lt;0,R644&gt;100),"invalid","Valid")</f>
        <v>Valid</v>
      </c>
      <c r="U644" t="str">
        <f>PROPER(TRIM(T644))</f>
        <v/>
      </c>
      <c r="V644" t="s">
        <v>25</v>
      </c>
      <c r="W644" t="str">
        <f t="shared" si="20"/>
        <v>Dan</v>
      </c>
      <c r="X644" t="s">
        <v>33</v>
      </c>
      <c r="Y644">
        <v>2</v>
      </c>
      <c r="Z644" t="str">
        <f>IF(D644="", "Missing", "ok")</f>
        <v>ok</v>
      </c>
      <c r="AA644">
        <f t="shared" si="21"/>
        <v>51.893999999999998</v>
      </c>
    </row>
    <row r="645" spans="1:27" x14ac:dyDescent="0.25">
      <c r="A645" t="s">
        <v>1748</v>
      </c>
      <c r="B645" s="1" t="s">
        <v>1117</v>
      </c>
      <c r="C645" t="s">
        <v>1749</v>
      </c>
      <c r="D645" t="s">
        <v>117</v>
      </c>
      <c r="E645" t="str">
        <f>PROPER(TRIM(D645))</f>
        <v>David</v>
      </c>
      <c r="F645" t="s">
        <v>20</v>
      </c>
      <c r="G645">
        <v>19</v>
      </c>
      <c r="H645" t="str">
        <f>IF(AND(G645&gt;18, G645&lt;65), "Valid", "Invalid")</f>
        <v>Valid</v>
      </c>
      <c r="I645" t="s">
        <v>70</v>
      </c>
      <c r="J645" t="str">
        <f>PROPER(TRIM(I645))</f>
        <v>Abuja</v>
      </c>
      <c r="K645" t="s">
        <v>48</v>
      </c>
      <c r="L645" t="str">
        <f>PROPER(TRIM(K645))</f>
        <v>Groceries</v>
      </c>
      <c r="M645" t="s">
        <v>49</v>
      </c>
      <c r="N645" t="str">
        <f>PROPER(TRIM(M645))</f>
        <v>Rice</v>
      </c>
      <c r="O645">
        <v>69.73</v>
      </c>
      <c r="P645">
        <v>-2</v>
      </c>
      <c r="Q645">
        <f>IF(P645&lt;1, 1, P645)</f>
        <v>1</v>
      </c>
      <c r="R645">
        <v>10</v>
      </c>
      <c r="S645" t="str">
        <f>IF(OR(R645&lt;0,R645&gt;100),"invalid","Valid")</f>
        <v>Valid</v>
      </c>
      <c r="U645" t="str">
        <f>PROPER(TRIM(T645))</f>
        <v/>
      </c>
      <c r="V645" t="s">
        <v>25</v>
      </c>
      <c r="W645" t="str">
        <f t="shared" si="20"/>
        <v>Dan</v>
      </c>
      <c r="X645" t="s">
        <v>33</v>
      </c>
      <c r="Y645">
        <v>2</v>
      </c>
      <c r="Z645" t="str">
        <f>IF(D645="", "Missing", "ok")</f>
        <v>ok</v>
      </c>
      <c r="AA645">
        <f t="shared" si="21"/>
        <v>62.757000000000005</v>
      </c>
    </row>
    <row r="646" spans="1:27" x14ac:dyDescent="0.25">
      <c r="A646" t="s">
        <v>1750</v>
      </c>
      <c r="B646" s="1" t="s">
        <v>158</v>
      </c>
      <c r="C646" t="s">
        <v>1751</v>
      </c>
      <c r="D646" t="s">
        <v>45</v>
      </c>
      <c r="E646" t="str">
        <f>PROPER(TRIM(D646))</f>
        <v>James</v>
      </c>
      <c r="F646" t="s">
        <v>46</v>
      </c>
      <c r="G646">
        <v>130</v>
      </c>
      <c r="H646" t="str">
        <f>IF(AND(G646&gt;18, G646&lt;65), "Valid", "Invalid")</f>
        <v>Invalid</v>
      </c>
      <c r="I646" t="s">
        <v>53</v>
      </c>
      <c r="J646" t="str">
        <f>PROPER(TRIM(I646))</f>
        <v>Lagos</v>
      </c>
      <c r="K646" t="s">
        <v>39</v>
      </c>
      <c r="L646" t="str">
        <f>PROPER(TRIM(K646))</f>
        <v>Electronics</v>
      </c>
      <c r="M646" t="s">
        <v>40</v>
      </c>
      <c r="N646" t="str">
        <f>PROPER(TRIM(M646))</f>
        <v>Phone</v>
      </c>
      <c r="O646">
        <v>355.09</v>
      </c>
      <c r="P646">
        <v>-2</v>
      </c>
      <c r="Q646">
        <f>IF(P646&lt;1, 1, P646)</f>
        <v>1</v>
      </c>
      <c r="R646">
        <v>-10</v>
      </c>
      <c r="S646" t="str">
        <f>IF(OR(R646&lt;0,R646&gt;100),"invalid","Valid")</f>
        <v>invalid</v>
      </c>
      <c r="T646" t="s">
        <v>24</v>
      </c>
      <c r="U646" t="str">
        <f>PROPER(TRIM(T646))</f>
        <v>Pos</v>
      </c>
      <c r="V646" t="s">
        <v>91</v>
      </c>
      <c r="W646" t="str">
        <f t="shared" si="20"/>
        <v>Ben</v>
      </c>
      <c r="X646" t="s">
        <v>65</v>
      </c>
      <c r="Y646">
        <v>3</v>
      </c>
      <c r="Z646" t="str">
        <f>IF(D646="", "Missing", "ok")</f>
        <v>ok</v>
      </c>
      <c r="AA646">
        <f t="shared" si="21"/>
        <v>390.59899999999999</v>
      </c>
    </row>
    <row r="647" spans="1:27" x14ac:dyDescent="0.25">
      <c r="A647" t="s">
        <v>1752</v>
      </c>
      <c r="B647" s="1" t="s">
        <v>841</v>
      </c>
      <c r="C647" t="s">
        <v>1753</v>
      </c>
      <c r="D647" t="s">
        <v>69</v>
      </c>
      <c r="E647" t="str">
        <f>PROPER(TRIM(D647))</f>
        <v>Mary</v>
      </c>
      <c r="F647" t="s">
        <v>20</v>
      </c>
      <c r="G647">
        <v>55</v>
      </c>
      <c r="H647" t="str">
        <f>IF(AND(G647&gt;18, G647&lt;65), "Valid", "Invalid")</f>
        <v>Valid</v>
      </c>
      <c r="I647" t="s">
        <v>86</v>
      </c>
      <c r="J647" t="str">
        <f>PROPER(TRIM(I647))</f>
        <v>Kano</v>
      </c>
      <c r="K647" t="s">
        <v>48</v>
      </c>
      <c r="L647" t="str">
        <f>PROPER(TRIM(K647))</f>
        <v>Groceries</v>
      </c>
      <c r="M647" t="s">
        <v>49</v>
      </c>
      <c r="N647" t="str">
        <f>PROPER(TRIM(M647))</f>
        <v>Rice</v>
      </c>
      <c r="O647">
        <v>410.99</v>
      </c>
      <c r="P647">
        <v>3</v>
      </c>
      <c r="Q647">
        <f>IF(P647&lt;1, 1, P647)</f>
        <v>3</v>
      </c>
      <c r="R647">
        <v>-10</v>
      </c>
      <c r="S647" t="str">
        <f>IF(OR(R647&lt;0,R647&gt;100),"invalid","Valid")</f>
        <v>invalid</v>
      </c>
      <c r="U647" t="str">
        <f>PROPER(TRIM(T647))</f>
        <v/>
      </c>
      <c r="V647" t="s">
        <v>25</v>
      </c>
      <c r="W647" t="str">
        <f t="shared" si="20"/>
        <v>Dan</v>
      </c>
      <c r="X647" t="s">
        <v>82</v>
      </c>
      <c r="Y647">
        <v>5</v>
      </c>
      <c r="Z647" t="str">
        <f>IF(D647="", "Missing", "ok")</f>
        <v>ok</v>
      </c>
      <c r="AA647">
        <f t="shared" si="21"/>
        <v>1356.2670000000001</v>
      </c>
    </row>
    <row r="648" spans="1:27" x14ac:dyDescent="0.25">
      <c r="A648" t="s">
        <v>1754</v>
      </c>
      <c r="B648" s="1" t="s">
        <v>752</v>
      </c>
      <c r="C648" t="s">
        <v>720</v>
      </c>
      <c r="D648" t="s">
        <v>37</v>
      </c>
      <c r="E648" t="str">
        <f>PROPER(TRIM(D648))</f>
        <v>Aisha</v>
      </c>
      <c r="F648" t="s">
        <v>46</v>
      </c>
      <c r="G648">
        <v>130</v>
      </c>
      <c r="H648" t="str">
        <f>IF(AND(G648&gt;18, G648&lt;65), "Valid", "Invalid")</f>
        <v>Invalid</v>
      </c>
      <c r="I648" t="s">
        <v>21</v>
      </c>
      <c r="J648" t="str">
        <f>PROPER(TRIM(I648))</f>
        <v>Lagos</v>
      </c>
      <c r="K648" t="s">
        <v>87</v>
      </c>
      <c r="L648" t="str">
        <f>PROPER(TRIM(K648))</f>
        <v>Groceris</v>
      </c>
      <c r="M648" t="s">
        <v>49</v>
      </c>
      <c r="N648" t="str">
        <f>PROPER(TRIM(M648))</f>
        <v>Rice</v>
      </c>
      <c r="O648">
        <v>410.13</v>
      </c>
      <c r="P648">
        <v>-2</v>
      </c>
      <c r="Q648">
        <f>IF(P648&lt;1, 1, P648)</f>
        <v>1</v>
      </c>
      <c r="R648">
        <v>10</v>
      </c>
      <c r="S648" t="str">
        <f>IF(OR(R648&lt;0,R648&gt;100),"invalid","Valid")</f>
        <v>Valid</v>
      </c>
      <c r="T648" t="s">
        <v>59</v>
      </c>
      <c r="U648" t="str">
        <f>PROPER(TRIM(T648))</f>
        <v>Mobile Money</v>
      </c>
      <c r="V648" t="s">
        <v>81</v>
      </c>
      <c r="W648" t="str">
        <f t="shared" si="20"/>
        <v>Ada</v>
      </c>
      <c r="X648" t="s">
        <v>82</v>
      </c>
      <c r="Z648" t="str">
        <f>IF(D648="", "Missing", "ok")</f>
        <v>ok</v>
      </c>
      <c r="AA648">
        <f t="shared" si="21"/>
        <v>369.11700000000002</v>
      </c>
    </row>
    <row r="649" spans="1:27" x14ac:dyDescent="0.25">
      <c r="A649" t="s">
        <v>1755</v>
      </c>
      <c r="B649" s="1" t="s">
        <v>1756</v>
      </c>
      <c r="C649" t="s">
        <v>1757</v>
      </c>
      <c r="D649" t="s">
        <v>69</v>
      </c>
      <c r="E649" t="str">
        <f>PROPER(TRIM(D649))</f>
        <v>Mary</v>
      </c>
      <c r="F649" t="s">
        <v>20</v>
      </c>
      <c r="G649">
        <v>8</v>
      </c>
      <c r="H649" t="str">
        <f>IF(AND(G649&gt;18, G649&lt;65), "Valid", "Invalid")</f>
        <v>Invalid</v>
      </c>
      <c r="I649" t="s">
        <v>47</v>
      </c>
      <c r="J649" t="str">
        <f>PROPER(TRIM(I649))</f>
        <v>Enugu</v>
      </c>
      <c r="K649" t="s">
        <v>54</v>
      </c>
      <c r="L649" t="str">
        <f>PROPER(TRIM(K649))</f>
        <v>Home</v>
      </c>
      <c r="M649" t="s">
        <v>55</v>
      </c>
      <c r="N649" t="str">
        <f>PROPER(TRIM(M649))</f>
        <v>Chair</v>
      </c>
      <c r="O649">
        <v>349.19</v>
      </c>
      <c r="P649">
        <v>6</v>
      </c>
      <c r="Q649">
        <f>IF(P649&lt;1, 1, P649)</f>
        <v>6</v>
      </c>
      <c r="R649">
        <v>120</v>
      </c>
      <c r="S649" t="str">
        <f>IF(OR(R649&lt;0,R649&gt;100),"invalid","Valid")</f>
        <v>invalid</v>
      </c>
      <c r="T649" t="s">
        <v>77</v>
      </c>
      <c r="U649" t="str">
        <f>PROPER(TRIM(T649))</f>
        <v>Cash</v>
      </c>
      <c r="V649" t="s">
        <v>25</v>
      </c>
      <c r="W649" t="str">
        <f t="shared" si="20"/>
        <v>Dan</v>
      </c>
      <c r="X649" t="s">
        <v>26</v>
      </c>
      <c r="Y649">
        <v>2</v>
      </c>
      <c r="Z649" t="str">
        <f>IF(D649="", "Missing", "ok")</f>
        <v>ok</v>
      </c>
      <c r="AA649">
        <f t="shared" si="21"/>
        <v>-419.02799999999991</v>
      </c>
    </row>
    <row r="650" spans="1:27" x14ac:dyDescent="0.25">
      <c r="A650" t="s">
        <v>1758</v>
      </c>
      <c r="B650" s="1" t="s">
        <v>1759</v>
      </c>
      <c r="C650" t="s">
        <v>1760</v>
      </c>
      <c r="D650" t="s">
        <v>45</v>
      </c>
      <c r="E650" t="str">
        <f>PROPER(TRIM(D650))</f>
        <v>James</v>
      </c>
      <c r="F650" t="s">
        <v>46</v>
      </c>
      <c r="G650">
        <v>60</v>
      </c>
      <c r="H650" t="str">
        <f>IF(AND(G650&gt;18, G650&lt;65), "Valid", "Invalid")</f>
        <v>Valid</v>
      </c>
      <c r="I650" t="s">
        <v>86</v>
      </c>
      <c r="J650" t="str">
        <f>PROPER(TRIM(I650))</f>
        <v>Kano</v>
      </c>
      <c r="K650" t="s">
        <v>39</v>
      </c>
      <c r="L650" t="str">
        <f>PROPER(TRIM(K650))</f>
        <v>Electronics</v>
      </c>
      <c r="M650" t="s">
        <v>40</v>
      </c>
      <c r="N650" t="str">
        <f>PROPER(TRIM(M650))</f>
        <v>Phone</v>
      </c>
      <c r="O650">
        <v>394.92</v>
      </c>
      <c r="P650">
        <v>-2</v>
      </c>
      <c r="Q650">
        <f>IF(P650&lt;1, 1, P650)</f>
        <v>1</v>
      </c>
      <c r="R650">
        <v>10</v>
      </c>
      <c r="S650" t="str">
        <f>IF(OR(R650&lt;0,R650&gt;100),"invalid","Valid")</f>
        <v>Valid</v>
      </c>
      <c r="T650" t="s">
        <v>59</v>
      </c>
      <c r="U650" t="str">
        <f>PROPER(TRIM(T650))</f>
        <v>Mobile Money</v>
      </c>
      <c r="V650" t="s">
        <v>41</v>
      </c>
      <c r="W650" t="str">
        <f t="shared" si="20"/>
        <v>Chi</v>
      </c>
      <c r="X650" t="s">
        <v>26</v>
      </c>
      <c r="Y650">
        <v>2</v>
      </c>
      <c r="Z650" t="str">
        <f>IF(D650="", "Missing", "ok")</f>
        <v>ok</v>
      </c>
      <c r="AA650">
        <f t="shared" si="21"/>
        <v>355.428</v>
      </c>
    </row>
    <row r="651" spans="1:27" x14ac:dyDescent="0.25">
      <c r="A651" t="s">
        <v>1761</v>
      </c>
      <c r="B651" s="1" t="s">
        <v>1762</v>
      </c>
      <c r="C651" t="s">
        <v>1763</v>
      </c>
      <c r="D651" t="s">
        <v>101</v>
      </c>
      <c r="E651" t="str">
        <f>PROPER(TRIM(D651))</f>
        <v>Grace</v>
      </c>
      <c r="F651" t="s">
        <v>46</v>
      </c>
      <c r="G651">
        <v>8</v>
      </c>
      <c r="H651" t="str">
        <f>IF(AND(G651&gt;18, G651&lt;65), "Valid", "Invalid")</f>
        <v>Invalid</v>
      </c>
      <c r="I651" t="s">
        <v>38</v>
      </c>
      <c r="J651" t="str">
        <f>PROPER(TRIM(I651))</f>
        <v>Ph</v>
      </c>
      <c r="K651" t="s">
        <v>39</v>
      </c>
      <c r="L651" t="str">
        <f>PROPER(TRIM(K651))</f>
        <v>Electronics</v>
      </c>
      <c r="M651" t="s">
        <v>40</v>
      </c>
      <c r="N651" t="str">
        <f>PROPER(TRIM(M651))</f>
        <v>Phone</v>
      </c>
      <c r="O651">
        <v>125.08</v>
      </c>
      <c r="P651">
        <v>2</v>
      </c>
      <c r="Q651">
        <f>IF(P651&lt;1, 1, P651)</f>
        <v>2</v>
      </c>
      <c r="R651">
        <v>5</v>
      </c>
      <c r="S651" t="str">
        <f>IF(OR(R651&lt;0,R651&gt;100),"invalid","Valid")</f>
        <v>Valid</v>
      </c>
      <c r="T651" t="s">
        <v>59</v>
      </c>
      <c r="U651" t="str">
        <f>PROPER(TRIM(T651))</f>
        <v>Mobile Money</v>
      </c>
      <c r="V651" t="s">
        <v>91</v>
      </c>
      <c r="W651" t="str">
        <f t="shared" si="20"/>
        <v>Ben</v>
      </c>
      <c r="X651" t="s">
        <v>82</v>
      </c>
      <c r="Y651">
        <v>5</v>
      </c>
      <c r="Z651" t="str">
        <f>IF(D651="", "Missing", "ok")</f>
        <v>ok</v>
      </c>
      <c r="AA651">
        <f t="shared" si="21"/>
        <v>237.65199999999999</v>
      </c>
    </row>
    <row r="652" spans="1:27" x14ac:dyDescent="0.25">
      <c r="A652" t="s">
        <v>1764</v>
      </c>
      <c r="B652" s="1" t="s">
        <v>1765</v>
      </c>
      <c r="C652" t="s">
        <v>1766</v>
      </c>
      <c r="D652" t="s">
        <v>63</v>
      </c>
      <c r="E652" t="str">
        <f>PROPER(TRIM(D652))</f>
        <v>John</v>
      </c>
      <c r="F652" t="s">
        <v>46</v>
      </c>
      <c r="G652">
        <v>130</v>
      </c>
      <c r="H652" t="str">
        <f>IF(AND(G652&gt;18, G652&lt;65), "Valid", "Invalid")</f>
        <v>Invalid</v>
      </c>
      <c r="I652" t="s">
        <v>30</v>
      </c>
      <c r="J652" t="str">
        <f>PROPER(TRIM(I652))</f>
        <v>Lagos</v>
      </c>
      <c r="K652" t="s">
        <v>39</v>
      </c>
      <c r="L652" t="str">
        <f>PROPER(TRIM(K652))</f>
        <v>Electronics</v>
      </c>
      <c r="M652" t="s">
        <v>40</v>
      </c>
      <c r="N652" t="str">
        <f>PROPER(TRIM(M652))</f>
        <v>Phone</v>
      </c>
      <c r="O652">
        <v>189.1</v>
      </c>
      <c r="P652">
        <v>-2</v>
      </c>
      <c r="Q652">
        <f>IF(P652&lt;1, 1, P652)</f>
        <v>1</v>
      </c>
      <c r="R652">
        <v>120</v>
      </c>
      <c r="S652" t="str">
        <f>IF(OR(R652&lt;0,R652&gt;100),"invalid","Valid")</f>
        <v>invalid</v>
      </c>
      <c r="T652" t="s">
        <v>59</v>
      </c>
      <c r="U652" t="str">
        <f>PROPER(TRIM(T652))</f>
        <v>Mobile Money</v>
      </c>
      <c r="V652" t="s">
        <v>81</v>
      </c>
      <c r="W652" t="str">
        <f t="shared" si="20"/>
        <v>Ada</v>
      </c>
      <c r="X652" t="s">
        <v>26</v>
      </c>
      <c r="Y652">
        <v>2</v>
      </c>
      <c r="Z652" t="str">
        <f>IF(D652="", "Missing", "ok")</f>
        <v>ok</v>
      </c>
      <c r="AA652">
        <f t="shared" si="21"/>
        <v>-37.819999999999993</v>
      </c>
    </row>
    <row r="653" spans="1:27" x14ac:dyDescent="0.25">
      <c r="A653" t="s">
        <v>1767</v>
      </c>
      <c r="B653" s="1" t="s">
        <v>1768</v>
      </c>
      <c r="C653" t="s">
        <v>1769</v>
      </c>
      <c r="D653" t="s">
        <v>19</v>
      </c>
      <c r="E653" t="str">
        <f>PROPER(TRIM(D653))</f>
        <v>Peter</v>
      </c>
      <c r="F653" t="s">
        <v>46</v>
      </c>
      <c r="G653">
        <v>130</v>
      </c>
      <c r="H653" t="str">
        <f>IF(AND(G653&gt;18, G653&lt;65), "Valid", "Invalid")</f>
        <v>Invalid</v>
      </c>
      <c r="I653" t="s">
        <v>86</v>
      </c>
      <c r="J653" t="str">
        <f>PROPER(TRIM(I653))</f>
        <v>Kano</v>
      </c>
      <c r="K653" t="s">
        <v>31</v>
      </c>
      <c r="L653" t="str">
        <f>PROPER(TRIM(K653))</f>
        <v>Sports</v>
      </c>
      <c r="M653" t="s">
        <v>32</v>
      </c>
      <c r="N653" t="str">
        <f>PROPER(TRIM(M653))</f>
        <v>Ball</v>
      </c>
      <c r="O653">
        <v>237.14</v>
      </c>
      <c r="P653">
        <v>9</v>
      </c>
      <c r="Q653">
        <f>IF(P653&lt;1, 1, P653)</f>
        <v>9</v>
      </c>
      <c r="R653">
        <v>-10</v>
      </c>
      <c r="S653" t="str">
        <f>IF(OR(R653&lt;0,R653&gt;100),"invalid","Valid")</f>
        <v>invalid</v>
      </c>
      <c r="T653" t="s">
        <v>77</v>
      </c>
      <c r="U653" t="str">
        <f>PROPER(TRIM(T653))</f>
        <v>Cash</v>
      </c>
      <c r="V653" t="s">
        <v>25</v>
      </c>
      <c r="W653" t="str">
        <f t="shared" si="20"/>
        <v>Dan</v>
      </c>
      <c r="X653" t="s">
        <v>26</v>
      </c>
      <c r="Y653">
        <v>3</v>
      </c>
      <c r="Z653" t="str">
        <f>IF(D653="", "Missing", "ok")</f>
        <v>ok</v>
      </c>
      <c r="AA653">
        <f t="shared" si="21"/>
        <v>2347.6860000000001</v>
      </c>
    </row>
    <row r="654" spans="1:27" x14ac:dyDescent="0.25">
      <c r="A654" t="s">
        <v>1770</v>
      </c>
      <c r="B654" s="1" t="s">
        <v>1061</v>
      </c>
      <c r="C654" t="s">
        <v>1771</v>
      </c>
      <c r="E654" t="str">
        <f>PROPER(TRIM(D654))</f>
        <v/>
      </c>
      <c r="F654" t="s">
        <v>20</v>
      </c>
      <c r="G654">
        <v>130</v>
      </c>
      <c r="H654" t="str">
        <f>IF(AND(G654&gt;18, G654&lt;65), "Valid", "Invalid")</f>
        <v>Invalid</v>
      </c>
      <c r="I654" t="s">
        <v>53</v>
      </c>
      <c r="J654" t="str">
        <f>PROPER(TRIM(I654))</f>
        <v>Lagos</v>
      </c>
      <c r="K654" t="s">
        <v>39</v>
      </c>
      <c r="L654" t="str">
        <f>PROPER(TRIM(K654))</f>
        <v>Electronics</v>
      </c>
      <c r="M654" t="s">
        <v>40</v>
      </c>
      <c r="N654" t="str">
        <f>PROPER(TRIM(M654))</f>
        <v>Phone</v>
      </c>
      <c r="O654">
        <v>192.42</v>
      </c>
      <c r="P654">
        <v>-2</v>
      </c>
      <c r="Q654">
        <f>IF(P654&lt;1, 1, P654)</f>
        <v>1</v>
      </c>
      <c r="R654">
        <v>5</v>
      </c>
      <c r="S654" t="str">
        <f>IF(OR(R654&lt;0,R654&gt;100),"invalid","Valid")</f>
        <v>Valid</v>
      </c>
      <c r="T654" t="s">
        <v>64</v>
      </c>
      <c r="U654" t="str">
        <f>PROPER(TRIM(T654))</f>
        <v>Transfer</v>
      </c>
      <c r="V654" t="s">
        <v>41</v>
      </c>
      <c r="W654" t="str">
        <f t="shared" si="20"/>
        <v>Chi</v>
      </c>
      <c r="X654" t="s">
        <v>82</v>
      </c>
      <c r="Y654">
        <v>1</v>
      </c>
      <c r="Z654" t="str">
        <f>IF(D654="", "Missing", "ok")</f>
        <v>Missing</v>
      </c>
      <c r="AA654">
        <f t="shared" si="21"/>
        <v>182.79899999999998</v>
      </c>
    </row>
    <row r="655" spans="1:27" x14ac:dyDescent="0.25">
      <c r="A655" t="s">
        <v>1772</v>
      </c>
      <c r="B655" s="1" t="s">
        <v>1773</v>
      </c>
      <c r="C655" t="s">
        <v>1774</v>
      </c>
      <c r="D655" t="s">
        <v>19</v>
      </c>
      <c r="E655" t="str">
        <f>PROPER(TRIM(D655))</f>
        <v>Peter</v>
      </c>
      <c r="F655" t="s">
        <v>20</v>
      </c>
      <c r="G655">
        <v>130</v>
      </c>
      <c r="H655" t="str">
        <f>IF(AND(G655&gt;18, G655&lt;65), "Valid", "Invalid")</f>
        <v>Invalid</v>
      </c>
      <c r="I655" t="s">
        <v>86</v>
      </c>
      <c r="J655" t="str">
        <f>PROPER(TRIM(I655))</f>
        <v>Kano</v>
      </c>
      <c r="K655" t="s">
        <v>87</v>
      </c>
      <c r="L655" t="str">
        <f>PROPER(TRIM(K655))</f>
        <v>Groceris</v>
      </c>
      <c r="M655" t="s">
        <v>49</v>
      </c>
      <c r="N655" t="str">
        <f>PROPER(TRIM(M655))</f>
        <v>Rice</v>
      </c>
      <c r="O655">
        <v>296.12</v>
      </c>
      <c r="P655">
        <v>7</v>
      </c>
      <c r="Q655">
        <f>IF(P655&lt;1, 1, P655)</f>
        <v>7</v>
      </c>
      <c r="R655">
        <v>15</v>
      </c>
      <c r="S655" t="str">
        <f>IF(OR(R655&lt;0,R655&gt;100),"invalid","Valid")</f>
        <v>Valid</v>
      </c>
      <c r="U655" t="str">
        <f>PROPER(TRIM(T655))</f>
        <v/>
      </c>
      <c r="V655" t="s">
        <v>41</v>
      </c>
      <c r="W655" t="str">
        <f t="shared" si="20"/>
        <v>Chi</v>
      </c>
      <c r="X655" t="s">
        <v>82</v>
      </c>
      <c r="Y655">
        <v>1</v>
      </c>
      <c r="Z655" t="str">
        <f>IF(D655="", "Missing", "ok")</f>
        <v>ok</v>
      </c>
      <c r="AA655">
        <f t="shared" si="21"/>
        <v>1761.914</v>
      </c>
    </row>
    <row r="656" spans="1:27" x14ac:dyDescent="0.25">
      <c r="A656" t="s">
        <v>1775</v>
      </c>
      <c r="B656" s="1" t="s">
        <v>1776</v>
      </c>
      <c r="C656" t="s">
        <v>1777</v>
      </c>
      <c r="D656" t="s">
        <v>69</v>
      </c>
      <c r="E656" t="str">
        <f>PROPER(TRIM(D656))</f>
        <v>Mary</v>
      </c>
      <c r="F656" t="s">
        <v>20</v>
      </c>
      <c r="G656">
        <v>130</v>
      </c>
      <c r="H656" t="str">
        <f>IF(AND(G656&gt;18, G656&lt;65), "Valid", "Invalid")</f>
        <v>Invalid</v>
      </c>
      <c r="I656" t="s">
        <v>21</v>
      </c>
      <c r="J656" t="str">
        <f>PROPER(TRIM(I656))</f>
        <v>Lagos</v>
      </c>
      <c r="K656" t="s">
        <v>121</v>
      </c>
      <c r="L656" t="str">
        <f>PROPER(TRIM(K656))</f>
        <v>Beauty</v>
      </c>
      <c r="M656" t="s">
        <v>122</v>
      </c>
      <c r="N656" t="str">
        <f>PROPER(TRIM(M656))</f>
        <v>Cream</v>
      </c>
      <c r="O656">
        <v>273.82</v>
      </c>
      <c r="P656">
        <v>1</v>
      </c>
      <c r="Q656">
        <f>IF(P656&lt;1, 1, P656)</f>
        <v>1</v>
      </c>
      <c r="R656">
        <v>10</v>
      </c>
      <c r="S656" t="str">
        <f>IF(OR(R656&lt;0,R656&gt;100),"invalid","Valid")</f>
        <v>Valid</v>
      </c>
      <c r="T656" t="s">
        <v>24</v>
      </c>
      <c r="U656" t="str">
        <f>PROPER(TRIM(T656))</f>
        <v>Pos</v>
      </c>
      <c r="V656" t="s">
        <v>81</v>
      </c>
      <c r="W656" t="str">
        <f t="shared" si="20"/>
        <v>Ada</v>
      </c>
      <c r="X656" t="s">
        <v>26</v>
      </c>
      <c r="Y656">
        <v>5</v>
      </c>
      <c r="Z656" t="str">
        <f>IF(D656="", "Missing", "ok")</f>
        <v>ok</v>
      </c>
      <c r="AA656">
        <f t="shared" si="21"/>
        <v>246.43799999999999</v>
      </c>
    </row>
    <row r="657" spans="1:27" x14ac:dyDescent="0.25">
      <c r="A657" t="s">
        <v>1778</v>
      </c>
      <c r="B657" s="1" t="s">
        <v>1779</v>
      </c>
      <c r="C657" t="s">
        <v>1035</v>
      </c>
      <c r="D657" t="s">
        <v>37</v>
      </c>
      <c r="E657" t="str">
        <f>PROPER(TRIM(D657))</f>
        <v>Aisha</v>
      </c>
      <c r="F657" t="s">
        <v>20</v>
      </c>
      <c r="G657">
        <v>8</v>
      </c>
      <c r="H657" t="str">
        <f>IF(AND(G657&gt;18, G657&lt;65), "Valid", "Invalid")</f>
        <v>Invalid</v>
      </c>
      <c r="I657" t="s">
        <v>53</v>
      </c>
      <c r="J657" t="str">
        <f>PROPER(TRIM(I657))</f>
        <v>Lagos</v>
      </c>
      <c r="K657" t="s">
        <v>121</v>
      </c>
      <c r="L657" t="str">
        <f>PROPER(TRIM(K657))</f>
        <v>Beauty</v>
      </c>
      <c r="M657" t="s">
        <v>122</v>
      </c>
      <c r="N657" t="str">
        <f>PROPER(TRIM(M657))</f>
        <v>Cream</v>
      </c>
      <c r="O657">
        <v>169.03</v>
      </c>
      <c r="P657">
        <v>7</v>
      </c>
      <c r="Q657">
        <f>IF(P657&lt;1, 1, P657)</f>
        <v>7</v>
      </c>
      <c r="R657">
        <v>10</v>
      </c>
      <c r="S657" t="str">
        <f>IF(OR(R657&lt;0,R657&gt;100),"invalid","Valid")</f>
        <v>Valid</v>
      </c>
      <c r="T657" t="s">
        <v>24</v>
      </c>
      <c r="U657" t="str">
        <f>PROPER(TRIM(T657))</f>
        <v>Pos</v>
      </c>
      <c r="V657" t="s">
        <v>91</v>
      </c>
      <c r="W657" t="str">
        <f t="shared" si="20"/>
        <v>Ben</v>
      </c>
      <c r="X657" t="s">
        <v>26</v>
      </c>
      <c r="Y657">
        <v>1</v>
      </c>
      <c r="Z657" t="str">
        <f>IF(D657="", "Missing", "ok")</f>
        <v>ok</v>
      </c>
      <c r="AA657">
        <f t="shared" si="21"/>
        <v>1064.8890000000001</v>
      </c>
    </row>
    <row r="658" spans="1:27" x14ac:dyDescent="0.25">
      <c r="A658" t="s">
        <v>1780</v>
      </c>
      <c r="B658" s="1" t="s">
        <v>1398</v>
      </c>
      <c r="C658" t="s">
        <v>1781</v>
      </c>
      <c r="D658" t="s">
        <v>101</v>
      </c>
      <c r="E658" t="str">
        <f>PROPER(TRIM(D658))</f>
        <v>Grace</v>
      </c>
      <c r="F658" t="s">
        <v>46</v>
      </c>
      <c r="G658">
        <v>130</v>
      </c>
      <c r="H658" t="str">
        <f>IF(AND(G658&gt;18, G658&lt;65), "Valid", "Invalid")</f>
        <v>Invalid</v>
      </c>
      <c r="I658" t="s">
        <v>86</v>
      </c>
      <c r="J658" t="str">
        <f>PROPER(TRIM(I658))</f>
        <v>Kano</v>
      </c>
      <c r="K658" t="s">
        <v>31</v>
      </c>
      <c r="L658" t="str">
        <f>PROPER(TRIM(K658))</f>
        <v>Sports</v>
      </c>
      <c r="M658" t="s">
        <v>32</v>
      </c>
      <c r="N658" t="str">
        <f>PROPER(TRIM(M658))</f>
        <v>Ball</v>
      </c>
      <c r="O658">
        <v>106.03</v>
      </c>
      <c r="P658">
        <v>-2</v>
      </c>
      <c r="Q658">
        <f>IF(P658&lt;1, 1, P658)</f>
        <v>1</v>
      </c>
      <c r="R658">
        <v>-10</v>
      </c>
      <c r="S658" t="str">
        <f>IF(OR(R658&lt;0,R658&gt;100),"invalid","Valid")</f>
        <v>invalid</v>
      </c>
      <c r="T658" t="s">
        <v>77</v>
      </c>
      <c r="U658" t="str">
        <f>PROPER(TRIM(T658))</f>
        <v>Cash</v>
      </c>
      <c r="V658" t="s">
        <v>91</v>
      </c>
      <c r="W658" t="str">
        <f t="shared" si="20"/>
        <v>Ben</v>
      </c>
      <c r="X658" t="s">
        <v>65</v>
      </c>
      <c r="Y658">
        <v>2</v>
      </c>
      <c r="Z658" t="str">
        <f>IF(D658="", "Missing", "ok")</f>
        <v>ok</v>
      </c>
      <c r="AA658">
        <f t="shared" si="21"/>
        <v>116.63300000000001</v>
      </c>
    </row>
    <row r="659" spans="1:27" x14ac:dyDescent="0.25">
      <c r="A659" t="s">
        <v>1782</v>
      </c>
      <c r="B659" s="1" t="s">
        <v>1783</v>
      </c>
      <c r="C659" t="s">
        <v>1784</v>
      </c>
      <c r="D659" t="s">
        <v>101</v>
      </c>
      <c r="E659" t="str">
        <f>PROPER(TRIM(D659))</f>
        <v>Grace</v>
      </c>
      <c r="F659" t="s">
        <v>46</v>
      </c>
      <c r="G659">
        <v>130</v>
      </c>
      <c r="H659" t="str">
        <f>IF(AND(G659&gt;18, G659&lt;65), "Valid", "Invalid")</f>
        <v>Invalid</v>
      </c>
      <c r="I659" t="s">
        <v>86</v>
      </c>
      <c r="J659" t="str">
        <f>PROPER(TRIM(I659))</f>
        <v>Kano</v>
      </c>
      <c r="K659" t="s">
        <v>22</v>
      </c>
      <c r="L659" t="str">
        <f>PROPER(TRIM(K659))</f>
        <v>Fashion</v>
      </c>
      <c r="M659" t="s">
        <v>23</v>
      </c>
      <c r="N659" t="str">
        <f>PROPER(TRIM(M659))</f>
        <v>Shirt</v>
      </c>
      <c r="O659">
        <v>249.72</v>
      </c>
      <c r="P659">
        <v>-2</v>
      </c>
      <c r="Q659">
        <f>IF(P659&lt;1, 1, P659)</f>
        <v>1</v>
      </c>
      <c r="R659">
        <v>5</v>
      </c>
      <c r="S659" t="str">
        <f>IF(OR(R659&lt;0,R659&gt;100),"invalid","Valid")</f>
        <v>Valid</v>
      </c>
      <c r="U659" t="str">
        <f>PROPER(TRIM(T659))</f>
        <v/>
      </c>
      <c r="V659" t="s">
        <v>25</v>
      </c>
      <c r="W659" t="str">
        <f t="shared" si="20"/>
        <v>Dan</v>
      </c>
      <c r="X659" t="s">
        <v>65</v>
      </c>
      <c r="Y659">
        <v>3</v>
      </c>
      <c r="Z659" t="str">
        <f>IF(D659="", "Missing", "ok")</f>
        <v>ok</v>
      </c>
      <c r="AA659">
        <f t="shared" si="21"/>
        <v>237.23399999999998</v>
      </c>
    </row>
    <row r="660" spans="1:27" x14ac:dyDescent="0.25">
      <c r="A660" t="s">
        <v>1785</v>
      </c>
      <c r="B660" s="1" t="s">
        <v>1786</v>
      </c>
      <c r="C660" t="s">
        <v>1787</v>
      </c>
      <c r="D660" t="s">
        <v>45</v>
      </c>
      <c r="E660" t="str">
        <f>PROPER(TRIM(D660))</f>
        <v>James</v>
      </c>
      <c r="F660" t="s">
        <v>20</v>
      </c>
      <c r="G660">
        <v>8</v>
      </c>
      <c r="H660" t="str">
        <f>IF(AND(G660&gt;18, G660&lt;65), "Valid", "Invalid")</f>
        <v>Invalid</v>
      </c>
      <c r="I660" t="s">
        <v>47</v>
      </c>
      <c r="J660" t="str">
        <f>PROPER(TRIM(I660))</f>
        <v>Enugu</v>
      </c>
      <c r="K660" t="s">
        <v>121</v>
      </c>
      <c r="L660" t="str">
        <f>PROPER(TRIM(K660))</f>
        <v>Beauty</v>
      </c>
      <c r="M660" t="s">
        <v>122</v>
      </c>
      <c r="N660" t="str">
        <f>PROPER(TRIM(M660))</f>
        <v>Cream</v>
      </c>
      <c r="O660">
        <v>14.14</v>
      </c>
      <c r="P660">
        <v>1</v>
      </c>
      <c r="Q660">
        <f>IF(P660&lt;1, 1, P660)</f>
        <v>1</v>
      </c>
      <c r="R660">
        <v>10</v>
      </c>
      <c r="S660" t="str">
        <f>IF(OR(R660&lt;0,R660&gt;100),"invalid","Valid")</f>
        <v>Valid</v>
      </c>
      <c r="T660" t="s">
        <v>59</v>
      </c>
      <c r="U660" t="str">
        <f>PROPER(TRIM(T660))</f>
        <v>Mobile Money</v>
      </c>
      <c r="V660" t="s">
        <v>41</v>
      </c>
      <c r="W660" t="str">
        <f t="shared" si="20"/>
        <v>Chi</v>
      </c>
      <c r="X660" t="s">
        <v>65</v>
      </c>
      <c r="Y660">
        <v>3</v>
      </c>
      <c r="Z660" t="str">
        <f>IF(D660="", "Missing", "ok")</f>
        <v>ok</v>
      </c>
      <c r="AA660">
        <f t="shared" si="21"/>
        <v>12.726000000000001</v>
      </c>
    </row>
    <row r="661" spans="1:27" x14ac:dyDescent="0.25">
      <c r="A661" t="s">
        <v>1788</v>
      </c>
      <c r="B661" s="1" t="s">
        <v>1789</v>
      </c>
      <c r="C661" t="s">
        <v>1790</v>
      </c>
      <c r="D661" t="s">
        <v>19</v>
      </c>
      <c r="E661" t="str">
        <f>PROPER(TRIM(D661))</f>
        <v>Peter</v>
      </c>
      <c r="F661" t="s">
        <v>20</v>
      </c>
      <c r="G661">
        <v>8</v>
      </c>
      <c r="H661" t="str">
        <f>IF(AND(G661&gt;18, G661&lt;65), "Valid", "Invalid")</f>
        <v>Invalid</v>
      </c>
      <c r="I661" t="s">
        <v>21</v>
      </c>
      <c r="J661" t="str">
        <f>PROPER(TRIM(I661))</f>
        <v>Lagos</v>
      </c>
      <c r="K661" t="s">
        <v>22</v>
      </c>
      <c r="L661" t="str">
        <f>PROPER(TRIM(K661))</f>
        <v>Fashion</v>
      </c>
      <c r="M661" t="s">
        <v>23</v>
      </c>
      <c r="N661" t="str">
        <f>PROPER(TRIM(M661))</f>
        <v>Shirt</v>
      </c>
      <c r="O661">
        <v>62.98</v>
      </c>
      <c r="P661">
        <v>9</v>
      </c>
      <c r="Q661">
        <f>IF(P661&lt;1, 1, P661)</f>
        <v>9</v>
      </c>
      <c r="R661">
        <v>-10</v>
      </c>
      <c r="S661" t="str">
        <f>IF(OR(R661&lt;0,R661&gt;100),"invalid","Valid")</f>
        <v>invalid</v>
      </c>
      <c r="T661" t="s">
        <v>77</v>
      </c>
      <c r="U661" t="str">
        <f>PROPER(TRIM(T661))</f>
        <v>Cash</v>
      </c>
      <c r="V661" t="s">
        <v>25</v>
      </c>
      <c r="W661" t="str">
        <f t="shared" si="20"/>
        <v>Dan</v>
      </c>
      <c r="X661" t="s">
        <v>26</v>
      </c>
      <c r="Y661">
        <v>4</v>
      </c>
      <c r="Z661" t="str">
        <f>IF(D661="", "Missing", "ok")</f>
        <v>ok</v>
      </c>
      <c r="AA661">
        <f t="shared" si="21"/>
        <v>623.50199999999995</v>
      </c>
    </row>
    <row r="662" spans="1:27" x14ac:dyDescent="0.25">
      <c r="A662" t="s">
        <v>1791</v>
      </c>
      <c r="B662" s="1" t="s">
        <v>79</v>
      </c>
      <c r="C662" t="s">
        <v>1792</v>
      </c>
      <c r="D662" t="s">
        <v>69</v>
      </c>
      <c r="E662" t="str">
        <f>PROPER(TRIM(D662))</f>
        <v>Mary</v>
      </c>
      <c r="F662" t="s">
        <v>46</v>
      </c>
      <c r="G662">
        <v>130</v>
      </c>
      <c r="H662" t="str">
        <f>IF(AND(G662&gt;18, G662&lt;65), "Valid", "Invalid")</f>
        <v>Invalid</v>
      </c>
      <c r="I662" t="s">
        <v>70</v>
      </c>
      <c r="J662" t="str">
        <f>PROPER(TRIM(I662))</f>
        <v>Abuja</v>
      </c>
      <c r="K662" t="s">
        <v>22</v>
      </c>
      <c r="L662" t="str">
        <f>PROPER(TRIM(K662))</f>
        <v>Fashion</v>
      </c>
      <c r="M662" t="s">
        <v>23</v>
      </c>
      <c r="N662" t="str">
        <f>PROPER(TRIM(M662))</f>
        <v>Shirt</v>
      </c>
      <c r="O662">
        <v>349.17</v>
      </c>
      <c r="P662">
        <v>-2</v>
      </c>
      <c r="Q662">
        <f>IF(P662&lt;1, 1, P662)</f>
        <v>1</v>
      </c>
      <c r="R662">
        <v>15</v>
      </c>
      <c r="S662" t="str">
        <f>IF(OR(R662&lt;0,R662&gt;100),"invalid","Valid")</f>
        <v>Valid</v>
      </c>
      <c r="T662" t="s">
        <v>77</v>
      </c>
      <c r="U662" t="str">
        <f>PROPER(TRIM(T662))</f>
        <v>Cash</v>
      </c>
      <c r="V662" t="s">
        <v>41</v>
      </c>
      <c r="W662" t="str">
        <f t="shared" si="20"/>
        <v>Chi</v>
      </c>
      <c r="X662" t="s">
        <v>82</v>
      </c>
      <c r="Y662">
        <v>4</v>
      </c>
      <c r="Z662" t="str">
        <f>IF(D662="", "Missing", "ok")</f>
        <v>ok</v>
      </c>
      <c r="AA662">
        <f t="shared" si="21"/>
        <v>296.79450000000003</v>
      </c>
    </row>
    <row r="663" spans="1:27" x14ac:dyDescent="0.25">
      <c r="A663" t="s">
        <v>1793</v>
      </c>
      <c r="B663" s="1" t="s">
        <v>1794</v>
      </c>
      <c r="C663" t="s">
        <v>1795</v>
      </c>
      <c r="D663" t="s">
        <v>117</v>
      </c>
      <c r="E663" t="str">
        <f>PROPER(TRIM(D663))</f>
        <v>David</v>
      </c>
      <c r="F663" t="s">
        <v>46</v>
      </c>
      <c r="G663">
        <v>8</v>
      </c>
      <c r="H663" t="str">
        <f>IF(AND(G663&gt;18, G663&lt;65), "Valid", "Invalid")</f>
        <v>Invalid</v>
      </c>
      <c r="I663" t="s">
        <v>30</v>
      </c>
      <c r="J663" t="str">
        <f>PROPER(TRIM(I663))</f>
        <v>Lagos</v>
      </c>
      <c r="K663" t="s">
        <v>48</v>
      </c>
      <c r="L663" t="str">
        <f>PROPER(TRIM(K663))</f>
        <v>Groceries</v>
      </c>
      <c r="M663" t="s">
        <v>49</v>
      </c>
      <c r="N663" t="str">
        <f>PROPER(TRIM(M663))</f>
        <v>Rice</v>
      </c>
      <c r="O663">
        <v>102.7</v>
      </c>
      <c r="P663">
        <v>2</v>
      </c>
      <c r="Q663">
        <f>IF(P663&lt;1, 1, P663)</f>
        <v>2</v>
      </c>
      <c r="R663">
        <v>-10</v>
      </c>
      <c r="S663" t="str">
        <f>IF(OR(R663&lt;0,R663&gt;100),"invalid","Valid")</f>
        <v>invalid</v>
      </c>
      <c r="U663" t="str">
        <f>PROPER(TRIM(T663))</f>
        <v/>
      </c>
      <c r="V663" t="s">
        <v>91</v>
      </c>
      <c r="W663" t="str">
        <f t="shared" si="20"/>
        <v>Ben</v>
      </c>
      <c r="X663" t="s">
        <v>26</v>
      </c>
      <c r="Y663">
        <v>5</v>
      </c>
      <c r="Z663" t="str">
        <f>IF(D663="", "Missing", "ok")</f>
        <v>ok</v>
      </c>
      <c r="AA663">
        <f t="shared" si="21"/>
        <v>225.94000000000003</v>
      </c>
    </row>
    <row r="664" spans="1:27" x14ac:dyDescent="0.25">
      <c r="A664" t="s">
        <v>1796</v>
      </c>
      <c r="B664" s="1" t="s">
        <v>1315</v>
      </c>
      <c r="C664" t="s">
        <v>1797</v>
      </c>
      <c r="E664" t="str">
        <f>PROPER(TRIM(D664))</f>
        <v/>
      </c>
      <c r="F664" t="s">
        <v>20</v>
      </c>
      <c r="G664">
        <v>39</v>
      </c>
      <c r="H664" t="str">
        <f>IF(AND(G664&gt;18, G664&lt;65), "Valid", "Invalid")</f>
        <v>Valid</v>
      </c>
      <c r="I664" t="s">
        <v>47</v>
      </c>
      <c r="J664" t="str">
        <f>PROPER(TRIM(I664))</f>
        <v>Enugu</v>
      </c>
      <c r="K664" t="s">
        <v>22</v>
      </c>
      <c r="L664" t="str">
        <f>PROPER(TRIM(K664))</f>
        <v>Fashion</v>
      </c>
      <c r="M664" t="s">
        <v>23</v>
      </c>
      <c r="N664" t="str">
        <f>PROPER(TRIM(M664))</f>
        <v>Shirt</v>
      </c>
      <c r="O664">
        <v>310.35000000000002</v>
      </c>
      <c r="P664">
        <v>6</v>
      </c>
      <c r="Q664">
        <f>IF(P664&lt;1, 1, P664)</f>
        <v>6</v>
      </c>
      <c r="R664">
        <v>15</v>
      </c>
      <c r="S664" t="str">
        <f>IF(OR(R664&lt;0,R664&gt;100),"invalid","Valid")</f>
        <v>Valid</v>
      </c>
      <c r="T664" t="s">
        <v>64</v>
      </c>
      <c r="U664" t="str">
        <f>PROPER(TRIM(T664))</f>
        <v>Transfer</v>
      </c>
      <c r="V664" t="s">
        <v>81</v>
      </c>
      <c r="W664" t="str">
        <f t="shared" si="20"/>
        <v>Ada</v>
      </c>
      <c r="X664" t="s">
        <v>65</v>
      </c>
      <c r="Y664">
        <v>4</v>
      </c>
      <c r="Z664" t="str">
        <f>IF(D664="", "Missing", "ok")</f>
        <v>Missing</v>
      </c>
      <c r="AA664">
        <f t="shared" si="21"/>
        <v>1582.7850000000001</v>
      </c>
    </row>
    <row r="665" spans="1:27" x14ac:dyDescent="0.25">
      <c r="A665" t="s">
        <v>1798</v>
      </c>
      <c r="B665" s="1" t="s">
        <v>1722</v>
      </c>
      <c r="C665" t="s">
        <v>1799</v>
      </c>
      <c r="D665" t="s">
        <v>19</v>
      </c>
      <c r="E665" t="str">
        <f>PROPER(TRIM(D665))</f>
        <v>Peter</v>
      </c>
      <c r="F665" t="s">
        <v>46</v>
      </c>
      <c r="G665">
        <v>8</v>
      </c>
      <c r="H665" t="str">
        <f>IF(AND(G665&gt;18, G665&lt;65), "Valid", "Invalid")</f>
        <v>Invalid</v>
      </c>
      <c r="I665" t="s">
        <v>30</v>
      </c>
      <c r="J665" t="str">
        <f>PROPER(TRIM(I665))</f>
        <v>Lagos</v>
      </c>
      <c r="K665" t="s">
        <v>39</v>
      </c>
      <c r="L665" t="str">
        <f>PROPER(TRIM(K665))</f>
        <v>Electronics</v>
      </c>
      <c r="M665" t="s">
        <v>40</v>
      </c>
      <c r="N665" t="str">
        <f>PROPER(TRIM(M665))</f>
        <v>Phone</v>
      </c>
      <c r="O665">
        <v>418.39</v>
      </c>
      <c r="P665">
        <v>1</v>
      </c>
      <c r="Q665">
        <f>IF(P665&lt;1, 1, P665)</f>
        <v>1</v>
      </c>
      <c r="R665">
        <v>15</v>
      </c>
      <c r="S665" t="str">
        <f>IF(OR(R665&lt;0,R665&gt;100),"invalid","Valid")</f>
        <v>Valid</v>
      </c>
      <c r="T665" t="s">
        <v>24</v>
      </c>
      <c r="U665" t="str">
        <f>PROPER(TRIM(T665))</f>
        <v>Pos</v>
      </c>
      <c r="V665" t="s">
        <v>41</v>
      </c>
      <c r="W665" t="str">
        <f t="shared" si="20"/>
        <v>Chi</v>
      </c>
      <c r="X665" t="s">
        <v>26</v>
      </c>
      <c r="Y665">
        <v>1</v>
      </c>
      <c r="Z665" t="str">
        <f>IF(D665="", "Missing", "ok")</f>
        <v>ok</v>
      </c>
      <c r="AA665">
        <f t="shared" si="21"/>
        <v>355.63149999999996</v>
      </c>
    </row>
    <row r="666" spans="1:27" x14ac:dyDescent="0.25">
      <c r="A666" t="s">
        <v>1800</v>
      </c>
      <c r="B666" s="1" t="s">
        <v>1801</v>
      </c>
      <c r="C666" t="s">
        <v>1802</v>
      </c>
      <c r="D666" t="s">
        <v>63</v>
      </c>
      <c r="E666" t="str">
        <f>PROPER(TRIM(D666))</f>
        <v>John</v>
      </c>
      <c r="F666" t="s">
        <v>46</v>
      </c>
      <c r="G666">
        <v>130</v>
      </c>
      <c r="H666" t="str">
        <f>IF(AND(G666&gt;18, G666&lt;65), "Valid", "Invalid")</f>
        <v>Invalid</v>
      </c>
      <c r="I666" t="s">
        <v>47</v>
      </c>
      <c r="J666" t="str">
        <f>PROPER(TRIM(I666))</f>
        <v>Enugu</v>
      </c>
      <c r="K666" t="s">
        <v>54</v>
      </c>
      <c r="L666" t="str">
        <f>PROPER(TRIM(K666))</f>
        <v>Home</v>
      </c>
      <c r="M666" t="s">
        <v>55</v>
      </c>
      <c r="N666" t="str">
        <f>PROPER(TRIM(M666))</f>
        <v>Chair</v>
      </c>
      <c r="O666">
        <v>11.63</v>
      </c>
      <c r="P666">
        <v>4</v>
      </c>
      <c r="Q666">
        <f>IF(P666&lt;1, 1, P666)</f>
        <v>4</v>
      </c>
      <c r="R666">
        <v>15</v>
      </c>
      <c r="S666" t="str">
        <f>IF(OR(R666&lt;0,R666&gt;100),"invalid","Valid")</f>
        <v>Valid</v>
      </c>
      <c r="T666" t="s">
        <v>64</v>
      </c>
      <c r="U666" t="str">
        <f>PROPER(TRIM(T666))</f>
        <v>Transfer</v>
      </c>
      <c r="V666" t="s">
        <v>81</v>
      </c>
      <c r="W666" t="str">
        <f t="shared" si="20"/>
        <v>Ada</v>
      </c>
      <c r="X666" t="s">
        <v>26</v>
      </c>
      <c r="Y666">
        <v>5</v>
      </c>
      <c r="Z666" t="str">
        <f>IF(D666="", "Missing", "ok")</f>
        <v>ok</v>
      </c>
      <c r="AA666">
        <f t="shared" si="21"/>
        <v>39.542000000000002</v>
      </c>
    </row>
    <row r="667" spans="1:27" x14ac:dyDescent="0.25">
      <c r="A667" t="s">
        <v>1803</v>
      </c>
      <c r="B667" s="1" t="s">
        <v>1699</v>
      </c>
      <c r="C667" t="s">
        <v>1804</v>
      </c>
      <c r="E667" t="str">
        <f>PROPER(TRIM(D667))</f>
        <v/>
      </c>
      <c r="F667" t="s">
        <v>20</v>
      </c>
      <c r="G667">
        <v>8</v>
      </c>
      <c r="H667" t="str">
        <f>IF(AND(G667&gt;18, G667&lt;65), "Valid", "Invalid")</f>
        <v>Invalid</v>
      </c>
      <c r="I667" t="s">
        <v>70</v>
      </c>
      <c r="J667" t="str">
        <f>PROPER(TRIM(I667))</f>
        <v>Abuja</v>
      </c>
      <c r="K667" t="s">
        <v>48</v>
      </c>
      <c r="L667" t="str">
        <f>PROPER(TRIM(K667))</f>
        <v>Groceries</v>
      </c>
      <c r="M667" t="s">
        <v>49</v>
      </c>
      <c r="N667" t="str">
        <f>PROPER(TRIM(M667))</f>
        <v>Rice</v>
      </c>
      <c r="O667">
        <v>342.24</v>
      </c>
      <c r="P667">
        <v>8</v>
      </c>
      <c r="Q667">
        <f>IF(P667&lt;1, 1, P667)</f>
        <v>8</v>
      </c>
      <c r="R667">
        <v>15</v>
      </c>
      <c r="S667" t="str">
        <f>IF(OR(R667&lt;0,R667&gt;100),"invalid","Valid")</f>
        <v>Valid</v>
      </c>
      <c r="U667" t="str">
        <f>PROPER(TRIM(T667))</f>
        <v/>
      </c>
      <c r="V667" t="s">
        <v>81</v>
      </c>
      <c r="W667" t="str">
        <f t="shared" si="20"/>
        <v>Ada</v>
      </c>
      <c r="X667" t="s">
        <v>26</v>
      </c>
      <c r="Y667">
        <v>4</v>
      </c>
      <c r="Z667" t="str">
        <f>IF(D667="", "Missing", "ok")</f>
        <v>Missing</v>
      </c>
      <c r="AA667">
        <f t="shared" si="21"/>
        <v>2327.232</v>
      </c>
    </row>
    <row r="668" spans="1:27" x14ac:dyDescent="0.25">
      <c r="A668" t="s">
        <v>1805</v>
      </c>
      <c r="B668" s="1" t="s">
        <v>1806</v>
      </c>
      <c r="C668" t="s">
        <v>1807</v>
      </c>
      <c r="D668" t="s">
        <v>37</v>
      </c>
      <c r="E668" t="str">
        <f>PROPER(TRIM(D668))</f>
        <v>Aisha</v>
      </c>
      <c r="F668" t="s">
        <v>46</v>
      </c>
      <c r="G668">
        <v>130</v>
      </c>
      <c r="H668" t="str">
        <f>IF(AND(G668&gt;18, G668&lt;65), "Valid", "Invalid")</f>
        <v>Invalid</v>
      </c>
      <c r="I668" t="s">
        <v>47</v>
      </c>
      <c r="J668" t="str">
        <f>PROPER(TRIM(I668))</f>
        <v>Enugu</v>
      </c>
      <c r="K668" t="s">
        <v>54</v>
      </c>
      <c r="L668" t="str">
        <f>PROPER(TRIM(K668))</f>
        <v>Home</v>
      </c>
      <c r="M668" t="s">
        <v>55</v>
      </c>
      <c r="N668" t="str">
        <f>PROPER(TRIM(M668))</f>
        <v>Chair</v>
      </c>
      <c r="O668">
        <v>395.79</v>
      </c>
      <c r="P668">
        <v>9</v>
      </c>
      <c r="Q668">
        <f>IF(P668&lt;1, 1, P668)</f>
        <v>9</v>
      </c>
      <c r="R668">
        <v>10</v>
      </c>
      <c r="S668" t="str">
        <f>IF(OR(R668&lt;0,R668&gt;100),"invalid","Valid")</f>
        <v>Valid</v>
      </c>
      <c r="U668" t="str">
        <f>PROPER(TRIM(T668))</f>
        <v/>
      </c>
      <c r="V668" t="s">
        <v>41</v>
      </c>
      <c r="W668" t="str">
        <f t="shared" si="20"/>
        <v>Chi</v>
      </c>
      <c r="X668" t="s">
        <v>26</v>
      </c>
      <c r="Y668">
        <v>1</v>
      </c>
      <c r="Z668" t="str">
        <f>IF(D668="", "Missing", "ok")</f>
        <v>ok</v>
      </c>
      <c r="AA668">
        <f t="shared" si="21"/>
        <v>3205.8990000000003</v>
      </c>
    </row>
    <row r="669" spans="1:27" x14ac:dyDescent="0.25">
      <c r="A669" t="s">
        <v>1808</v>
      </c>
      <c r="B669" s="1" t="s">
        <v>375</v>
      </c>
      <c r="C669" t="s">
        <v>1809</v>
      </c>
      <c r="D669" t="s">
        <v>45</v>
      </c>
      <c r="E669" t="str">
        <f>PROPER(TRIM(D669))</f>
        <v>James</v>
      </c>
      <c r="F669" t="s">
        <v>46</v>
      </c>
      <c r="G669">
        <v>130</v>
      </c>
      <c r="H669" t="str">
        <f>IF(AND(G669&gt;18, G669&lt;65), "Valid", "Invalid")</f>
        <v>Invalid</v>
      </c>
      <c r="I669" t="s">
        <v>30</v>
      </c>
      <c r="J669" t="str">
        <f>PROPER(TRIM(I669))</f>
        <v>Lagos</v>
      </c>
      <c r="K669" t="s">
        <v>121</v>
      </c>
      <c r="L669" t="str">
        <f>PROPER(TRIM(K669))</f>
        <v>Beauty</v>
      </c>
      <c r="M669" t="s">
        <v>122</v>
      </c>
      <c r="N669" t="str">
        <f>PROPER(TRIM(M669))</f>
        <v>Cream</v>
      </c>
      <c r="O669">
        <v>362.15</v>
      </c>
      <c r="P669">
        <v>1</v>
      </c>
      <c r="Q669">
        <f>IF(P669&lt;1, 1, P669)</f>
        <v>1</v>
      </c>
      <c r="R669">
        <v>0</v>
      </c>
      <c r="S669" t="str">
        <f>IF(OR(R669&lt;0,R669&gt;100),"invalid","Valid")</f>
        <v>Valid</v>
      </c>
      <c r="T669" t="s">
        <v>64</v>
      </c>
      <c r="U669" t="str">
        <f>PROPER(TRIM(T669))</f>
        <v>Transfer</v>
      </c>
      <c r="V669" t="s">
        <v>25</v>
      </c>
      <c r="W669" t="str">
        <f t="shared" si="20"/>
        <v>Dan</v>
      </c>
      <c r="X669" t="s">
        <v>65</v>
      </c>
      <c r="Y669">
        <v>5</v>
      </c>
      <c r="Z669" t="str">
        <f>IF(D669="", "Missing", "ok")</f>
        <v>ok</v>
      </c>
      <c r="AA669">
        <f t="shared" si="21"/>
        <v>362.15</v>
      </c>
    </row>
    <row r="670" spans="1:27" x14ac:dyDescent="0.25">
      <c r="A670" t="s">
        <v>1810</v>
      </c>
      <c r="B670" s="1" t="s">
        <v>217</v>
      </c>
      <c r="C670" t="s">
        <v>1811</v>
      </c>
      <c r="D670" t="s">
        <v>69</v>
      </c>
      <c r="E670" t="str">
        <f>PROPER(TRIM(D670))</f>
        <v>Mary</v>
      </c>
      <c r="F670" t="s">
        <v>46</v>
      </c>
      <c r="G670">
        <v>18</v>
      </c>
      <c r="H670" t="str">
        <f>IF(AND(G670&gt;18, G670&lt;65), "Valid", "Invalid")</f>
        <v>Invalid</v>
      </c>
      <c r="I670" t="s">
        <v>86</v>
      </c>
      <c r="J670" t="str">
        <f>PROPER(TRIM(I670))</f>
        <v>Kano</v>
      </c>
      <c r="K670" t="s">
        <v>39</v>
      </c>
      <c r="L670" t="str">
        <f>PROPER(TRIM(K670))</f>
        <v>Electronics</v>
      </c>
      <c r="M670" t="s">
        <v>40</v>
      </c>
      <c r="N670" t="str">
        <f>PROPER(TRIM(M670))</f>
        <v>Phone</v>
      </c>
      <c r="O670">
        <v>306.87</v>
      </c>
      <c r="P670">
        <v>2</v>
      </c>
      <c r="Q670">
        <f>IF(P670&lt;1, 1, P670)</f>
        <v>2</v>
      </c>
      <c r="R670">
        <v>5</v>
      </c>
      <c r="S670" t="str">
        <f>IF(OR(R670&lt;0,R670&gt;100),"invalid","Valid")</f>
        <v>Valid</v>
      </c>
      <c r="T670" t="s">
        <v>24</v>
      </c>
      <c r="U670" t="str">
        <f>PROPER(TRIM(T670))</f>
        <v>Pos</v>
      </c>
      <c r="V670" t="s">
        <v>25</v>
      </c>
      <c r="W670" t="str">
        <f t="shared" si="20"/>
        <v>Dan</v>
      </c>
      <c r="X670" t="s">
        <v>82</v>
      </c>
      <c r="Y670">
        <v>5</v>
      </c>
      <c r="Z670" t="str">
        <f>IF(D670="", "Missing", "ok")</f>
        <v>ok</v>
      </c>
      <c r="AA670">
        <f t="shared" si="21"/>
        <v>583.053</v>
      </c>
    </row>
    <row r="671" spans="1:27" x14ac:dyDescent="0.25">
      <c r="A671" t="s">
        <v>1812</v>
      </c>
      <c r="B671" s="1" t="s">
        <v>1813</v>
      </c>
      <c r="C671" t="s">
        <v>1814</v>
      </c>
      <c r="E671" t="str">
        <f>PROPER(TRIM(D671))</f>
        <v/>
      </c>
      <c r="F671" t="s">
        <v>46</v>
      </c>
      <c r="G671">
        <v>130</v>
      </c>
      <c r="H671" t="str">
        <f>IF(AND(G671&gt;18, G671&lt;65), "Valid", "Invalid")</f>
        <v>Invalid</v>
      </c>
      <c r="I671" t="s">
        <v>53</v>
      </c>
      <c r="J671" t="str">
        <f>PROPER(TRIM(I671))</f>
        <v>Lagos</v>
      </c>
      <c r="K671" t="s">
        <v>121</v>
      </c>
      <c r="L671" t="str">
        <f>PROPER(TRIM(K671))</f>
        <v>Beauty</v>
      </c>
      <c r="M671" t="s">
        <v>122</v>
      </c>
      <c r="N671" t="str">
        <f>PROPER(TRIM(M671))</f>
        <v>Cream</v>
      </c>
      <c r="O671">
        <v>53.77</v>
      </c>
      <c r="P671">
        <v>1</v>
      </c>
      <c r="Q671">
        <f>IF(P671&lt;1, 1, P671)</f>
        <v>1</v>
      </c>
      <c r="R671">
        <v>-10</v>
      </c>
      <c r="S671" t="str">
        <f>IF(OR(R671&lt;0,R671&gt;100),"invalid","Valid")</f>
        <v>invalid</v>
      </c>
      <c r="U671" t="str">
        <f>PROPER(TRIM(T671))</f>
        <v/>
      </c>
      <c r="V671" t="s">
        <v>41</v>
      </c>
      <c r="W671" t="str">
        <f t="shared" si="20"/>
        <v>Chi</v>
      </c>
      <c r="X671" t="s">
        <v>33</v>
      </c>
      <c r="Y671">
        <v>5</v>
      </c>
      <c r="Z671" t="str">
        <f>IF(D671="", "Missing", "ok")</f>
        <v>Missing</v>
      </c>
      <c r="AA671">
        <f t="shared" si="21"/>
        <v>59.147000000000006</v>
      </c>
    </row>
    <row r="672" spans="1:27" x14ac:dyDescent="0.25">
      <c r="A672" t="s">
        <v>1815</v>
      </c>
      <c r="B672" s="1" t="s">
        <v>659</v>
      </c>
      <c r="C672" t="s">
        <v>1816</v>
      </c>
      <c r="D672" t="s">
        <v>101</v>
      </c>
      <c r="E672" t="str">
        <f>PROPER(TRIM(D672))</f>
        <v>Grace</v>
      </c>
      <c r="F672" t="s">
        <v>20</v>
      </c>
      <c r="G672">
        <v>8</v>
      </c>
      <c r="H672" t="str">
        <f>IF(AND(G672&gt;18, G672&lt;65), "Valid", "Invalid")</f>
        <v>Invalid</v>
      </c>
      <c r="I672" t="s">
        <v>30</v>
      </c>
      <c r="J672" t="str">
        <f>PROPER(TRIM(I672))</f>
        <v>Lagos</v>
      </c>
      <c r="K672" t="s">
        <v>48</v>
      </c>
      <c r="L672" t="str">
        <f>PROPER(TRIM(K672))</f>
        <v>Groceries</v>
      </c>
      <c r="M672" t="s">
        <v>49</v>
      </c>
      <c r="N672" t="str">
        <f>PROPER(TRIM(M672))</f>
        <v>Rice</v>
      </c>
      <c r="O672">
        <v>484.94</v>
      </c>
      <c r="P672">
        <v>-2</v>
      </c>
      <c r="Q672">
        <f>IF(P672&lt;1, 1, P672)</f>
        <v>1</v>
      </c>
      <c r="R672">
        <v>120</v>
      </c>
      <c r="S672" t="str">
        <f>IF(OR(R672&lt;0,R672&gt;100),"invalid","Valid")</f>
        <v>invalid</v>
      </c>
      <c r="T672" t="s">
        <v>77</v>
      </c>
      <c r="U672" t="str">
        <f>PROPER(TRIM(T672))</f>
        <v>Cash</v>
      </c>
      <c r="V672" t="s">
        <v>81</v>
      </c>
      <c r="W672" t="str">
        <f t="shared" si="20"/>
        <v>Ada</v>
      </c>
      <c r="X672" t="s">
        <v>82</v>
      </c>
      <c r="Y672">
        <v>2</v>
      </c>
      <c r="Z672" t="str">
        <f>IF(D672="", "Missing", "ok")</f>
        <v>ok</v>
      </c>
      <c r="AA672">
        <f t="shared" si="21"/>
        <v>-96.987999999999971</v>
      </c>
    </row>
    <row r="673" spans="1:27" x14ac:dyDescent="0.25">
      <c r="A673" t="s">
        <v>1817</v>
      </c>
      <c r="B673" s="1" t="s">
        <v>1762</v>
      </c>
      <c r="C673" t="s">
        <v>1818</v>
      </c>
      <c r="D673" t="s">
        <v>19</v>
      </c>
      <c r="E673" t="str">
        <f>PROPER(TRIM(D673))</f>
        <v>Peter</v>
      </c>
      <c r="F673" t="s">
        <v>46</v>
      </c>
      <c r="G673">
        <v>32</v>
      </c>
      <c r="H673" t="str">
        <f>IF(AND(G673&gt;18, G673&lt;65), "Valid", "Invalid")</f>
        <v>Valid</v>
      </c>
      <c r="I673" t="s">
        <v>38</v>
      </c>
      <c r="J673" t="str">
        <f>PROPER(TRIM(I673))</f>
        <v>Ph</v>
      </c>
      <c r="K673" t="s">
        <v>121</v>
      </c>
      <c r="L673" t="str">
        <f>PROPER(TRIM(K673))</f>
        <v>Beauty</v>
      </c>
      <c r="M673" t="s">
        <v>122</v>
      </c>
      <c r="N673" t="str">
        <f>PROPER(TRIM(M673))</f>
        <v>Cream</v>
      </c>
      <c r="O673">
        <v>106.31</v>
      </c>
      <c r="P673">
        <v>3</v>
      </c>
      <c r="Q673">
        <f>IF(P673&lt;1, 1, P673)</f>
        <v>3</v>
      </c>
      <c r="R673">
        <v>0</v>
      </c>
      <c r="S673" t="str">
        <f>IF(OR(R673&lt;0,R673&gt;100),"invalid","Valid")</f>
        <v>Valid</v>
      </c>
      <c r="T673" t="s">
        <v>64</v>
      </c>
      <c r="U673" t="str">
        <f>PROPER(TRIM(T673))</f>
        <v>Transfer</v>
      </c>
      <c r="V673" t="s">
        <v>81</v>
      </c>
      <c r="W673" t="str">
        <f t="shared" si="20"/>
        <v>Ada</v>
      </c>
      <c r="X673" t="s">
        <v>82</v>
      </c>
      <c r="Z673" t="str">
        <f>IF(D673="", "Missing", "ok")</f>
        <v>ok</v>
      </c>
      <c r="AA673">
        <f t="shared" si="21"/>
        <v>318.93</v>
      </c>
    </row>
    <row r="674" spans="1:27" x14ac:dyDescent="0.25">
      <c r="A674" t="s">
        <v>1819</v>
      </c>
      <c r="B674" s="1" t="s">
        <v>1820</v>
      </c>
      <c r="C674" t="s">
        <v>1821</v>
      </c>
      <c r="D674" t="s">
        <v>63</v>
      </c>
      <c r="E674" t="str">
        <f>PROPER(TRIM(D674))</f>
        <v>John</v>
      </c>
      <c r="F674" t="s">
        <v>46</v>
      </c>
      <c r="G674">
        <v>55</v>
      </c>
      <c r="H674" t="str">
        <f>IF(AND(G674&gt;18, G674&lt;65), "Valid", "Invalid")</f>
        <v>Valid</v>
      </c>
      <c r="I674" t="s">
        <v>38</v>
      </c>
      <c r="J674" t="str">
        <f>PROPER(TRIM(I674))</f>
        <v>Ph</v>
      </c>
      <c r="K674" t="s">
        <v>39</v>
      </c>
      <c r="L674" t="str">
        <f>PROPER(TRIM(K674))</f>
        <v>Electronics</v>
      </c>
      <c r="M674" t="s">
        <v>40</v>
      </c>
      <c r="N674" t="str">
        <f>PROPER(TRIM(M674))</f>
        <v>Phone</v>
      </c>
      <c r="O674">
        <v>36.950000000000003</v>
      </c>
      <c r="P674">
        <v>-2</v>
      </c>
      <c r="Q674">
        <f>IF(P674&lt;1, 1, P674)</f>
        <v>1</v>
      </c>
      <c r="R674">
        <v>5</v>
      </c>
      <c r="S674" t="str">
        <f>IF(OR(R674&lt;0,R674&gt;100),"invalid","Valid")</f>
        <v>Valid</v>
      </c>
      <c r="U674" t="str">
        <f>PROPER(TRIM(T674))</f>
        <v/>
      </c>
      <c r="V674" t="s">
        <v>91</v>
      </c>
      <c r="W674" t="str">
        <f t="shared" si="20"/>
        <v>Ben</v>
      </c>
      <c r="X674" t="s">
        <v>82</v>
      </c>
      <c r="Y674">
        <v>2</v>
      </c>
      <c r="Z674" t="str">
        <f>IF(D674="", "Missing", "ok")</f>
        <v>ok</v>
      </c>
      <c r="AA674">
        <f t="shared" si="21"/>
        <v>35.102499999999999</v>
      </c>
    </row>
    <row r="675" spans="1:27" x14ac:dyDescent="0.25">
      <c r="A675" t="s">
        <v>1822</v>
      </c>
      <c r="B675" s="1" t="s">
        <v>527</v>
      </c>
      <c r="C675" t="s">
        <v>1823</v>
      </c>
      <c r="E675" t="str">
        <f>PROPER(TRIM(D675))</f>
        <v/>
      </c>
      <c r="F675" t="s">
        <v>46</v>
      </c>
      <c r="G675">
        <v>130</v>
      </c>
      <c r="H675" t="str">
        <f>IF(AND(G675&gt;18, G675&lt;65), "Valid", "Invalid")</f>
        <v>Invalid</v>
      </c>
      <c r="I675" t="s">
        <v>53</v>
      </c>
      <c r="J675" t="str">
        <f>PROPER(TRIM(I675))</f>
        <v>Lagos</v>
      </c>
      <c r="K675" t="s">
        <v>39</v>
      </c>
      <c r="L675" t="str">
        <f>PROPER(TRIM(K675))</f>
        <v>Electronics</v>
      </c>
      <c r="M675" t="s">
        <v>40</v>
      </c>
      <c r="N675" t="str">
        <f>PROPER(TRIM(M675))</f>
        <v>Phone</v>
      </c>
      <c r="O675">
        <v>438.47</v>
      </c>
      <c r="P675">
        <v>-2</v>
      </c>
      <c r="Q675">
        <f>IF(P675&lt;1, 1, P675)</f>
        <v>1</v>
      </c>
      <c r="R675">
        <v>15</v>
      </c>
      <c r="S675" t="str">
        <f>IF(OR(R675&lt;0,R675&gt;100),"invalid","Valid")</f>
        <v>Valid</v>
      </c>
      <c r="T675" t="s">
        <v>24</v>
      </c>
      <c r="U675" t="str">
        <f>PROPER(TRIM(T675))</f>
        <v>Pos</v>
      </c>
      <c r="V675" t="s">
        <v>41</v>
      </c>
      <c r="W675" t="str">
        <f t="shared" si="20"/>
        <v>Chi</v>
      </c>
      <c r="X675" t="s">
        <v>26</v>
      </c>
      <c r="Y675">
        <v>5</v>
      </c>
      <c r="Z675" t="str">
        <f>IF(D675="", "Missing", "ok")</f>
        <v>Missing</v>
      </c>
      <c r="AA675">
        <f t="shared" si="21"/>
        <v>372.6995</v>
      </c>
    </row>
    <row r="676" spans="1:27" x14ac:dyDescent="0.25">
      <c r="A676" t="s">
        <v>1824</v>
      </c>
      <c r="B676" s="1" t="s">
        <v>1825</v>
      </c>
      <c r="C676" t="s">
        <v>1826</v>
      </c>
      <c r="D676" t="s">
        <v>63</v>
      </c>
      <c r="E676" t="str">
        <f>PROPER(TRIM(D676))</f>
        <v>John</v>
      </c>
      <c r="F676" t="s">
        <v>46</v>
      </c>
      <c r="G676">
        <v>8</v>
      </c>
      <c r="H676" t="str">
        <f>IF(AND(G676&gt;18, G676&lt;65), "Valid", "Invalid")</f>
        <v>Invalid</v>
      </c>
      <c r="I676" t="s">
        <v>38</v>
      </c>
      <c r="J676" t="str">
        <f>PROPER(TRIM(I676))</f>
        <v>Ph</v>
      </c>
      <c r="K676" t="s">
        <v>87</v>
      </c>
      <c r="L676" t="str">
        <f>PROPER(TRIM(K676))</f>
        <v>Groceris</v>
      </c>
      <c r="M676" t="s">
        <v>49</v>
      </c>
      <c r="N676" t="str">
        <f>PROPER(TRIM(M676))</f>
        <v>Rice</v>
      </c>
      <c r="O676">
        <v>428.84</v>
      </c>
      <c r="P676">
        <v>4</v>
      </c>
      <c r="Q676">
        <f>IF(P676&lt;1, 1, P676)</f>
        <v>4</v>
      </c>
      <c r="R676">
        <v>10</v>
      </c>
      <c r="S676" t="str">
        <f>IF(OR(R676&lt;0,R676&gt;100),"invalid","Valid")</f>
        <v>Valid</v>
      </c>
      <c r="T676" t="s">
        <v>24</v>
      </c>
      <c r="U676" t="str">
        <f>PROPER(TRIM(T676))</f>
        <v>Pos</v>
      </c>
      <c r="V676" t="s">
        <v>91</v>
      </c>
      <c r="W676" t="str">
        <f t="shared" si="20"/>
        <v>Ben</v>
      </c>
      <c r="X676" t="s">
        <v>26</v>
      </c>
      <c r="Y676">
        <v>5</v>
      </c>
      <c r="Z676" t="str">
        <f>IF(D676="", "Missing", "ok")</f>
        <v>ok</v>
      </c>
      <c r="AA676">
        <f t="shared" si="21"/>
        <v>1543.8239999999998</v>
      </c>
    </row>
    <row r="677" spans="1:27" x14ac:dyDescent="0.25">
      <c r="A677" t="s">
        <v>1827</v>
      </c>
      <c r="B677" s="1" t="s">
        <v>571</v>
      </c>
      <c r="C677" t="s">
        <v>1828</v>
      </c>
      <c r="D677" t="s">
        <v>37</v>
      </c>
      <c r="E677" t="str">
        <f>PROPER(TRIM(D677))</f>
        <v>Aisha</v>
      </c>
      <c r="F677" t="s">
        <v>20</v>
      </c>
      <c r="G677">
        <v>130</v>
      </c>
      <c r="H677" t="str">
        <f>IF(AND(G677&gt;18, G677&lt;65), "Valid", "Invalid")</f>
        <v>Invalid</v>
      </c>
      <c r="I677" t="s">
        <v>38</v>
      </c>
      <c r="J677" t="str">
        <f>PROPER(TRIM(I677))</f>
        <v>Ph</v>
      </c>
      <c r="K677" t="s">
        <v>54</v>
      </c>
      <c r="L677" t="str">
        <f>PROPER(TRIM(K677))</f>
        <v>Home</v>
      </c>
      <c r="M677" t="s">
        <v>55</v>
      </c>
      <c r="N677" t="str">
        <f>PROPER(TRIM(M677))</f>
        <v>Chair</v>
      </c>
      <c r="O677">
        <v>37.76</v>
      </c>
      <c r="P677">
        <v>-2</v>
      </c>
      <c r="Q677">
        <f>IF(P677&lt;1, 1, P677)</f>
        <v>1</v>
      </c>
      <c r="R677">
        <v>0</v>
      </c>
      <c r="S677" t="str">
        <f>IF(OR(R677&lt;0,R677&gt;100),"invalid","Valid")</f>
        <v>Valid</v>
      </c>
      <c r="T677" t="s">
        <v>64</v>
      </c>
      <c r="U677" t="str">
        <f>PROPER(TRIM(T677))</f>
        <v>Transfer</v>
      </c>
      <c r="V677" t="s">
        <v>91</v>
      </c>
      <c r="W677" t="str">
        <f t="shared" si="20"/>
        <v>Ben</v>
      </c>
      <c r="X677" t="s">
        <v>26</v>
      </c>
      <c r="Y677">
        <v>4</v>
      </c>
      <c r="Z677" t="str">
        <f>IF(D677="", "Missing", "ok")</f>
        <v>ok</v>
      </c>
      <c r="AA677">
        <f t="shared" si="21"/>
        <v>37.76</v>
      </c>
    </row>
    <row r="678" spans="1:27" x14ac:dyDescent="0.25">
      <c r="A678" t="s">
        <v>1829</v>
      </c>
      <c r="B678" s="1" t="s">
        <v>1333</v>
      </c>
      <c r="C678" t="s">
        <v>1830</v>
      </c>
      <c r="D678" t="s">
        <v>45</v>
      </c>
      <c r="E678" t="str">
        <f>PROPER(TRIM(D678))</f>
        <v>James</v>
      </c>
      <c r="F678" t="s">
        <v>46</v>
      </c>
      <c r="G678">
        <v>8</v>
      </c>
      <c r="H678" t="str">
        <f>IF(AND(G678&gt;18, G678&lt;65), "Valid", "Invalid")</f>
        <v>Invalid</v>
      </c>
      <c r="I678" t="s">
        <v>53</v>
      </c>
      <c r="J678" t="str">
        <f>PROPER(TRIM(I678))</f>
        <v>Lagos</v>
      </c>
      <c r="K678" t="s">
        <v>31</v>
      </c>
      <c r="L678" t="str">
        <f>PROPER(TRIM(K678))</f>
        <v>Sports</v>
      </c>
      <c r="M678" t="s">
        <v>32</v>
      </c>
      <c r="N678" t="str">
        <f>PROPER(TRIM(M678))</f>
        <v>Ball</v>
      </c>
      <c r="O678">
        <v>444.69</v>
      </c>
      <c r="P678">
        <v>-2</v>
      </c>
      <c r="Q678">
        <f>IF(P678&lt;1, 1, P678)</f>
        <v>1</v>
      </c>
      <c r="R678">
        <v>-10</v>
      </c>
      <c r="S678" t="str">
        <f>IF(OR(R678&lt;0,R678&gt;100),"invalid","Valid")</f>
        <v>invalid</v>
      </c>
      <c r="T678" t="s">
        <v>24</v>
      </c>
      <c r="U678" t="str">
        <f>PROPER(TRIM(T678))</f>
        <v>Pos</v>
      </c>
      <c r="V678" t="s">
        <v>25</v>
      </c>
      <c r="W678" t="str">
        <f t="shared" si="20"/>
        <v>Dan</v>
      </c>
      <c r="X678" t="s">
        <v>65</v>
      </c>
      <c r="Z678" t="str">
        <f>IF(D678="", "Missing", "ok")</f>
        <v>ok</v>
      </c>
      <c r="AA678">
        <f t="shared" si="21"/>
        <v>489.15900000000005</v>
      </c>
    </row>
    <row r="679" spans="1:27" x14ac:dyDescent="0.25">
      <c r="A679" t="s">
        <v>1831</v>
      </c>
      <c r="B679" s="1" t="s">
        <v>1832</v>
      </c>
      <c r="C679" t="s">
        <v>1833</v>
      </c>
      <c r="D679" t="s">
        <v>63</v>
      </c>
      <c r="E679" t="str">
        <f>PROPER(TRIM(D679))</f>
        <v>John</v>
      </c>
      <c r="F679" t="s">
        <v>20</v>
      </c>
      <c r="G679">
        <v>8</v>
      </c>
      <c r="H679" t="str">
        <f>IF(AND(G679&gt;18, G679&lt;65), "Valid", "Invalid")</f>
        <v>Invalid</v>
      </c>
      <c r="I679" t="s">
        <v>70</v>
      </c>
      <c r="J679" t="str">
        <f>PROPER(TRIM(I679))</f>
        <v>Abuja</v>
      </c>
      <c r="K679" t="s">
        <v>48</v>
      </c>
      <c r="L679" t="str">
        <f>PROPER(TRIM(K679))</f>
        <v>Groceries</v>
      </c>
      <c r="M679" t="s">
        <v>49</v>
      </c>
      <c r="N679" t="str">
        <f>PROPER(TRIM(M679))</f>
        <v>Rice</v>
      </c>
      <c r="O679">
        <v>211.8</v>
      </c>
      <c r="P679">
        <v>-2</v>
      </c>
      <c r="Q679">
        <f>IF(P679&lt;1, 1, P679)</f>
        <v>1</v>
      </c>
      <c r="R679">
        <v>10</v>
      </c>
      <c r="S679" t="str">
        <f>IF(OR(R679&lt;0,R679&gt;100),"invalid","Valid")</f>
        <v>Valid</v>
      </c>
      <c r="T679" t="s">
        <v>59</v>
      </c>
      <c r="U679" t="str">
        <f>PROPER(TRIM(T679))</f>
        <v>Mobile Money</v>
      </c>
      <c r="V679" t="s">
        <v>41</v>
      </c>
      <c r="W679" t="str">
        <f t="shared" si="20"/>
        <v>Chi</v>
      </c>
      <c r="X679" t="s">
        <v>26</v>
      </c>
      <c r="Y679">
        <v>4</v>
      </c>
      <c r="Z679" t="str">
        <f>IF(D679="", "Missing", "ok")</f>
        <v>ok</v>
      </c>
      <c r="AA679">
        <f t="shared" si="21"/>
        <v>190.62</v>
      </c>
    </row>
    <row r="680" spans="1:27" x14ac:dyDescent="0.25">
      <c r="A680" t="s">
        <v>1834</v>
      </c>
      <c r="B680" s="1" t="s">
        <v>1258</v>
      </c>
      <c r="C680" t="s">
        <v>1835</v>
      </c>
      <c r="E680" t="str">
        <f>PROPER(TRIM(D680))</f>
        <v/>
      </c>
      <c r="F680" t="s">
        <v>20</v>
      </c>
      <c r="G680">
        <v>8</v>
      </c>
      <c r="H680" t="str">
        <f>IF(AND(G680&gt;18, G680&lt;65), "Valid", "Invalid")</f>
        <v>Invalid</v>
      </c>
      <c r="I680" t="s">
        <v>70</v>
      </c>
      <c r="J680" t="str">
        <f>PROPER(TRIM(I680))</f>
        <v>Abuja</v>
      </c>
      <c r="K680" t="s">
        <v>87</v>
      </c>
      <c r="L680" t="str">
        <f>PROPER(TRIM(K680))</f>
        <v>Groceris</v>
      </c>
      <c r="M680" t="s">
        <v>49</v>
      </c>
      <c r="N680" t="str">
        <f>PROPER(TRIM(M680))</f>
        <v>Rice</v>
      </c>
      <c r="O680">
        <v>459.62</v>
      </c>
      <c r="P680">
        <v>9</v>
      </c>
      <c r="Q680">
        <f>IF(P680&lt;1, 1, P680)</f>
        <v>9</v>
      </c>
      <c r="R680">
        <v>120</v>
      </c>
      <c r="S680" t="str">
        <f>IF(OR(R680&lt;0,R680&gt;100),"invalid","Valid")</f>
        <v>invalid</v>
      </c>
      <c r="T680" t="s">
        <v>24</v>
      </c>
      <c r="U680" t="str">
        <f>PROPER(TRIM(T680))</f>
        <v>Pos</v>
      </c>
      <c r="V680" t="s">
        <v>25</v>
      </c>
      <c r="W680" t="str">
        <f t="shared" si="20"/>
        <v>Dan</v>
      </c>
      <c r="X680" t="s">
        <v>82</v>
      </c>
      <c r="Y680">
        <v>1</v>
      </c>
      <c r="Z680" t="str">
        <f>IF(D680="", "Missing", "ok")</f>
        <v>Missing</v>
      </c>
      <c r="AA680">
        <f t="shared" si="21"/>
        <v>-827.3159999999998</v>
      </c>
    </row>
    <row r="681" spans="1:27" x14ac:dyDescent="0.25">
      <c r="A681" t="s">
        <v>1836</v>
      </c>
      <c r="B681" s="1" t="s">
        <v>1641</v>
      </c>
      <c r="C681" t="s">
        <v>1837</v>
      </c>
      <c r="D681" t="s">
        <v>117</v>
      </c>
      <c r="E681" t="str">
        <f>PROPER(TRIM(D681))</f>
        <v>David</v>
      </c>
      <c r="F681" t="s">
        <v>46</v>
      </c>
      <c r="G681">
        <v>8</v>
      </c>
      <c r="H681" t="str">
        <f>IF(AND(G681&gt;18, G681&lt;65), "Valid", "Invalid")</f>
        <v>Invalid</v>
      </c>
      <c r="I681" t="s">
        <v>53</v>
      </c>
      <c r="J681" t="str">
        <f>PROPER(TRIM(I681))</f>
        <v>Lagos</v>
      </c>
      <c r="K681" t="s">
        <v>121</v>
      </c>
      <c r="L681" t="str">
        <f>PROPER(TRIM(K681))</f>
        <v>Beauty</v>
      </c>
      <c r="M681" t="s">
        <v>122</v>
      </c>
      <c r="N681" t="str">
        <f>PROPER(TRIM(M681))</f>
        <v>Cream</v>
      </c>
      <c r="O681">
        <v>466.69</v>
      </c>
      <c r="P681">
        <v>-2</v>
      </c>
      <c r="Q681">
        <f>IF(P681&lt;1, 1, P681)</f>
        <v>1</v>
      </c>
      <c r="R681">
        <v>5</v>
      </c>
      <c r="S681" t="str">
        <f>IF(OR(R681&lt;0,R681&gt;100),"invalid","Valid")</f>
        <v>Valid</v>
      </c>
      <c r="U681" t="str">
        <f>PROPER(TRIM(T681))</f>
        <v/>
      </c>
      <c r="V681" t="s">
        <v>41</v>
      </c>
      <c r="W681" t="str">
        <f t="shared" si="20"/>
        <v>Chi</v>
      </c>
      <c r="X681" t="s">
        <v>26</v>
      </c>
      <c r="Y681">
        <v>2</v>
      </c>
      <c r="Z681" t="str">
        <f>IF(D681="", "Missing", "ok")</f>
        <v>ok</v>
      </c>
      <c r="AA681">
        <f t="shared" si="21"/>
        <v>443.35549999999995</v>
      </c>
    </row>
    <row r="682" spans="1:27" x14ac:dyDescent="0.25">
      <c r="A682" t="s">
        <v>1838</v>
      </c>
      <c r="B682" s="1" t="s">
        <v>1612</v>
      </c>
      <c r="C682" t="s">
        <v>1839</v>
      </c>
      <c r="D682" t="s">
        <v>63</v>
      </c>
      <c r="E682" t="str">
        <f>PROPER(TRIM(D682))</f>
        <v>John</v>
      </c>
      <c r="F682" t="s">
        <v>20</v>
      </c>
      <c r="G682">
        <v>130</v>
      </c>
      <c r="H682" t="str">
        <f>IF(AND(G682&gt;18, G682&lt;65), "Valid", "Invalid")</f>
        <v>Invalid</v>
      </c>
      <c r="I682" t="s">
        <v>21</v>
      </c>
      <c r="J682" t="str">
        <f>PROPER(TRIM(I682))</f>
        <v>Lagos</v>
      </c>
      <c r="K682" t="s">
        <v>22</v>
      </c>
      <c r="L682" t="str">
        <f>PROPER(TRIM(K682))</f>
        <v>Fashion</v>
      </c>
      <c r="M682" t="s">
        <v>23</v>
      </c>
      <c r="N682" t="str">
        <f>PROPER(TRIM(M682))</f>
        <v>Shirt</v>
      </c>
      <c r="O682">
        <v>484.4</v>
      </c>
      <c r="P682">
        <v>9</v>
      </c>
      <c r="Q682">
        <f>IF(P682&lt;1, 1, P682)</f>
        <v>9</v>
      </c>
      <c r="R682">
        <v>0</v>
      </c>
      <c r="S682" t="str">
        <f>IF(OR(R682&lt;0,R682&gt;100),"invalid","Valid")</f>
        <v>Valid</v>
      </c>
      <c r="T682" t="s">
        <v>24</v>
      </c>
      <c r="U682" t="str">
        <f>PROPER(TRIM(T682))</f>
        <v>Pos</v>
      </c>
      <c r="V682" t="s">
        <v>81</v>
      </c>
      <c r="W682" t="str">
        <f t="shared" si="20"/>
        <v>Ada</v>
      </c>
      <c r="X682" t="s">
        <v>26</v>
      </c>
      <c r="Y682">
        <v>3</v>
      </c>
      <c r="Z682" t="str">
        <f>IF(D682="", "Missing", "ok")</f>
        <v>ok</v>
      </c>
      <c r="AA682">
        <f t="shared" si="21"/>
        <v>4359.5999999999995</v>
      </c>
    </row>
    <row r="683" spans="1:27" x14ac:dyDescent="0.25">
      <c r="A683" t="s">
        <v>1840</v>
      </c>
      <c r="B683" s="1" t="s">
        <v>887</v>
      </c>
      <c r="C683" t="s">
        <v>1841</v>
      </c>
      <c r="E683" t="str">
        <f>PROPER(TRIM(D683))</f>
        <v/>
      </c>
      <c r="F683" t="s">
        <v>20</v>
      </c>
      <c r="G683">
        <v>8</v>
      </c>
      <c r="H683" t="str">
        <f>IF(AND(G683&gt;18, G683&lt;65), "Valid", "Invalid")</f>
        <v>Invalid</v>
      </c>
      <c r="I683" t="s">
        <v>30</v>
      </c>
      <c r="J683" t="str">
        <f>PROPER(TRIM(I683))</f>
        <v>Lagos</v>
      </c>
      <c r="K683" t="s">
        <v>121</v>
      </c>
      <c r="L683" t="str">
        <f>PROPER(TRIM(K683))</f>
        <v>Beauty</v>
      </c>
      <c r="M683" t="s">
        <v>122</v>
      </c>
      <c r="N683" t="str">
        <f>PROPER(TRIM(M683))</f>
        <v>Cream</v>
      </c>
      <c r="O683">
        <v>259.79000000000002</v>
      </c>
      <c r="P683">
        <v>7</v>
      </c>
      <c r="Q683">
        <f>IF(P683&lt;1, 1, P683)</f>
        <v>7</v>
      </c>
      <c r="R683">
        <v>-10</v>
      </c>
      <c r="S683" t="str">
        <f>IF(OR(R683&lt;0,R683&gt;100),"invalid","Valid")</f>
        <v>invalid</v>
      </c>
      <c r="U683" t="str">
        <f>PROPER(TRIM(T683))</f>
        <v/>
      </c>
      <c r="V683" t="s">
        <v>41</v>
      </c>
      <c r="W683" t="str">
        <f t="shared" si="20"/>
        <v>Chi</v>
      </c>
      <c r="X683" t="s">
        <v>82</v>
      </c>
      <c r="Y683">
        <v>3</v>
      </c>
      <c r="Z683" t="str">
        <f>IF(D683="", "Missing", "ok")</f>
        <v>Missing</v>
      </c>
      <c r="AA683">
        <f t="shared" si="21"/>
        <v>2000.3830000000005</v>
      </c>
    </row>
    <row r="684" spans="1:27" x14ac:dyDescent="0.25">
      <c r="A684" t="s">
        <v>1842</v>
      </c>
      <c r="B684" s="1" t="s">
        <v>1843</v>
      </c>
      <c r="C684" t="s">
        <v>1844</v>
      </c>
      <c r="D684" t="s">
        <v>63</v>
      </c>
      <c r="E684" t="str">
        <f>PROPER(TRIM(D684))</f>
        <v>John</v>
      </c>
      <c r="F684" t="s">
        <v>20</v>
      </c>
      <c r="G684">
        <v>130</v>
      </c>
      <c r="H684" t="str">
        <f>IF(AND(G684&gt;18, G684&lt;65), "Valid", "Invalid")</f>
        <v>Invalid</v>
      </c>
      <c r="I684" t="s">
        <v>53</v>
      </c>
      <c r="J684" t="str">
        <f>PROPER(TRIM(I684))</f>
        <v>Lagos</v>
      </c>
      <c r="K684" t="s">
        <v>121</v>
      </c>
      <c r="L684" t="str">
        <f>PROPER(TRIM(K684))</f>
        <v>Beauty</v>
      </c>
      <c r="M684" t="s">
        <v>122</v>
      </c>
      <c r="N684" t="str">
        <f>PROPER(TRIM(M684))</f>
        <v>Cream</v>
      </c>
      <c r="O684">
        <v>435.87</v>
      </c>
      <c r="P684">
        <v>-2</v>
      </c>
      <c r="Q684">
        <f>IF(P684&lt;1, 1, P684)</f>
        <v>1</v>
      </c>
      <c r="R684">
        <v>10</v>
      </c>
      <c r="S684" t="str">
        <f>IF(OR(R684&lt;0,R684&gt;100),"invalid","Valid")</f>
        <v>Valid</v>
      </c>
      <c r="T684" t="s">
        <v>64</v>
      </c>
      <c r="U684" t="str">
        <f>PROPER(TRIM(T684))</f>
        <v>Transfer</v>
      </c>
      <c r="V684" t="s">
        <v>41</v>
      </c>
      <c r="W684" t="str">
        <f t="shared" si="20"/>
        <v>Chi</v>
      </c>
      <c r="X684" t="s">
        <v>65</v>
      </c>
      <c r="Y684">
        <v>1</v>
      </c>
      <c r="Z684" t="str">
        <f>IF(D684="", "Missing", "ok")</f>
        <v>ok</v>
      </c>
      <c r="AA684">
        <f t="shared" si="21"/>
        <v>392.28300000000002</v>
      </c>
    </row>
    <row r="685" spans="1:27" x14ac:dyDescent="0.25">
      <c r="A685" t="s">
        <v>1845</v>
      </c>
      <c r="B685" s="1" t="s">
        <v>1846</v>
      </c>
      <c r="C685" t="s">
        <v>1847</v>
      </c>
      <c r="D685" t="s">
        <v>45</v>
      </c>
      <c r="E685" t="str">
        <f>PROPER(TRIM(D685))</f>
        <v>James</v>
      </c>
      <c r="F685" t="s">
        <v>20</v>
      </c>
      <c r="G685">
        <v>130</v>
      </c>
      <c r="H685" t="str">
        <f>IF(AND(G685&gt;18, G685&lt;65), "Valid", "Invalid")</f>
        <v>Invalid</v>
      </c>
      <c r="I685" t="s">
        <v>70</v>
      </c>
      <c r="J685" t="str">
        <f>PROPER(TRIM(I685))</f>
        <v>Abuja</v>
      </c>
      <c r="K685" t="s">
        <v>22</v>
      </c>
      <c r="L685" t="str">
        <f>PROPER(TRIM(K685))</f>
        <v>Fashion</v>
      </c>
      <c r="M685" t="s">
        <v>23</v>
      </c>
      <c r="N685" t="str">
        <f>PROPER(TRIM(M685))</f>
        <v>Shirt</v>
      </c>
      <c r="O685">
        <v>337.79</v>
      </c>
      <c r="P685">
        <v>8</v>
      </c>
      <c r="Q685">
        <f>IF(P685&lt;1, 1, P685)</f>
        <v>8</v>
      </c>
      <c r="R685">
        <v>0</v>
      </c>
      <c r="S685" t="str">
        <f>IF(OR(R685&lt;0,R685&gt;100),"invalid","Valid")</f>
        <v>Valid</v>
      </c>
      <c r="T685" t="s">
        <v>64</v>
      </c>
      <c r="U685" t="str">
        <f>PROPER(TRIM(T685))</f>
        <v>Transfer</v>
      </c>
      <c r="V685" t="s">
        <v>25</v>
      </c>
      <c r="W685" t="str">
        <f t="shared" si="20"/>
        <v>Dan</v>
      </c>
      <c r="X685" t="s">
        <v>26</v>
      </c>
      <c r="Y685">
        <v>2</v>
      </c>
      <c r="Z685" t="str">
        <f>IF(D685="", "Missing", "ok")</f>
        <v>ok</v>
      </c>
      <c r="AA685">
        <f t="shared" si="21"/>
        <v>2702.32</v>
      </c>
    </row>
    <row r="686" spans="1:27" x14ac:dyDescent="0.25">
      <c r="A686" t="s">
        <v>1848</v>
      </c>
      <c r="B686" s="1" t="s">
        <v>771</v>
      </c>
      <c r="C686" t="s">
        <v>1849</v>
      </c>
      <c r="D686" t="s">
        <v>37</v>
      </c>
      <c r="E686" t="str">
        <f>PROPER(TRIM(D686))</f>
        <v>Aisha</v>
      </c>
      <c r="F686" t="s">
        <v>46</v>
      </c>
      <c r="G686">
        <v>130</v>
      </c>
      <c r="H686" t="str">
        <f>IF(AND(G686&gt;18, G686&lt;65), "Valid", "Invalid")</f>
        <v>Invalid</v>
      </c>
      <c r="I686" t="s">
        <v>53</v>
      </c>
      <c r="J686" t="str">
        <f>PROPER(TRIM(I686))</f>
        <v>Lagos</v>
      </c>
      <c r="K686" t="s">
        <v>31</v>
      </c>
      <c r="L686" t="str">
        <f>PROPER(TRIM(K686))</f>
        <v>Sports</v>
      </c>
      <c r="M686" t="s">
        <v>32</v>
      </c>
      <c r="N686" t="str">
        <f>PROPER(TRIM(M686))</f>
        <v>Ball</v>
      </c>
      <c r="O686">
        <v>310.26</v>
      </c>
      <c r="P686">
        <v>9</v>
      </c>
      <c r="Q686">
        <f>IF(P686&lt;1, 1, P686)</f>
        <v>9</v>
      </c>
      <c r="R686">
        <v>-10</v>
      </c>
      <c r="S686" t="str">
        <f>IF(OR(R686&lt;0,R686&gt;100),"invalid","Valid")</f>
        <v>invalid</v>
      </c>
      <c r="T686" t="s">
        <v>64</v>
      </c>
      <c r="U686" t="str">
        <f>PROPER(TRIM(T686))</f>
        <v>Transfer</v>
      </c>
      <c r="V686" t="s">
        <v>41</v>
      </c>
      <c r="W686" t="str">
        <f t="shared" si="20"/>
        <v>Chi</v>
      </c>
      <c r="X686" t="s">
        <v>82</v>
      </c>
      <c r="Y686">
        <v>2</v>
      </c>
      <c r="Z686" t="str">
        <f>IF(D686="", "Missing", "ok")</f>
        <v>ok</v>
      </c>
      <c r="AA686">
        <f t="shared" si="21"/>
        <v>3071.5740000000005</v>
      </c>
    </row>
    <row r="687" spans="1:27" x14ac:dyDescent="0.25">
      <c r="A687" t="s">
        <v>1850</v>
      </c>
      <c r="B687" s="1" t="s">
        <v>1851</v>
      </c>
      <c r="C687" t="s">
        <v>1852</v>
      </c>
      <c r="D687" t="s">
        <v>63</v>
      </c>
      <c r="E687" t="str">
        <f>PROPER(TRIM(D687))</f>
        <v>John</v>
      </c>
      <c r="F687" t="s">
        <v>20</v>
      </c>
      <c r="G687">
        <v>22</v>
      </c>
      <c r="H687" t="str">
        <f>IF(AND(G687&gt;18, G687&lt;65), "Valid", "Invalid")</f>
        <v>Valid</v>
      </c>
      <c r="I687" t="s">
        <v>86</v>
      </c>
      <c r="J687" t="str">
        <f>PROPER(TRIM(I687))</f>
        <v>Kano</v>
      </c>
      <c r="K687" t="s">
        <v>39</v>
      </c>
      <c r="L687" t="str">
        <f>PROPER(TRIM(K687))</f>
        <v>Electronics</v>
      </c>
      <c r="M687" t="s">
        <v>40</v>
      </c>
      <c r="N687" t="str">
        <f>PROPER(TRIM(M687))</f>
        <v>Phone</v>
      </c>
      <c r="O687">
        <v>466.6</v>
      </c>
      <c r="P687">
        <v>-2</v>
      </c>
      <c r="Q687">
        <f>IF(P687&lt;1, 1, P687)</f>
        <v>1</v>
      </c>
      <c r="R687">
        <v>120</v>
      </c>
      <c r="S687" t="str">
        <f>IF(OR(R687&lt;0,R687&gt;100),"invalid","Valid")</f>
        <v>invalid</v>
      </c>
      <c r="T687" t="s">
        <v>24</v>
      </c>
      <c r="U687" t="str">
        <f>PROPER(TRIM(T687))</f>
        <v>Pos</v>
      </c>
      <c r="V687" t="s">
        <v>25</v>
      </c>
      <c r="W687" t="str">
        <f t="shared" si="20"/>
        <v>Dan</v>
      </c>
      <c r="X687" t="s">
        <v>65</v>
      </c>
      <c r="Z687" t="str">
        <f>IF(D687="", "Missing", "ok")</f>
        <v>ok</v>
      </c>
      <c r="AA687">
        <f t="shared" si="21"/>
        <v>-93.319999999999979</v>
      </c>
    </row>
    <row r="688" spans="1:27" x14ac:dyDescent="0.25">
      <c r="A688" t="s">
        <v>1853</v>
      </c>
      <c r="B688" s="1" t="s">
        <v>1417</v>
      </c>
      <c r="C688" t="s">
        <v>1854</v>
      </c>
      <c r="D688" t="s">
        <v>63</v>
      </c>
      <c r="E688" t="str">
        <f>PROPER(TRIM(D688))</f>
        <v>John</v>
      </c>
      <c r="F688" t="s">
        <v>20</v>
      </c>
      <c r="G688">
        <v>130</v>
      </c>
      <c r="H688" t="str">
        <f>IF(AND(G688&gt;18, G688&lt;65), "Valid", "Invalid")</f>
        <v>Invalid</v>
      </c>
      <c r="I688" t="s">
        <v>53</v>
      </c>
      <c r="J688" t="str">
        <f>PROPER(TRIM(I688))</f>
        <v>Lagos</v>
      </c>
      <c r="K688" t="s">
        <v>31</v>
      </c>
      <c r="L688" t="str">
        <f>PROPER(TRIM(K688))</f>
        <v>Sports</v>
      </c>
      <c r="M688" t="s">
        <v>32</v>
      </c>
      <c r="N688" t="str">
        <f>PROPER(TRIM(M688))</f>
        <v>Ball</v>
      </c>
      <c r="O688">
        <v>424.19</v>
      </c>
      <c r="P688">
        <v>5</v>
      </c>
      <c r="Q688">
        <f>IF(P688&lt;1, 1, P688)</f>
        <v>5</v>
      </c>
      <c r="R688">
        <v>5</v>
      </c>
      <c r="S688" t="str">
        <f>IF(OR(R688&lt;0,R688&gt;100),"invalid","Valid")</f>
        <v>Valid</v>
      </c>
      <c r="T688" t="s">
        <v>59</v>
      </c>
      <c r="U688" t="str">
        <f>PROPER(TRIM(T688))</f>
        <v>Mobile Money</v>
      </c>
      <c r="V688" t="s">
        <v>25</v>
      </c>
      <c r="W688" t="str">
        <f t="shared" si="20"/>
        <v>Dan</v>
      </c>
      <c r="X688" t="s">
        <v>33</v>
      </c>
      <c r="Y688">
        <v>3</v>
      </c>
      <c r="Z688" t="str">
        <f>IF(D688="", "Missing", "ok")</f>
        <v>ok</v>
      </c>
      <c r="AA688">
        <f t="shared" si="21"/>
        <v>2014.9024999999997</v>
      </c>
    </row>
    <row r="689" spans="1:27" x14ac:dyDescent="0.25">
      <c r="A689" t="s">
        <v>1855</v>
      </c>
      <c r="B689" s="1" t="s">
        <v>1349</v>
      </c>
      <c r="C689" t="s">
        <v>1856</v>
      </c>
      <c r="D689" t="s">
        <v>19</v>
      </c>
      <c r="E689" t="str">
        <f>PROPER(TRIM(D689))</f>
        <v>Peter</v>
      </c>
      <c r="F689" t="s">
        <v>46</v>
      </c>
      <c r="G689">
        <v>130</v>
      </c>
      <c r="H689" t="str">
        <f>IF(AND(G689&gt;18, G689&lt;65), "Valid", "Invalid")</f>
        <v>Invalid</v>
      </c>
      <c r="I689" t="s">
        <v>70</v>
      </c>
      <c r="J689" t="str">
        <f>PROPER(TRIM(I689))</f>
        <v>Abuja</v>
      </c>
      <c r="K689" t="s">
        <v>31</v>
      </c>
      <c r="L689" t="str">
        <f>PROPER(TRIM(K689))</f>
        <v>Sports</v>
      </c>
      <c r="M689" t="s">
        <v>32</v>
      </c>
      <c r="N689" t="str">
        <f>PROPER(TRIM(M689))</f>
        <v>Ball</v>
      </c>
      <c r="O689">
        <v>216.74</v>
      </c>
      <c r="P689">
        <v>6</v>
      </c>
      <c r="Q689">
        <f>IF(P689&lt;1, 1, P689)</f>
        <v>6</v>
      </c>
      <c r="R689">
        <v>15</v>
      </c>
      <c r="S689" t="str">
        <f>IF(OR(R689&lt;0,R689&gt;100),"invalid","Valid")</f>
        <v>Valid</v>
      </c>
      <c r="T689" t="s">
        <v>24</v>
      </c>
      <c r="U689" t="str">
        <f>PROPER(TRIM(T689))</f>
        <v>Pos</v>
      </c>
      <c r="V689" t="s">
        <v>91</v>
      </c>
      <c r="W689" t="str">
        <f t="shared" si="20"/>
        <v>Ben</v>
      </c>
      <c r="X689" t="s">
        <v>33</v>
      </c>
      <c r="Y689">
        <v>2</v>
      </c>
      <c r="Z689" t="str">
        <f>IF(D689="", "Missing", "ok")</f>
        <v>ok</v>
      </c>
      <c r="AA689">
        <f t="shared" si="21"/>
        <v>1105.374</v>
      </c>
    </row>
    <row r="690" spans="1:27" x14ac:dyDescent="0.25">
      <c r="A690" t="s">
        <v>1857</v>
      </c>
      <c r="B690" s="1" t="s">
        <v>754</v>
      </c>
      <c r="C690" t="s">
        <v>1858</v>
      </c>
      <c r="D690" t="s">
        <v>117</v>
      </c>
      <c r="E690" t="str">
        <f>PROPER(TRIM(D690))</f>
        <v>David</v>
      </c>
      <c r="F690" t="s">
        <v>46</v>
      </c>
      <c r="G690">
        <v>130</v>
      </c>
      <c r="H690" t="str">
        <f>IF(AND(G690&gt;18, G690&lt;65), "Valid", "Invalid")</f>
        <v>Invalid</v>
      </c>
      <c r="I690" t="s">
        <v>47</v>
      </c>
      <c r="J690" t="str">
        <f>PROPER(TRIM(I690))</f>
        <v>Enugu</v>
      </c>
      <c r="K690" t="s">
        <v>39</v>
      </c>
      <c r="L690" t="str">
        <f>PROPER(TRIM(K690))</f>
        <v>Electronics</v>
      </c>
      <c r="M690" t="s">
        <v>40</v>
      </c>
      <c r="N690" t="str">
        <f>PROPER(TRIM(M690))</f>
        <v>Phone</v>
      </c>
      <c r="O690">
        <v>166.3</v>
      </c>
      <c r="P690">
        <v>3</v>
      </c>
      <c r="Q690">
        <f>IF(P690&lt;1, 1, P690)</f>
        <v>3</v>
      </c>
      <c r="R690">
        <v>0</v>
      </c>
      <c r="S690" t="str">
        <f>IF(OR(R690&lt;0,R690&gt;100),"invalid","Valid")</f>
        <v>Valid</v>
      </c>
      <c r="T690" t="s">
        <v>24</v>
      </c>
      <c r="U690" t="str">
        <f>PROPER(TRIM(T690))</f>
        <v>Pos</v>
      </c>
      <c r="V690" t="s">
        <v>25</v>
      </c>
      <c r="W690" t="str">
        <f t="shared" si="20"/>
        <v>Dan</v>
      </c>
      <c r="X690" t="s">
        <v>33</v>
      </c>
      <c r="Z690" t="str">
        <f>IF(D690="", "Missing", "ok")</f>
        <v>ok</v>
      </c>
      <c r="AA690">
        <f t="shared" si="21"/>
        <v>498.90000000000003</v>
      </c>
    </row>
    <row r="691" spans="1:27" x14ac:dyDescent="0.25">
      <c r="A691" t="s">
        <v>1859</v>
      </c>
      <c r="B691" s="1" t="s">
        <v>1860</v>
      </c>
      <c r="C691" t="s">
        <v>1861</v>
      </c>
      <c r="D691" t="s">
        <v>45</v>
      </c>
      <c r="E691" t="str">
        <f>PROPER(TRIM(D691))</f>
        <v>James</v>
      </c>
      <c r="F691" t="s">
        <v>46</v>
      </c>
      <c r="G691">
        <v>130</v>
      </c>
      <c r="H691" t="str">
        <f>IF(AND(G691&gt;18, G691&lt;65), "Valid", "Invalid")</f>
        <v>Invalid</v>
      </c>
      <c r="I691" t="s">
        <v>30</v>
      </c>
      <c r="J691" t="str">
        <f>PROPER(TRIM(I691))</f>
        <v>Lagos</v>
      </c>
      <c r="K691" t="s">
        <v>121</v>
      </c>
      <c r="L691" t="str">
        <f>PROPER(TRIM(K691))</f>
        <v>Beauty</v>
      </c>
      <c r="M691" t="s">
        <v>122</v>
      </c>
      <c r="N691" t="str">
        <f>PROPER(TRIM(M691))</f>
        <v>Cream</v>
      </c>
      <c r="O691">
        <v>249.14</v>
      </c>
      <c r="P691">
        <v>-2</v>
      </c>
      <c r="Q691">
        <f>IF(P691&lt;1, 1, P691)</f>
        <v>1</v>
      </c>
      <c r="R691">
        <v>120</v>
      </c>
      <c r="S691" t="str">
        <f>IF(OR(R691&lt;0,R691&gt;100),"invalid","Valid")</f>
        <v>invalid</v>
      </c>
      <c r="U691" t="str">
        <f>PROPER(TRIM(T691))</f>
        <v/>
      </c>
      <c r="V691" t="s">
        <v>81</v>
      </c>
      <c r="W691" t="str">
        <f t="shared" si="20"/>
        <v>Ada</v>
      </c>
      <c r="X691" t="s">
        <v>82</v>
      </c>
      <c r="Y691">
        <v>1</v>
      </c>
      <c r="Z691" t="str">
        <f>IF(D691="", "Missing", "ok")</f>
        <v>ok</v>
      </c>
      <c r="AA691">
        <f t="shared" si="21"/>
        <v>-49.827999999999989</v>
      </c>
    </row>
    <row r="692" spans="1:27" x14ac:dyDescent="0.25">
      <c r="A692" t="s">
        <v>1862</v>
      </c>
      <c r="B692" s="1" t="s">
        <v>483</v>
      </c>
      <c r="C692" t="s">
        <v>1863</v>
      </c>
      <c r="D692" t="s">
        <v>69</v>
      </c>
      <c r="E692" t="str">
        <f>PROPER(TRIM(D692))</f>
        <v>Mary</v>
      </c>
      <c r="F692" t="s">
        <v>20</v>
      </c>
      <c r="G692">
        <v>55</v>
      </c>
      <c r="H692" t="str">
        <f>IF(AND(G692&gt;18, G692&lt;65), "Valid", "Invalid")</f>
        <v>Valid</v>
      </c>
      <c r="I692" t="s">
        <v>21</v>
      </c>
      <c r="J692" t="str">
        <f>PROPER(TRIM(I692))</f>
        <v>Lagos</v>
      </c>
      <c r="K692" t="s">
        <v>54</v>
      </c>
      <c r="L692" t="str">
        <f>PROPER(TRIM(K692))</f>
        <v>Home</v>
      </c>
      <c r="M692" t="s">
        <v>55</v>
      </c>
      <c r="N692" t="str">
        <f>PROPER(TRIM(M692))</f>
        <v>Chair</v>
      </c>
      <c r="O692">
        <v>118.92</v>
      </c>
      <c r="P692">
        <v>-2</v>
      </c>
      <c r="Q692">
        <f>IF(P692&lt;1, 1, P692)</f>
        <v>1</v>
      </c>
      <c r="R692">
        <v>15</v>
      </c>
      <c r="S692" t="str">
        <f>IF(OR(R692&lt;0,R692&gt;100),"invalid","Valid")</f>
        <v>Valid</v>
      </c>
      <c r="T692" t="s">
        <v>77</v>
      </c>
      <c r="U692" t="str">
        <f>PROPER(TRIM(T692))</f>
        <v>Cash</v>
      </c>
      <c r="V692" t="s">
        <v>41</v>
      </c>
      <c r="W692" t="str">
        <f t="shared" si="20"/>
        <v>Chi</v>
      </c>
      <c r="X692" t="s">
        <v>65</v>
      </c>
      <c r="Y692">
        <v>3</v>
      </c>
      <c r="Z692" t="str">
        <f>IF(D692="", "Missing", "ok")</f>
        <v>ok</v>
      </c>
      <c r="AA692">
        <f t="shared" si="21"/>
        <v>101.08199999999999</v>
      </c>
    </row>
    <row r="693" spans="1:27" x14ac:dyDescent="0.25">
      <c r="A693" t="s">
        <v>1864</v>
      </c>
      <c r="B693" s="1" t="s">
        <v>1865</v>
      </c>
      <c r="C693" t="s">
        <v>1866</v>
      </c>
      <c r="D693" t="s">
        <v>45</v>
      </c>
      <c r="E693" t="str">
        <f>PROPER(TRIM(D693))</f>
        <v>James</v>
      </c>
      <c r="F693" t="s">
        <v>46</v>
      </c>
      <c r="G693">
        <v>130</v>
      </c>
      <c r="H693" t="str">
        <f>IF(AND(G693&gt;18, G693&lt;65), "Valid", "Invalid")</f>
        <v>Invalid</v>
      </c>
      <c r="I693" t="s">
        <v>30</v>
      </c>
      <c r="J693" t="str">
        <f>PROPER(TRIM(I693))</f>
        <v>Lagos</v>
      </c>
      <c r="K693" t="s">
        <v>31</v>
      </c>
      <c r="L693" t="str">
        <f>PROPER(TRIM(K693))</f>
        <v>Sports</v>
      </c>
      <c r="M693" t="s">
        <v>32</v>
      </c>
      <c r="N693" t="str">
        <f>PROPER(TRIM(M693))</f>
        <v>Ball</v>
      </c>
      <c r="O693">
        <v>252.42</v>
      </c>
      <c r="P693">
        <v>-2</v>
      </c>
      <c r="Q693">
        <f>IF(P693&lt;1, 1, P693)</f>
        <v>1</v>
      </c>
      <c r="R693">
        <v>-10</v>
      </c>
      <c r="S693" t="str">
        <f>IF(OR(R693&lt;0,R693&gt;100),"invalid","Valid")</f>
        <v>invalid</v>
      </c>
      <c r="T693" t="s">
        <v>77</v>
      </c>
      <c r="U693" t="str">
        <f>PROPER(TRIM(T693))</f>
        <v>Cash</v>
      </c>
      <c r="V693" t="s">
        <v>91</v>
      </c>
      <c r="W693" t="str">
        <f t="shared" si="20"/>
        <v>Ben</v>
      </c>
      <c r="X693" t="s">
        <v>26</v>
      </c>
      <c r="Y693">
        <v>2</v>
      </c>
      <c r="Z693" t="str">
        <f>IF(D693="", "Missing", "ok")</f>
        <v>ok</v>
      </c>
      <c r="AA693">
        <f t="shared" si="21"/>
        <v>277.66200000000003</v>
      </c>
    </row>
    <row r="694" spans="1:27" x14ac:dyDescent="0.25">
      <c r="A694" t="s">
        <v>1867</v>
      </c>
      <c r="B694" s="1" t="s">
        <v>653</v>
      </c>
      <c r="C694" t="s">
        <v>1868</v>
      </c>
      <c r="D694" t="s">
        <v>117</v>
      </c>
      <c r="E694" t="str">
        <f>PROPER(TRIM(D694))</f>
        <v>David</v>
      </c>
      <c r="F694" t="s">
        <v>46</v>
      </c>
      <c r="G694">
        <v>8</v>
      </c>
      <c r="H694" t="str">
        <f>IF(AND(G694&gt;18, G694&lt;65), "Valid", "Invalid")</f>
        <v>Invalid</v>
      </c>
      <c r="I694" t="s">
        <v>21</v>
      </c>
      <c r="J694" t="str">
        <f>PROPER(TRIM(I694))</f>
        <v>Lagos</v>
      </c>
      <c r="K694" t="s">
        <v>87</v>
      </c>
      <c r="L694" t="str">
        <f>PROPER(TRIM(K694))</f>
        <v>Groceris</v>
      </c>
      <c r="M694" t="s">
        <v>49</v>
      </c>
      <c r="N694" t="str">
        <f>PROPER(TRIM(M694))</f>
        <v>Rice</v>
      </c>
      <c r="O694">
        <v>242.02</v>
      </c>
      <c r="P694">
        <v>-2</v>
      </c>
      <c r="Q694">
        <f>IF(P694&lt;1, 1, P694)</f>
        <v>1</v>
      </c>
      <c r="R694">
        <v>10</v>
      </c>
      <c r="S694" t="str">
        <f>IF(OR(R694&lt;0,R694&gt;100),"invalid","Valid")</f>
        <v>Valid</v>
      </c>
      <c r="T694" t="s">
        <v>59</v>
      </c>
      <c r="U694" t="str">
        <f>PROPER(TRIM(T694))</f>
        <v>Mobile Money</v>
      </c>
      <c r="V694" t="s">
        <v>81</v>
      </c>
      <c r="W694" t="str">
        <f t="shared" si="20"/>
        <v>Ada</v>
      </c>
      <c r="X694" t="s">
        <v>65</v>
      </c>
      <c r="Y694">
        <v>2</v>
      </c>
      <c r="Z694" t="str">
        <f>IF(D694="", "Missing", "ok")</f>
        <v>ok</v>
      </c>
      <c r="AA694">
        <f t="shared" si="21"/>
        <v>217.81800000000001</v>
      </c>
    </row>
    <row r="695" spans="1:27" x14ac:dyDescent="0.25">
      <c r="A695" t="s">
        <v>1869</v>
      </c>
      <c r="B695" s="1" t="s">
        <v>341</v>
      </c>
      <c r="C695" t="s">
        <v>1870</v>
      </c>
      <c r="D695" t="s">
        <v>19</v>
      </c>
      <c r="E695" t="str">
        <f>PROPER(TRIM(D695))</f>
        <v>Peter</v>
      </c>
      <c r="F695" t="s">
        <v>20</v>
      </c>
      <c r="G695">
        <v>8</v>
      </c>
      <c r="H695" t="str">
        <f>IF(AND(G695&gt;18, G695&lt;65), "Valid", "Invalid")</f>
        <v>Invalid</v>
      </c>
      <c r="I695" t="s">
        <v>86</v>
      </c>
      <c r="J695" t="str">
        <f>PROPER(TRIM(I695))</f>
        <v>Kano</v>
      </c>
      <c r="K695" t="s">
        <v>87</v>
      </c>
      <c r="L695" t="str">
        <f>PROPER(TRIM(K695))</f>
        <v>Groceris</v>
      </c>
      <c r="M695" t="s">
        <v>49</v>
      </c>
      <c r="N695" t="str">
        <f>PROPER(TRIM(M695))</f>
        <v>Rice</v>
      </c>
      <c r="O695">
        <v>438.51</v>
      </c>
      <c r="P695">
        <v>-2</v>
      </c>
      <c r="Q695">
        <f>IF(P695&lt;1, 1, P695)</f>
        <v>1</v>
      </c>
      <c r="R695">
        <v>10</v>
      </c>
      <c r="S695" t="str">
        <f>IF(OR(R695&lt;0,R695&gt;100),"invalid","Valid")</f>
        <v>Valid</v>
      </c>
      <c r="T695" t="s">
        <v>24</v>
      </c>
      <c r="U695" t="str">
        <f>PROPER(TRIM(T695))</f>
        <v>Pos</v>
      </c>
      <c r="V695" t="s">
        <v>25</v>
      </c>
      <c r="W695" t="str">
        <f t="shared" si="20"/>
        <v>Dan</v>
      </c>
      <c r="X695" t="s">
        <v>65</v>
      </c>
      <c r="Y695">
        <v>1</v>
      </c>
      <c r="Z695" t="str">
        <f>IF(D695="", "Missing", "ok")</f>
        <v>ok</v>
      </c>
      <c r="AA695">
        <f t="shared" si="21"/>
        <v>394.65899999999999</v>
      </c>
    </row>
    <row r="696" spans="1:27" x14ac:dyDescent="0.25">
      <c r="A696" t="s">
        <v>1871</v>
      </c>
      <c r="B696" s="1" t="s">
        <v>520</v>
      </c>
      <c r="C696" t="s">
        <v>1872</v>
      </c>
      <c r="D696" t="s">
        <v>63</v>
      </c>
      <c r="E696" t="str">
        <f>PROPER(TRIM(D696))</f>
        <v>John</v>
      </c>
      <c r="F696" t="s">
        <v>20</v>
      </c>
      <c r="G696">
        <v>130</v>
      </c>
      <c r="H696" t="str">
        <f>IF(AND(G696&gt;18, G696&lt;65), "Valid", "Invalid")</f>
        <v>Invalid</v>
      </c>
      <c r="I696" t="s">
        <v>21</v>
      </c>
      <c r="J696" t="str">
        <f>PROPER(TRIM(I696))</f>
        <v>Lagos</v>
      </c>
      <c r="K696" t="s">
        <v>31</v>
      </c>
      <c r="L696" t="str">
        <f>PROPER(TRIM(K696))</f>
        <v>Sports</v>
      </c>
      <c r="M696" t="s">
        <v>32</v>
      </c>
      <c r="N696" t="str">
        <f>PROPER(TRIM(M696))</f>
        <v>Ball</v>
      </c>
      <c r="O696">
        <v>367.17</v>
      </c>
      <c r="P696">
        <v>-2</v>
      </c>
      <c r="Q696">
        <f>IF(P696&lt;1, 1, P696)</f>
        <v>1</v>
      </c>
      <c r="R696">
        <v>-10</v>
      </c>
      <c r="S696" t="str">
        <f>IF(OR(R696&lt;0,R696&gt;100),"invalid","Valid")</f>
        <v>invalid</v>
      </c>
      <c r="T696" t="s">
        <v>77</v>
      </c>
      <c r="U696" t="str">
        <f>PROPER(TRIM(T696))</f>
        <v>Cash</v>
      </c>
      <c r="V696" t="s">
        <v>25</v>
      </c>
      <c r="W696" t="str">
        <f t="shared" si="20"/>
        <v>Dan</v>
      </c>
      <c r="X696" t="s">
        <v>65</v>
      </c>
      <c r="Y696">
        <v>2</v>
      </c>
      <c r="Z696" t="str">
        <f>IF(D696="", "Missing", "ok")</f>
        <v>ok</v>
      </c>
      <c r="AA696">
        <f t="shared" si="21"/>
        <v>403.88700000000006</v>
      </c>
    </row>
    <row r="697" spans="1:27" x14ac:dyDescent="0.25">
      <c r="A697" t="s">
        <v>1873</v>
      </c>
      <c r="B697" s="1" t="s">
        <v>476</v>
      </c>
      <c r="C697" t="s">
        <v>1874</v>
      </c>
      <c r="D697" t="s">
        <v>69</v>
      </c>
      <c r="E697" t="str">
        <f>PROPER(TRIM(D697))</f>
        <v>Mary</v>
      </c>
      <c r="F697" t="s">
        <v>20</v>
      </c>
      <c r="G697">
        <v>45</v>
      </c>
      <c r="H697" t="str">
        <f>IF(AND(G697&gt;18, G697&lt;65), "Valid", "Invalid")</f>
        <v>Valid</v>
      </c>
      <c r="I697" t="s">
        <v>53</v>
      </c>
      <c r="J697" t="str">
        <f>PROPER(TRIM(I697))</f>
        <v>Lagos</v>
      </c>
      <c r="K697" t="s">
        <v>121</v>
      </c>
      <c r="L697" t="str">
        <f>PROPER(TRIM(K697))</f>
        <v>Beauty</v>
      </c>
      <c r="M697" t="s">
        <v>122</v>
      </c>
      <c r="N697" t="str">
        <f>PROPER(TRIM(M697))</f>
        <v>Cream</v>
      </c>
      <c r="O697">
        <v>128.29</v>
      </c>
      <c r="P697">
        <v>-2</v>
      </c>
      <c r="Q697">
        <f>IF(P697&lt;1, 1, P697)</f>
        <v>1</v>
      </c>
      <c r="R697">
        <v>10</v>
      </c>
      <c r="S697" t="str">
        <f>IF(OR(R697&lt;0,R697&gt;100),"invalid","Valid")</f>
        <v>Valid</v>
      </c>
      <c r="T697" t="s">
        <v>24</v>
      </c>
      <c r="U697" t="str">
        <f>PROPER(TRIM(T697))</f>
        <v>Pos</v>
      </c>
      <c r="V697" t="s">
        <v>91</v>
      </c>
      <c r="W697" t="str">
        <f t="shared" si="20"/>
        <v>Ben</v>
      </c>
      <c r="X697" t="s">
        <v>26</v>
      </c>
      <c r="Z697" t="str">
        <f>IF(D697="", "Missing", "ok")</f>
        <v>ok</v>
      </c>
      <c r="AA697">
        <f t="shared" si="21"/>
        <v>115.461</v>
      </c>
    </row>
    <row r="698" spans="1:27" x14ac:dyDescent="0.25">
      <c r="A698" t="s">
        <v>1875</v>
      </c>
      <c r="B698" s="1" t="s">
        <v>1876</v>
      </c>
      <c r="C698" t="s">
        <v>1877</v>
      </c>
      <c r="D698" t="s">
        <v>117</v>
      </c>
      <c r="E698" t="str">
        <f>PROPER(TRIM(D698))</f>
        <v>David</v>
      </c>
      <c r="F698" t="s">
        <v>46</v>
      </c>
      <c r="G698">
        <v>130</v>
      </c>
      <c r="H698" t="str">
        <f>IF(AND(G698&gt;18, G698&lt;65), "Valid", "Invalid")</f>
        <v>Invalid</v>
      </c>
      <c r="I698" t="s">
        <v>47</v>
      </c>
      <c r="J698" t="str">
        <f>PROPER(TRIM(I698))</f>
        <v>Enugu</v>
      </c>
      <c r="K698" t="s">
        <v>39</v>
      </c>
      <c r="L698" t="str">
        <f>PROPER(TRIM(K698))</f>
        <v>Electronics</v>
      </c>
      <c r="M698" t="s">
        <v>40</v>
      </c>
      <c r="N698" t="str">
        <f>PROPER(TRIM(M698))</f>
        <v>Phone</v>
      </c>
      <c r="O698">
        <v>477.78</v>
      </c>
      <c r="P698">
        <v>9</v>
      </c>
      <c r="Q698">
        <f>IF(P698&lt;1, 1, P698)</f>
        <v>9</v>
      </c>
      <c r="R698">
        <v>0</v>
      </c>
      <c r="S698" t="str">
        <f>IF(OR(R698&lt;0,R698&gt;100),"invalid","Valid")</f>
        <v>Valid</v>
      </c>
      <c r="T698" t="s">
        <v>24</v>
      </c>
      <c r="U698" t="str">
        <f>PROPER(TRIM(T698))</f>
        <v>Pos</v>
      </c>
      <c r="V698" t="s">
        <v>91</v>
      </c>
      <c r="W698" t="str">
        <f t="shared" si="20"/>
        <v>Ben</v>
      </c>
      <c r="X698" t="s">
        <v>65</v>
      </c>
      <c r="Y698">
        <v>4</v>
      </c>
      <c r="Z698" t="str">
        <f>IF(D698="", "Missing", "ok")</f>
        <v>ok</v>
      </c>
      <c r="AA698">
        <f t="shared" si="21"/>
        <v>4300.0199999999995</v>
      </c>
    </row>
    <row r="699" spans="1:27" x14ac:dyDescent="0.25">
      <c r="A699" t="s">
        <v>1878</v>
      </c>
      <c r="B699" s="1" t="s">
        <v>692</v>
      </c>
      <c r="C699" t="s">
        <v>1879</v>
      </c>
      <c r="D699" t="s">
        <v>19</v>
      </c>
      <c r="E699" t="str">
        <f>PROPER(TRIM(D699))</f>
        <v>Peter</v>
      </c>
      <c r="F699" t="s">
        <v>46</v>
      </c>
      <c r="G699">
        <v>130</v>
      </c>
      <c r="H699" t="str">
        <f>IF(AND(G699&gt;18, G699&lt;65), "Valid", "Invalid")</f>
        <v>Invalid</v>
      </c>
      <c r="I699" t="s">
        <v>86</v>
      </c>
      <c r="J699" t="str">
        <f>PROPER(TRIM(I699))</f>
        <v>Kano</v>
      </c>
      <c r="K699" t="s">
        <v>54</v>
      </c>
      <c r="L699" t="str">
        <f>PROPER(TRIM(K699))</f>
        <v>Home</v>
      </c>
      <c r="M699" t="s">
        <v>55</v>
      </c>
      <c r="N699" t="str">
        <f>PROPER(TRIM(M699))</f>
        <v>Chair</v>
      </c>
      <c r="O699">
        <v>468.25</v>
      </c>
      <c r="P699">
        <v>-2</v>
      </c>
      <c r="Q699">
        <f>IF(P699&lt;1, 1, P699)</f>
        <v>1</v>
      </c>
      <c r="R699">
        <v>10</v>
      </c>
      <c r="S699" t="str">
        <f>IF(OR(R699&lt;0,R699&gt;100),"invalid","Valid")</f>
        <v>Valid</v>
      </c>
      <c r="U699" t="str">
        <f>PROPER(TRIM(T699))</f>
        <v/>
      </c>
      <c r="V699" t="s">
        <v>81</v>
      </c>
      <c r="W699" t="str">
        <f t="shared" si="20"/>
        <v>Ada</v>
      </c>
      <c r="X699" t="s">
        <v>82</v>
      </c>
      <c r="Y699">
        <v>5</v>
      </c>
      <c r="Z699" t="str">
        <f>IF(D699="", "Missing", "ok")</f>
        <v>ok</v>
      </c>
      <c r="AA699">
        <f t="shared" si="21"/>
        <v>421.42500000000001</v>
      </c>
    </row>
    <row r="700" spans="1:27" x14ac:dyDescent="0.25">
      <c r="A700" t="s">
        <v>1880</v>
      </c>
      <c r="B700" s="1" t="s">
        <v>774</v>
      </c>
      <c r="C700" t="s">
        <v>1881</v>
      </c>
      <c r="D700" t="s">
        <v>19</v>
      </c>
      <c r="E700" t="str">
        <f>PROPER(TRIM(D700))</f>
        <v>Peter</v>
      </c>
      <c r="F700" t="s">
        <v>46</v>
      </c>
      <c r="G700">
        <v>8</v>
      </c>
      <c r="H700" t="str">
        <f>IF(AND(G700&gt;18, G700&lt;65), "Valid", "Invalid")</f>
        <v>Invalid</v>
      </c>
      <c r="I700" t="s">
        <v>30</v>
      </c>
      <c r="J700" t="str">
        <f>PROPER(TRIM(I700))</f>
        <v>Lagos</v>
      </c>
      <c r="K700" t="s">
        <v>48</v>
      </c>
      <c r="L700" t="str">
        <f>PROPER(TRIM(K700))</f>
        <v>Groceries</v>
      </c>
      <c r="M700" t="s">
        <v>49</v>
      </c>
      <c r="N700" t="str">
        <f>PROPER(TRIM(M700))</f>
        <v>Rice</v>
      </c>
      <c r="O700">
        <v>157.15</v>
      </c>
      <c r="P700">
        <v>2</v>
      </c>
      <c r="Q700">
        <f>IF(P700&lt;1, 1, P700)</f>
        <v>2</v>
      </c>
      <c r="R700">
        <v>10</v>
      </c>
      <c r="S700" t="str">
        <f>IF(OR(R700&lt;0,R700&gt;100),"invalid","Valid")</f>
        <v>Valid</v>
      </c>
      <c r="U700" t="str">
        <f>PROPER(TRIM(T700))</f>
        <v/>
      </c>
      <c r="V700" t="s">
        <v>41</v>
      </c>
      <c r="W700" t="str">
        <f t="shared" si="20"/>
        <v>Chi</v>
      </c>
      <c r="X700" t="s">
        <v>26</v>
      </c>
      <c r="Y700">
        <v>3</v>
      </c>
      <c r="Z700" t="str">
        <f>IF(D700="", "Missing", "ok")</f>
        <v>ok</v>
      </c>
      <c r="AA700">
        <f t="shared" si="21"/>
        <v>282.87</v>
      </c>
    </row>
    <row r="701" spans="1:27" x14ac:dyDescent="0.25">
      <c r="A701" t="s">
        <v>1882</v>
      </c>
      <c r="B701" s="1" t="s">
        <v>1883</v>
      </c>
      <c r="C701" t="s">
        <v>1884</v>
      </c>
      <c r="D701" t="s">
        <v>45</v>
      </c>
      <c r="E701" t="str">
        <f>PROPER(TRIM(D701))</f>
        <v>James</v>
      </c>
      <c r="F701" t="s">
        <v>46</v>
      </c>
      <c r="G701">
        <v>8</v>
      </c>
      <c r="H701" t="str">
        <f>IF(AND(G701&gt;18, G701&lt;65), "Valid", "Invalid")</f>
        <v>Invalid</v>
      </c>
      <c r="I701" t="s">
        <v>86</v>
      </c>
      <c r="J701" t="str">
        <f>PROPER(TRIM(I701))</f>
        <v>Kano</v>
      </c>
      <c r="K701" t="s">
        <v>48</v>
      </c>
      <c r="L701" t="str">
        <f>PROPER(TRIM(K701))</f>
        <v>Groceries</v>
      </c>
      <c r="M701" t="s">
        <v>49</v>
      </c>
      <c r="N701" t="str">
        <f>PROPER(TRIM(M701))</f>
        <v>Rice</v>
      </c>
      <c r="O701">
        <v>418.43</v>
      </c>
      <c r="P701">
        <v>6</v>
      </c>
      <c r="Q701">
        <f>IF(P701&lt;1, 1, P701)</f>
        <v>6</v>
      </c>
      <c r="R701">
        <v>10</v>
      </c>
      <c r="S701" t="str">
        <f>IF(OR(R701&lt;0,R701&gt;100),"invalid","Valid")</f>
        <v>Valid</v>
      </c>
      <c r="T701" t="s">
        <v>64</v>
      </c>
      <c r="U701" t="str">
        <f>PROPER(TRIM(T701))</f>
        <v>Transfer</v>
      </c>
      <c r="V701" t="s">
        <v>81</v>
      </c>
      <c r="W701" t="str">
        <f t="shared" si="20"/>
        <v>Ada</v>
      </c>
      <c r="X701" t="s">
        <v>82</v>
      </c>
      <c r="Y701">
        <v>1</v>
      </c>
      <c r="Z701" t="str">
        <f>IF(D701="", "Missing", "ok")</f>
        <v>ok</v>
      </c>
      <c r="AA701">
        <f t="shared" si="21"/>
        <v>2259.5219999999999</v>
      </c>
    </row>
    <row r="702" spans="1:27" x14ac:dyDescent="0.25">
      <c r="A702" t="s">
        <v>1885</v>
      </c>
      <c r="B702" s="1" t="s">
        <v>470</v>
      </c>
      <c r="C702" t="s">
        <v>1886</v>
      </c>
      <c r="D702" t="s">
        <v>101</v>
      </c>
      <c r="E702" t="str">
        <f>PROPER(TRIM(D702))</f>
        <v>Grace</v>
      </c>
      <c r="F702" t="s">
        <v>46</v>
      </c>
      <c r="G702">
        <v>8</v>
      </c>
      <c r="H702" t="str">
        <f>IF(AND(G702&gt;18, G702&lt;65), "Valid", "Invalid")</f>
        <v>Invalid</v>
      </c>
      <c r="I702" t="s">
        <v>47</v>
      </c>
      <c r="J702" t="str">
        <f>PROPER(TRIM(I702))</f>
        <v>Enugu</v>
      </c>
      <c r="K702" t="s">
        <v>121</v>
      </c>
      <c r="L702" t="str">
        <f>PROPER(TRIM(K702))</f>
        <v>Beauty</v>
      </c>
      <c r="M702" t="s">
        <v>122</v>
      </c>
      <c r="N702" t="str">
        <f>PROPER(TRIM(M702))</f>
        <v>Cream</v>
      </c>
      <c r="O702">
        <v>493.32</v>
      </c>
      <c r="P702">
        <v>-2</v>
      </c>
      <c r="Q702">
        <f>IF(P702&lt;1, 1, P702)</f>
        <v>1</v>
      </c>
      <c r="R702">
        <v>15</v>
      </c>
      <c r="S702" t="str">
        <f>IF(OR(R702&lt;0,R702&gt;100),"invalid","Valid")</f>
        <v>Valid</v>
      </c>
      <c r="U702" t="str">
        <f>PROPER(TRIM(T702))</f>
        <v/>
      </c>
      <c r="V702" t="s">
        <v>41</v>
      </c>
      <c r="W702" t="str">
        <f t="shared" si="20"/>
        <v>Chi</v>
      </c>
      <c r="X702" t="s">
        <v>33</v>
      </c>
      <c r="Y702">
        <v>5</v>
      </c>
      <c r="Z702" t="str">
        <f>IF(D702="", "Missing", "ok")</f>
        <v>ok</v>
      </c>
      <c r="AA702">
        <f t="shared" si="21"/>
        <v>419.322</v>
      </c>
    </row>
    <row r="703" spans="1:27" x14ac:dyDescent="0.25">
      <c r="A703" t="s">
        <v>1887</v>
      </c>
      <c r="B703" s="1" t="s">
        <v>1437</v>
      </c>
      <c r="C703" t="s">
        <v>1888</v>
      </c>
      <c r="D703" t="s">
        <v>19</v>
      </c>
      <c r="E703" t="str">
        <f>PROPER(TRIM(D703))</f>
        <v>Peter</v>
      </c>
      <c r="F703" t="s">
        <v>46</v>
      </c>
      <c r="G703">
        <v>130</v>
      </c>
      <c r="H703" t="str">
        <f>IF(AND(G703&gt;18, G703&lt;65), "Valid", "Invalid")</f>
        <v>Invalid</v>
      </c>
      <c r="I703" t="s">
        <v>21</v>
      </c>
      <c r="J703" t="str">
        <f>PROPER(TRIM(I703))</f>
        <v>Lagos</v>
      </c>
      <c r="K703" t="s">
        <v>39</v>
      </c>
      <c r="L703" t="str">
        <f>PROPER(TRIM(K703))</f>
        <v>Electronics</v>
      </c>
      <c r="M703" t="s">
        <v>40</v>
      </c>
      <c r="N703" t="str">
        <f>PROPER(TRIM(M703))</f>
        <v>Phone</v>
      </c>
      <c r="O703">
        <v>245.82</v>
      </c>
      <c r="P703">
        <v>-2</v>
      </c>
      <c r="Q703">
        <f>IF(P703&lt;1, 1, P703)</f>
        <v>1</v>
      </c>
      <c r="R703">
        <v>0</v>
      </c>
      <c r="S703" t="str">
        <f>IF(OR(R703&lt;0,R703&gt;100),"invalid","Valid")</f>
        <v>Valid</v>
      </c>
      <c r="U703" t="str">
        <f>PROPER(TRIM(T703))</f>
        <v/>
      </c>
      <c r="V703" t="s">
        <v>25</v>
      </c>
      <c r="W703" t="str">
        <f t="shared" si="20"/>
        <v>Dan</v>
      </c>
      <c r="X703" t="s">
        <v>26</v>
      </c>
      <c r="Z703" t="str">
        <f>IF(D703="", "Missing", "ok")</f>
        <v>ok</v>
      </c>
      <c r="AA703">
        <f t="shared" si="21"/>
        <v>245.82</v>
      </c>
    </row>
    <row r="704" spans="1:27" x14ac:dyDescent="0.25">
      <c r="A704" t="s">
        <v>1889</v>
      </c>
      <c r="B704" s="1" t="s">
        <v>841</v>
      </c>
      <c r="C704" t="s">
        <v>1890</v>
      </c>
      <c r="E704" t="str">
        <f>PROPER(TRIM(D704))</f>
        <v/>
      </c>
      <c r="F704" t="s">
        <v>20</v>
      </c>
      <c r="G704">
        <v>8</v>
      </c>
      <c r="H704" t="str">
        <f>IF(AND(G704&gt;18, G704&lt;65), "Valid", "Invalid")</f>
        <v>Invalid</v>
      </c>
      <c r="I704" t="s">
        <v>53</v>
      </c>
      <c r="J704" t="str">
        <f>PROPER(TRIM(I704))</f>
        <v>Lagos</v>
      </c>
      <c r="K704" t="s">
        <v>54</v>
      </c>
      <c r="L704" t="str">
        <f>PROPER(TRIM(K704))</f>
        <v>Home</v>
      </c>
      <c r="M704" t="s">
        <v>55</v>
      </c>
      <c r="N704" t="str">
        <f>PROPER(TRIM(M704))</f>
        <v>Chair</v>
      </c>
      <c r="O704">
        <v>153.78</v>
      </c>
      <c r="P704">
        <v>-2</v>
      </c>
      <c r="Q704">
        <f>IF(P704&lt;1, 1, P704)</f>
        <v>1</v>
      </c>
      <c r="R704">
        <v>10</v>
      </c>
      <c r="S704" t="str">
        <f>IF(OR(R704&lt;0,R704&gt;100),"invalid","Valid")</f>
        <v>Valid</v>
      </c>
      <c r="U704" t="str">
        <f>PROPER(TRIM(T704))</f>
        <v/>
      </c>
      <c r="V704" t="s">
        <v>91</v>
      </c>
      <c r="W704" t="str">
        <f t="shared" si="20"/>
        <v>Ben</v>
      </c>
      <c r="X704" t="s">
        <v>65</v>
      </c>
      <c r="Y704">
        <v>2</v>
      </c>
      <c r="Z704" t="str">
        <f>IF(D704="", "Missing", "ok")</f>
        <v>Missing</v>
      </c>
      <c r="AA704">
        <f t="shared" si="21"/>
        <v>138.40200000000002</v>
      </c>
    </row>
    <row r="705" spans="1:27" x14ac:dyDescent="0.25">
      <c r="A705" t="s">
        <v>1891</v>
      </c>
      <c r="B705" s="1" t="s">
        <v>1892</v>
      </c>
      <c r="C705" t="s">
        <v>1893</v>
      </c>
      <c r="E705" t="str">
        <f>PROPER(TRIM(D705))</f>
        <v/>
      </c>
      <c r="F705" t="s">
        <v>20</v>
      </c>
      <c r="G705">
        <v>8</v>
      </c>
      <c r="H705" t="str">
        <f>IF(AND(G705&gt;18, G705&lt;65), "Valid", "Invalid")</f>
        <v>Invalid</v>
      </c>
      <c r="I705" t="s">
        <v>86</v>
      </c>
      <c r="J705" t="str">
        <f>PROPER(TRIM(I705))</f>
        <v>Kano</v>
      </c>
      <c r="K705" t="s">
        <v>121</v>
      </c>
      <c r="L705" t="str">
        <f>PROPER(TRIM(K705))</f>
        <v>Beauty</v>
      </c>
      <c r="M705" t="s">
        <v>122</v>
      </c>
      <c r="N705" t="str">
        <f>PROPER(TRIM(M705))</f>
        <v>Cream</v>
      </c>
      <c r="O705">
        <v>111.3</v>
      </c>
      <c r="P705">
        <v>-2</v>
      </c>
      <c r="Q705">
        <f>IF(P705&lt;1, 1, P705)</f>
        <v>1</v>
      </c>
      <c r="R705">
        <v>0</v>
      </c>
      <c r="S705" t="str">
        <f>IF(OR(R705&lt;0,R705&gt;100),"invalid","Valid")</f>
        <v>Valid</v>
      </c>
      <c r="T705" t="s">
        <v>24</v>
      </c>
      <c r="U705" t="str">
        <f>PROPER(TRIM(T705))</f>
        <v>Pos</v>
      </c>
      <c r="V705" t="s">
        <v>41</v>
      </c>
      <c r="W705" t="str">
        <f t="shared" si="20"/>
        <v>Chi</v>
      </c>
      <c r="X705" t="s">
        <v>33</v>
      </c>
      <c r="Y705">
        <v>1</v>
      </c>
      <c r="Z705" t="str">
        <f>IF(D705="", "Missing", "ok")</f>
        <v>Missing</v>
      </c>
      <c r="AA705">
        <f t="shared" si="21"/>
        <v>111.3</v>
      </c>
    </row>
    <row r="706" spans="1:27" x14ac:dyDescent="0.25">
      <c r="A706" t="s">
        <v>1894</v>
      </c>
      <c r="B706" s="1" t="s">
        <v>1895</v>
      </c>
      <c r="C706" t="s">
        <v>1896</v>
      </c>
      <c r="D706" t="s">
        <v>37</v>
      </c>
      <c r="E706" t="str">
        <f>PROPER(TRIM(D706))</f>
        <v>Aisha</v>
      </c>
      <c r="F706" t="s">
        <v>46</v>
      </c>
      <c r="G706">
        <v>8</v>
      </c>
      <c r="H706" t="str">
        <f>IF(AND(G706&gt;18, G706&lt;65), "Valid", "Invalid")</f>
        <v>Invalid</v>
      </c>
      <c r="I706" t="s">
        <v>47</v>
      </c>
      <c r="J706" t="str">
        <f>PROPER(TRIM(I706))</f>
        <v>Enugu</v>
      </c>
      <c r="K706" t="s">
        <v>31</v>
      </c>
      <c r="L706" t="str">
        <f>PROPER(TRIM(K706))</f>
        <v>Sports</v>
      </c>
      <c r="M706" t="s">
        <v>32</v>
      </c>
      <c r="N706" t="str">
        <f>PROPER(TRIM(M706))</f>
        <v>Ball</v>
      </c>
      <c r="O706">
        <v>335.06</v>
      </c>
      <c r="P706">
        <v>8</v>
      </c>
      <c r="Q706">
        <f>IF(P706&lt;1, 1, P706)</f>
        <v>8</v>
      </c>
      <c r="R706">
        <v>5</v>
      </c>
      <c r="S706" t="str">
        <f>IF(OR(R706&lt;0,R706&gt;100),"invalid","Valid")</f>
        <v>Valid</v>
      </c>
      <c r="T706" t="s">
        <v>24</v>
      </c>
      <c r="U706" t="str">
        <f>PROPER(TRIM(T706))</f>
        <v>Pos</v>
      </c>
      <c r="V706" t="s">
        <v>81</v>
      </c>
      <c r="W706" t="str">
        <f t="shared" ref="W706:W769" si="22">PROPER(TRIM(V706))</f>
        <v>Ada</v>
      </c>
      <c r="X706" t="s">
        <v>26</v>
      </c>
      <c r="Y706">
        <v>3</v>
      </c>
      <c r="Z706" t="str">
        <f>IF(D706="", "Missing", "ok")</f>
        <v>ok</v>
      </c>
      <c r="AA706">
        <f t="shared" si="21"/>
        <v>2546.4559999999997</v>
      </c>
    </row>
    <row r="707" spans="1:27" x14ac:dyDescent="0.25">
      <c r="A707" t="s">
        <v>1897</v>
      </c>
      <c r="B707" s="1" t="s">
        <v>170</v>
      </c>
      <c r="C707" t="s">
        <v>1898</v>
      </c>
      <c r="E707" t="str">
        <f>PROPER(TRIM(D707))</f>
        <v/>
      </c>
      <c r="F707" t="s">
        <v>20</v>
      </c>
      <c r="G707">
        <v>8</v>
      </c>
      <c r="H707" t="str">
        <f>IF(AND(G707&gt;18, G707&lt;65), "Valid", "Invalid")</f>
        <v>Invalid</v>
      </c>
      <c r="I707" t="s">
        <v>70</v>
      </c>
      <c r="J707" t="str">
        <f>PROPER(TRIM(I707))</f>
        <v>Abuja</v>
      </c>
      <c r="K707" t="s">
        <v>121</v>
      </c>
      <c r="L707" t="str">
        <f>PROPER(TRIM(K707))</f>
        <v>Beauty</v>
      </c>
      <c r="M707" t="s">
        <v>122</v>
      </c>
      <c r="N707" t="str">
        <f>PROPER(TRIM(M707))</f>
        <v>Cream</v>
      </c>
      <c r="O707">
        <v>70.39</v>
      </c>
      <c r="P707">
        <v>-2</v>
      </c>
      <c r="Q707">
        <f>IF(P707&lt;1, 1, P707)</f>
        <v>1</v>
      </c>
      <c r="R707">
        <v>10</v>
      </c>
      <c r="S707" t="str">
        <f>IF(OR(R707&lt;0,R707&gt;100),"invalid","Valid")</f>
        <v>Valid</v>
      </c>
      <c r="T707" t="s">
        <v>77</v>
      </c>
      <c r="U707" t="str">
        <f>PROPER(TRIM(T707))</f>
        <v>Cash</v>
      </c>
      <c r="V707" t="s">
        <v>41</v>
      </c>
      <c r="W707" t="str">
        <f t="shared" si="22"/>
        <v>Chi</v>
      </c>
      <c r="X707" t="s">
        <v>33</v>
      </c>
      <c r="Y707">
        <v>1</v>
      </c>
      <c r="Z707" t="str">
        <f>IF(D707="", "Missing", "ok")</f>
        <v>Missing</v>
      </c>
      <c r="AA707">
        <f t="shared" ref="AA707:AA770" si="23">(O707*Q707)*(1-R707/100)</f>
        <v>63.350999999999999</v>
      </c>
    </row>
    <row r="708" spans="1:27" x14ac:dyDescent="0.25">
      <c r="A708" t="s">
        <v>1899</v>
      </c>
      <c r="B708" s="1" t="s">
        <v>1900</v>
      </c>
      <c r="C708" t="s">
        <v>1901</v>
      </c>
      <c r="D708" t="s">
        <v>69</v>
      </c>
      <c r="E708" t="str">
        <f>PROPER(TRIM(D708))</f>
        <v>Mary</v>
      </c>
      <c r="F708" t="s">
        <v>20</v>
      </c>
      <c r="G708">
        <v>130</v>
      </c>
      <c r="H708" t="str">
        <f>IF(AND(G708&gt;18, G708&lt;65), "Valid", "Invalid")</f>
        <v>Invalid</v>
      </c>
      <c r="I708" t="s">
        <v>21</v>
      </c>
      <c r="J708" t="str">
        <f>PROPER(TRIM(I708))</f>
        <v>Lagos</v>
      </c>
      <c r="K708" t="s">
        <v>31</v>
      </c>
      <c r="L708" t="str">
        <f>PROPER(TRIM(K708))</f>
        <v>Sports</v>
      </c>
      <c r="M708" t="s">
        <v>32</v>
      </c>
      <c r="N708" t="str">
        <f>PROPER(TRIM(M708))</f>
        <v>Ball</v>
      </c>
      <c r="O708">
        <v>142.19</v>
      </c>
      <c r="P708">
        <v>10</v>
      </c>
      <c r="Q708">
        <f>IF(P708&lt;1, 1, P708)</f>
        <v>10</v>
      </c>
      <c r="R708">
        <v>120</v>
      </c>
      <c r="S708" t="str">
        <f>IF(OR(R708&lt;0,R708&gt;100),"invalid","Valid")</f>
        <v>invalid</v>
      </c>
      <c r="T708" t="s">
        <v>59</v>
      </c>
      <c r="U708" t="str">
        <f>PROPER(TRIM(T708))</f>
        <v>Mobile Money</v>
      </c>
      <c r="V708" t="s">
        <v>25</v>
      </c>
      <c r="W708" t="str">
        <f t="shared" si="22"/>
        <v>Dan</v>
      </c>
      <c r="X708" t="s">
        <v>82</v>
      </c>
      <c r="Y708">
        <v>2</v>
      </c>
      <c r="Z708" t="str">
        <f>IF(D708="", "Missing", "ok")</f>
        <v>ok</v>
      </c>
      <c r="AA708">
        <f t="shared" si="23"/>
        <v>-284.37999999999994</v>
      </c>
    </row>
    <row r="709" spans="1:27" x14ac:dyDescent="0.25">
      <c r="A709" t="s">
        <v>1902</v>
      </c>
      <c r="B709" s="1" t="s">
        <v>470</v>
      </c>
      <c r="C709" t="s">
        <v>1903</v>
      </c>
      <c r="D709" t="s">
        <v>63</v>
      </c>
      <c r="E709" t="str">
        <f>PROPER(TRIM(D709))</f>
        <v>John</v>
      </c>
      <c r="F709" t="s">
        <v>46</v>
      </c>
      <c r="G709">
        <v>58</v>
      </c>
      <c r="H709" t="str">
        <f>IF(AND(G709&gt;18, G709&lt;65), "Valid", "Invalid")</f>
        <v>Valid</v>
      </c>
      <c r="I709" t="s">
        <v>53</v>
      </c>
      <c r="J709" t="str">
        <f>PROPER(TRIM(I709))</f>
        <v>Lagos</v>
      </c>
      <c r="K709" t="s">
        <v>54</v>
      </c>
      <c r="L709" t="str">
        <f>PROPER(TRIM(K709))</f>
        <v>Home</v>
      </c>
      <c r="M709" t="s">
        <v>55</v>
      </c>
      <c r="N709" t="str">
        <f>PROPER(TRIM(M709))</f>
        <v>Chair</v>
      </c>
      <c r="O709">
        <v>49.38</v>
      </c>
      <c r="P709">
        <v>-2</v>
      </c>
      <c r="Q709">
        <f>IF(P709&lt;1, 1, P709)</f>
        <v>1</v>
      </c>
      <c r="R709">
        <v>15</v>
      </c>
      <c r="S709" t="str">
        <f>IF(OR(R709&lt;0,R709&gt;100),"invalid","Valid")</f>
        <v>Valid</v>
      </c>
      <c r="T709" t="s">
        <v>64</v>
      </c>
      <c r="U709" t="str">
        <f>PROPER(TRIM(T709))</f>
        <v>Transfer</v>
      </c>
      <c r="V709" t="s">
        <v>81</v>
      </c>
      <c r="W709" t="str">
        <f t="shared" si="22"/>
        <v>Ada</v>
      </c>
      <c r="X709" t="s">
        <v>82</v>
      </c>
      <c r="Y709">
        <v>3</v>
      </c>
      <c r="Z709" t="str">
        <f>IF(D709="", "Missing", "ok")</f>
        <v>ok</v>
      </c>
      <c r="AA709">
        <f t="shared" si="23"/>
        <v>41.972999999999999</v>
      </c>
    </row>
    <row r="710" spans="1:27" x14ac:dyDescent="0.25">
      <c r="A710" t="s">
        <v>1904</v>
      </c>
      <c r="B710" s="1" t="s">
        <v>106</v>
      </c>
      <c r="C710" t="s">
        <v>1905</v>
      </c>
      <c r="D710" t="s">
        <v>63</v>
      </c>
      <c r="E710" t="str">
        <f>PROPER(TRIM(D710))</f>
        <v>John</v>
      </c>
      <c r="F710" t="s">
        <v>20</v>
      </c>
      <c r="G710">
        <v>8</v>
      </c>
      <c r="H710" t="str">
        <f>IF(AND(G710&gt;18, G710&lt;65), "Valid", "Invalid")</f>
        <v>Invalid</v>
      </c>
      <c r="I710" t="s">
        <v>86</v>
      </c>
      <c r="J710" t="str">
        <f>PROPER(TRIM(I710))</f>
        <v>Kano</v>
      </c>
      <c r="K710" t="s">
        <v>54</v>
      </c>
      <c r="L710" t="str">
        <f>PROPER(TRIM(K710))</f>
        <v>Home</v>
      </c>
      <c r="M710" t="s">
        <v>55</v>
      </c>
      <c r="N710" t="str">
        <f>PROPER(TRIM(M710))</f>
        <v>Chair</v>
      </c>
      <c r="O710">
        <v>459.67</v>
      </c>
      <c r="P710">
        <v>-2</v>
      </c>
      <c r="Q710">
        <f>IF(P710&lt;1, 1, P710)</f>
        <v>1</v>
      </c>
      <c r="R710">
        <v>0</v>
      </c>
      <c r="S710" t="str">
        <f>IF(OR(R710&lt;0,R710&gt;100),"invalid","Valid")</f>
        <v>Valid</v>
      </c>
      <c r="T710" t="s">
        <v>77</v>
      </c>
      <c r="U710" t="str">
        <f>PROPER(TRIM(T710))</f>
        <v>Cash</v>
      </c>
      <c r="V710" t="s">
        <v>91</v>
      </c>
      <c r="W710" t="str">
        <f t="shared" si="22"/>
        <v>Ben</v>
      </c>
      <c r="X710" t="s">
        <v>65</v>
      </c>
      <c r="Y710">
        <v>2</v>
      </c>
      <c r="Z710" t="str">
        <f>IF(D710="", "Missing", "ok")</f>
        <v>ok</v>
      </c>
      <c r="AA710">
        <f t="shared" si="23"/>
        <v>459.67</v>
      </c>
    </row>
    <row r="711" spans="1:27" x14ac:dyDescent="0.25">
      <c r="A711" t="s">
        <v>1906</v>
      </c>
      <c r="B711" s="1" t="s">
        <v>1039</v>
      </c>
      <c r="C711" t="s">
        <v>1907</v>
      </c>
      <c r="D711" t="s">
        <v>37</v>
      </c>
      <c r="E711" t="str">
        <f>PROPER(TRIM(D711))</f>
        <v>Aisha</v>
      </c>
      <c r="F711" t="s">
        <v>20</v>
      </c>
      <c r="G711">
        <v>130</v>
      </c>
      <c r="H711" t="str">
        <f>IF(AND(G711&gt;18, G711&lt;65), "Valid", "Invalid")</f>
        <v>Invalid</v>
      </c>
      <c r="I711" t="s">
        <v>47</v>
      </c>
      <c r="J711" t="str">
        <f>PROPER(TRIM(I711))</f>
        <v>Enugu</v>
      </c>
      <c r="K711" t="s">
        <v>31</v>
      </c>
      <c r="L711" t="str">
        <f>PROPER(TRIM(K711))</f>
        <v>Sports</v>
      </c>
      <c r="M711" t="s">
        <v>32</v>
      </c>
      <c r="N711" t="str">
        <f>PROPER(TRIM(M711))</f>
        <v>Ball</v>
      </c>
      <c r="O711">
        <v>214.46</v>
      </c>
      <c r="P711">
        <v>6</v>
      </c>
      <c r="Q711">
        <f>IF(P711&lt;1, 1, P711)</f>
        <v>6</v>
      </c>
      <c r="R711">
        <v>5</v>
      </c>
      <c r="S711" t="str">
        <f>IF(OR(R711&lt;0,R711&gt;100),"invalid","Valid")</f>
        <v>Valid</v>
      </c>
      <c r="T711" t="s">
        <v>64</v>
      </c>
      <c r="U711" t="str">
        <f>PROPER(TRIM(T711))</f>
        <v>Transfer</v>
      </c>
      <c r="V711" t="s">
        <v>81</v>
      </c>
      <c r="W711" t="str">
        <f t="shared" si="22"/>
        <v>Ada</v>
      </c>
      <c r="X711" t="s">
        <v>26</v>
      </c>
      <c r="Y711">
        <v>2</v>
      </c>
      <c r="Z711" t="str">
        <f>IF(D711="", "Missing", "ok")</f>
        <v>ok</v>
      </c>
      <c r="AA711">
        <f t="shared" si="23"/>
        <v>1222.422</v>
      </c>
    </row>
    <row r="712" spans="1:27" x14ac:dyDescent="0.25">
      <c r="A712" t="s">
        <v>1908</v>
      </c>
      <c r="B712" s="1" t="s">
        <v>1909</v>
      </c>
      <c r="C712" t="s">
        <v>1910</v>
      </c>
      <c r="E712" t="str">
        <f>PROPER(TRIM(D712))</f>
        <v/>
      </c>
      <c r="F712" t="s">
        <v>20</v>
      </c>
      <c r="G712">
        <v>35</v>
      </c>
      <c r="H712" t="str">
        <f>IF(AND(G712&gt;18, G712&lt;65), "Valid", "Invalid")</f>
        <v>Valid</v>
      </c>
      <c r="I712" t="s">
        <v>86</v>
      </c>
      <c r="J712" t="str">
        <f>PROPER(TRIM(I712))</f>
        <v>Kano</v>
      </c>
      <c r="K712" t="s">
        <v>54</v>
      </c>
      <c r="L712" t="str">
        <f>PROPER(TRIM(K712))</f>
        <v>Home</v>
      </c>
      <c r="M712" t="s">
        <v>55</v>
      </c>
      <c r="N712" t="str">
        <f>PROPER(TRIM(M712))</f>
        <v>Chair</v>
      </c>
      <c r="O712">
        <v>124.65</v>
      </c>
      <c r="P712">
        <v>6</v>
      </c>
      <c r="Q712">
        <f>IF(P712&lt;1, 1, P712)</f>
        <v>6</v>
      </c>
      <c r="R712">
        <v>10</v>
      </c>
      <c r="S712" t="str">
        <f>IF(OR(R712&lt;0,R712&gt;100),"invalid","Valid")</f>
        <v>Valid</v>
      </c>
      <c r="T712" t="s">
        <v>77</v>
      </c>
      <c r="U712" t="str">
        <f>PROPER(TRIM(T712))</f>
        <v>Cash</v>
      </c>
      <c r="V712" t="s">
        <v>91</v>
      </c>
      <c r="W712" t="str">
        <f t="shared" si="22"/>
        <v>Ben</v>
      </c>
      <c r="X712" t="s">
        <v>33</v>
      </c>
      <c r="Y712">
        <v>5</v>
      </c>
      <c r="Z712" t="str">
        <f>IF(D712="", "Missing", "ok")</f>
        <v>Missing</v>
      </c>
      <c r="AA712">
        <f t="shared" si="23"/>
        <v>673.11000000000013</v>
      </c>
    </row>
    <row r="713" spans="1:27" x14ac:dyDescent="0.25">
      <c r="A713" t="s">
        <v>1911</v>
      </c>
      <c r="B713" s="1" t="s">
        <v>226</v>
      </c>
      <c r="C713" t="s">
        <v>1912</v>
      </c>
      <c r="D713" t="s">
        <v>117</v>
      </c>
      <c r="E713" t="str">
        <f>PROPER(TRIM(D713))</f>
        <v>David</v>
      </c>
      <c r="F713" t="s">
        <v>20</v>
      </c>
      <c r="G713">
        <v>130</v>
      </c>
      <c r="H713" t="str">
        <f>IF(AND(G713&gt;18, G713&lt;65), "Valid", "Invalid")</f>
        <v>Invalid</v>
      </c>
      <c r="I713" t="s">
        <v>30</v>
      </c>
      <c r="J713" t="str">
        <f>PROPER(TRIM(I713))</f>
        <v>Lagos</v>
      </c>
      <c r="K713" t="s">
        <v>54</v>
      </c>
      <c r="L713" t="str">
        <f>PROPER(TRIM(K713))</f>
        <v>Home</v>
      </c>
      <c r="M713" t="s">
        <v>55</v>
      </c>
      <c r="N713" t="str">
        <f>PROPER(TRIM(M713))</f>
        <v>Chair</v>
      </c>
      <c r="O713">
        <v>408.47</v>
      </c>
      <c r="P713">
        <v>-2</v>
      </c>
      <c r="Q713">
        <f>IF(P713&lt;1, 1, P713)</f>
        <v>1</v>
      </c>
      <c r="R713">
        <v>10</v>
      </c>
      <c r="S713" t="str">
        <f>IF(OR(R713&lt;0,R713&gt;100),"invalid","Valid")</f>
        <v>Valid</v>
      </c>
      <c r="U713" t="str">
        <f>PROPER(TRIM(T713))</f>
        <v/>
      </c>
      <c r="V713" t="s">
        <v>81</v>
      </c>
      <c r="W713" t="str">
        <f t="shared" si="22"/>
        <v>Ada</v>
      </c>
      <c r="X713" t="s">
        <v>33</v>
      </c>
      <c r="Y713">
        <v>2</v>
      </c>
      <c r="Z713" t="str">
        <f>IF(D713="", "Missing", "ok")</f>
        <v>ok</v>
      </c>
      <c r="AA713">
        <f t="shared" si="23"/>
        <v>367.62300000000005</v>
      </c>
    </row>
    <row r="714" spans="1:27" x14ac:dyDescent="0.25">
      <c r="A714" t="s">
        <v>1913</v>
      </c>
      <c r="B714" s="1" t="s">
        <v>791</v>
      </c>
      <c r="C714" t="s">
        <v>1914</v>
      </c>
      <c r="E714" t="str">
        <f>PROPER(TRIM(D714))</f>
        <v/>
      </c>
      <c r="F714" t="s">
        <v>46</v>
      </c>
      <c r="G714">
        <v>8</v>
      </c>
      <c r="H714" t="str">
        <f>IF(AND(G714&gt;18, G714&lt;65), "Valid", "Invalid")</f>
        <v>Invalid</v>
      </c>
      <c r="I714" t="s">
        <v>21</v>
      </c>
      <c r="J714" t="str">
        <f>PROPER(TRIM(I714))</f>
        <v>Lagos</v>
      </c>
      <c r="K714" t="s">
        <v>22</v>
      </c>
      <c r="L714" t="str">
        <f>PROPER(TRIM(K714))</f>
        <v>Fashion</v>
      </c>
      <c r="M714" t="s">
        <v>23</v>
      </c>
      <c r="N714" t="str">
        <f>PROPER(TRIM(M714))</f>
        <v>Shirt</v>
      </c>
      <c r="O714">
        <v>221.28</v>
      </c>
      <c r="P714">
        <v>-2</v>
      </c>
      <c r="Q714">
        <f>IF(P714&lt;1, 1, P714)</f>
        <v>1</v>
      </c>
      <c r="R714">
        <v>120</v>
      </c>
      <c r="S714" t="str">
        <f>IF(OR(R714&lt;0,R714&gt;100),"invalid","Valid")</f>
        <v>invalid</v>
      </c>
      <c r="U714" t="str">
        <f>PROPER(TRIM(T714))</f>
        <v/>
      </c>
      <c r="V714" t="s">
        <v>41</v>
      </c>
      <c r="W714" t="str">
        <f t="shared" si="22"/>
        <v>Chi</v>
      </c>
      <c r="X714" t="s">
        <v>65</v>
      </c>
      <c r="Y714">
        <v>3</v>
      </c>
      <c r="Z714" t="str">
        <f>IF(D714="", "Missing", "ok")</f>
        <v>Missing</v>
      </c>
      <c r="AA714">
        <f t="shared" si="23"/>
        <v>-44.255999999999993</v>
      </c>
    </row>
    <row r="715" spans="1:27" x14ac:dyDescent="0.25">
      <c r="A715" t="s">
        <v>1915</v>
      </c>
      <c r="B715" s="1" t="s">
        <v>341</v>
      </c>
      <c r="C715" t="s">
        <v>1916</v>
      </c>
      <c r="D715" t="s">
        <v>117</v>
      </c>
      <c r="E715" t="str">
        <f>PROPER(TRIM(D715))</f>
        <v>David</v>
      </c>
      <c r="F715" t="s">
        <v>20</v>
      </c>
      <c r="G715">
        <v>21</v>
      </c>
      <c r="H715" t="str">
        <f>IF(AND(G715&gt;18, G715&lt;65), "Valid", "Invalid")</f>
        <v>Valid</v>
      </c>
      <c r="I715" t="s">
        <v>38</v>
      </c>
      <c r="J715" t="str">
        <f>PROPER(TRIM(I715))</f>
        <v>Ph</v>
      </c>
      <c r="K715" t="s">
        <v>121</v>
      </c>
      <c r="L715" t="str">
        <f>PROPER(TRIM(K715))</f>
        <v>Beauty</v>
      </c>
      <c r="M715" t="s">
        <v>122</v>
      </c>
      <c r="N715" t="str">
        <f>PROPER(TRIM(M715))</f>
        <v>Cream</v>
      </c>
      <c r="O715">
        <v>202.07</v>
      </c>
      <c r="P715">
        <v>-2</v>
      </c>
      <c r="Q715">
        <f>IF(P715&lt;1, 1, P715)</f>
        <v>1</v>
      </c>
      <c r="R715">
        <v>0</v>
      </c>
      <c r="S715" t="str">
        <f>IF(OR(R715&lt;0,R715&gt;100),"invalid","Valid")</f>
        <v>Valid</v>
      </c>
      <c r="U715" t="str">
        <f>PROPER(TRIM(T715))</f>
        <v/>
      </c>
      <c r="V715" t="s">
        <v>41</v>
      </c>
      <c r="W715" t="str">
        <f t="shared" si="22"/>
        <v>Chi</v>
      </c>
      <c r="X715" t="s">
        <v>33</v>
      </c>
      <c r="Y715">
        <v>5</v>
      </c>
      <c r="Z715" t="str">
        <f>IF(D715="", "Missing", "ok")</f>
        <v>ok</v>
      </c>
      <c r="AA715">
        <f t="shared" si="23"/>
        <v>202.07</v>
      </c>
    </row>
    <row r="716" spans="1:27" x14ac:dyDescent="0.25">
      <c r="A716" t="s">
        <v>1917</v>
      </c>
      <c r="B716" s="1" t="s">
        <v>443</v>
      </c>
      <c r="C716" t="s">
        <v>1918</v>
      </c>
      <c r="D716" t="s">
        <v>117</v>
      </c>
      <c r="E716" t="str">
        <f>PROPER(TRIM(D716))</f>
        <v>David</v>
      </c>
      <c r="F716" t="s">
        <v>20</v>
      </c>
      <c r="G716">
        <v>130</v>
      </c>
      <c r="H716" t="str">
        <f>IF(AND(G716&gt;18, G716&lt;65), "Valid", "Invalid")</f>
        <v>Invalid</v>
      </c>
      <c r="I716" t="s">
        <v>47</v>
      </c>
      <c r="J716" t="str">
        <f>PROPER(TRIM(I716))</f>
        <v>Enugu</v>
      </c>
      <c r="K716" t="s">
        <v>22</v>
      </c>
      <c r="L716" t="str">
        <f>PROPER(TRIM(K716))</f>
        <v>Fashion</v>
      </c>
      <c r="M716" t="s">
        <v>23</v>
      </c>
      <c r="N716" t="str">
        <f>PROPER(TRIM(M716))</f>
        <v>Shirt</v>
      </c>
      <c r="O716">
        <v>134.79</v>
      </c>
      <c r="P716">
        <v>7</v>
      </c>
      <c r="Q716">
        <f>IF(P716&lt;1, 1, P716)</f>
        <v>7</v>
      </c>
      <c r="R716">
        <v>10</v>
      </c>
      <c r="S716" t="str">
        <f>IF(OR(R716&lt;0,R716&gt;100),"invalid","Valid")</f>
        <v>Valid</v>
      </c>
      <c r="U716" t="str">
        <f>PROPER(TRIM(T716))</f>
        <v/>
      </c>
      <c r="V716" t="s">
        <v>25</v>
      </c>
      <c r="W716" t="str">
        <f t="shared" si="22"/>
        <v>Dan</v>
      </c>
      <c r="X716" t="s">
        <v>33</v>
      </c>
      <c r="Y716">
        <v>1</v>
      </c>
      <c r="Z716" t="str">
        <f>IF(D716="", "Missing", "ok")</f>
        <v>ok</v>
      </c>
      <c r="AA716">
        <f t="shared" si="23"/>
        <v>849.17700000000002</v>
      </c>
    </row>
    <row r="717" spans="1:27" x14ac:dyDescent="0.25">
      <c r="A717" t="s">
        <v>1919</v>
      </c>
      <c r="B717" s="1" t="s">
        <v>1349</v>
      </c>
      <c r="C717" t="s">
        <v>1920</v>
      </c>
      <c r="D717" t="s">
        <v>63</v>
      </c>
      <c r="E717" t="str">
        <f>PROPER(TRIM(D717))</f>
        <v>John</v>
      </c>
      <c r="F717" t="s">
        <v>20</v>
      </c>
      <c r="G717">
        <v>8</v>
      </c>
      <c r="H717" t="str">
        <f>IF(AND(G717&gt;18, G717&lt;65), "Valid", "Invalid")</f>
        <v>Invalid</v>
      </c>
      <c r="I717" t="s">
        <v>21</v>
      </c>
      <c r="J717" t="str">
        <f>PROPER(TRIM(I717))</f>
        <v>Lagos</v>
      </c>
      <c r="K717" t="s">
        <v>87</v>
      </c>
      <c r="L717" t="str">
        <f>PROPER(TRIM(K717))</f>
        <v>Groceris</v>
      </c>
      <c r="M717" t="s">
        <v>49</v>
      </c>
      <c r="N717" t="str">
        <f>PROPER(TRIM(M717))</f>
        <v>Rice</v>
      </c>
      <c r="O717">
        <v>340.37</v>
      </c>
      <c r="P717">
        <v>2</v>
      </c>
      <c r="Q717">
        <f>IF(P717&lt;1, 1, P717)</f>
        <v>2</v>
      </c>
      <c r="R717">
        <v>10</v>
      </c>
      <c r="S717" t="str">
        <f>IF(OR(R717&lt;0,R717&gt;100),"invalid","Valid")</f>
        <v>Valid</v>
      </c>
      <c r="T717" t="s">
        <v>24</v>
      </c>
      <c r="U717" t="str">
        <f>PROPER(TRIM(T717))</f>
        <v>Pos</v>
      </c>
      <c r="V717" t="s">
        <v>81</v>
      </c>
      <c r="W717" t="str">
        <f t="shared" si="22"/>
        <v>Ada</v>
      </c>
      <c r="X717" t="s">
        <v>33</v>
      </c>
      <c r="Y717">
        <v>2</v>
      </c>
      <c r="Z717" t="str">
        <f>IF(D717="", "Missing", "ok")</f>
        <v>ok</v>
      </c>
      <c r="AA717">
        <f t="shared" si="23"/>
        <v>612.66600000000005</v>
      </c>
    </row>
    <row r="718" spans="1:27" x14ac:dyDescent="0.25">
      <c r="A718" t="s">
        <v>1921</v>
      </c>
      <c r="B718" s="1" t="s">
        <v>226</v>
      </c>
      <c r="C718" t="s">
        <v>1613</v>
      </c>
      <c r="D718" t="s">
        <v>69</v>
      </c>
      <c r="E718" t="str">
        <f>PROPER(TRIM(D718))</f>
        <v>Mary</v>
      </c>
      <c r="F718" t="s">
        <v>46</v>
      </c>
      <c r="G718">
        <v>130</v>
      </c>
      <c r="H718" t="str">
        <f>IF(AND(G718&gt;18, G718&lt;65), "Valid", "Invalid")</f>
        <v>Invalid</v>
      </c>
      <c r="I718" t="s">
        <v>53</v>
      </c>
      <c r="J718" t="str">
        <f>PROPER(TRIM(I718))</f>
        <v>Lagos</v>
      </c>
      <c r="K718" t="s">
        <v>31</v>
      </c>
      <c r="L718" t="str">
        <f>PROPER(TRIM(K718))</f>
        <v>Sports</v>
      </c>
      <c r="M718" t="s">
        <v>32</v>
      </c>
      <c r="N718" t="str">
        <f>PROPER(TRIM(M718))</f>
        <v>Ball</v>
      </c>
      <c r="O718">
        <v>140.34</v>
      </c>
      <c r="P718">
        <v>-2</v>
      </c>
      <c r="Q718">
        <f>IF(P718&lt;1, 1, P718)</f>
        <v>1</v>
      </c>
      <c r="R718">
        <v>10</v>
      </c>
      <c r="S718" t="str">
        <f>IF(OR(R718&lt;0,R718&gt;100),"invalid","Valid")</f>
        <v>Valid</v>
      </c>
      <c r="T718" t="s">
        <v>59</v>
      </c>
      <c r="U718" t="str">
        <f>PROPER(TRIM(T718))</f>
        <v>Mobile Money</v>
      </c>
      <c r="V718" t="s">
        <v>91</v>
      </c>
      <c r="W718" t="str">
        <f t="shared" si="22"/>
        <v>Ben</v>
      </c>
      <c r="X718" t="s">
        <v>33</v>
      </c>
      <c r="Y718">
        <v>2</v>
      </c>
      <c r="Z718" t="str">
        <f>IF(D718="", "Missing", "ok")</f>
        <v>ok</v>
      </c>
      <c r="AA718">
        <f t="shared" si="23"/>
        <v>126.30600000000001</v>
      </c>
    </row>
    <row r="719" spans="1:27" x14ac:dyDescent="0.25">
      <c r="A719" t="s">
        <v>1922</v>
      </c>
      <c r="B719" s="1" t="s">
        <v>1923</v>
      </c>
      <c r="C719" t="s">
        <v>1924</v>
      </c>
      <c r="D719" t="s">
        <v>63</v>
      </c>
      <c r="E719" t="str">
        <f>PROPER(TRIM(D719))</f>
        <v>John</v>
      </c>
      <c r="F719" t="s">
        <v>20</v>
      </c>
      <c r="G719">
        <v>57</v>
      </c>
      <c r="H719" t="str">
        <f>IF(AND(G719&gt;18, G719&lt;65), "Valid", "Invalid")</f>
        <v>Valid</v>
      </c>
      <c r="I719" t="s">
        <v>53</v>
      </c>
      <c r="J719" t="str">
        <f>PROPER(TRIM(I719))</f>
        <v>Lagos</v>
      </c>
      <c r="K719" t="s">
        <v>121</v>
      </c>
      <c r="L719" t="str">
        <f>PROPER(TRIM(K719))</f>
        <v>Beauty</v>
      </c>
      <c r="M719" t="s">
        <v>122</v>
      </c>
      <c r="N719" t="str">
        <f>PROPER(TRIM(M719))</f>
        <v>Cream</v>
      </c>
      <c r="O719">
        <v>448.82</v>
      </c>
      <c r="P719">
        <v>-2</v>
      </c>
      <c r="Q719">
        <f>IF(P719&lt;1, 1, P719)</f>
        <v>1</v>
      </c>
      <c r="R719">
        <v>10</v>
      </c>
      <c r="S719" t="str">
        <f>IF(OR(R719&lt;0,R719&gt;100),"invalid","Valid")</f>
        <v>Valid</v>
      </c>
      <c r="T719" t="s">
        <v>77</v>
      </c>
      <c r="U719" t="str">
        <f>PROPER(TRIM(T719))</f>
        <v>Cash</v>
      </c>
      <c r="V719" t="s">
        <v>41</v>
      </c>
      <c r="W719" t="str">
        <f t="shared" si="22"/>
        <v>Chi</v>
      </c>
      <c r="X719" t="s">
        <v>33</v>
      </c>
      <c r="Y719">
        <v>4</v>
      </c>
      <c r="Z719" t="str">
        <f>IF(D719="", "Missing", "ok")</f>
        <v>ok</v>
      </c>
      <c r="AA719">
        <f t="shared" si="23"/>
        <v>403.93799999999999</v>
      </c>
    </row>
    <row r="720" spans="1:27" x14ac:dyDescent="0.25">
      <c r="A720" t="s">
        <v>1925</v>
      </c>
      <c r="B720" s="1" t="s">
        <v>917</v>
      </c>
      <c r="C720" t="s">
        <v>1926</v>
      </c>
      <c r="D720" t="s">
        <v>69</v>
      </c>
      <c r="E720" t="str">
        <f>PROPER(TRIM(D720))</f>
        <v>Mary</v>
      </c>
      <c r="F720" t="s">
        <v>20</v>
      </c>
      <c r="G720">
        <v>50</v>
      </c>
      <c r="H720" t="str">
        <f>IF(AND(G720&gt;18, G720&lt;65), "Valid", "Invalid")</f>
        <v>Valid</v>
      </c>
      <c r="I720" t="s">
        <v>70</v>
      </c>
      <c r="J720" t="str">
        <f>PROPER(TRIM(I720))</f>
        <v>Abuja</v>
      </c>
      <c r="K720" t="s">
        <v>31</v>
      </c>
      <c r="L720" t="str">
        <f>PROPER(TRIM(K720))</f>
        <v>Sports</v>
      </c>
      <c r="M720" t="s">
        <v>32</v>
      </c>
      <c r="N720" t="str">
        <f>PROPER(TRIM(M720))</f>
        <v>Ball</v>
      </c>
      <c r="O720">
        <v>161.80000000000001</v>
      </c>
      <c r="P720">
        <v>-2</v>
      </c>
      <c r="Q720">
        <f>IF(P720&lt;1, 1, P720)</f>
        <v>1</v>
      </c>
      <c r="R720">
        <v>120</v>
      </c>
      <c r="S720" t="str">
        <f>IF(OR(R720&lt;0,R720&gt;100),"invalid","Valid")</f>
        <v>invalid</v>
      </c>
      <c r="T720" t="s">
        <v>59</v>
      </c>
      <c r="U720" t="str">
        <f>PROPER(TRIM(T720))</f>
        <v>Mobile Money</v>
      </c>
      <c r="V720" t="s">
        <v>81</v>
      </c>
      <c r="W720" t="str">
        <f t="shared" si="22"/>
        <v>Ada</v>
      </c>
      <c r="X720" t="s">
        <v>33</v>
      </c>
      <c r="Y720">
        <v>5</v>
      </c>
      <c r="Z720" t="str">
        <f>IF(D720="", "Missing", "ok")</f>
        <v>ok</v>
      </c>
      <c r="AA720">
        <f t="shared" si="23"/>
        <v>-32.359999999999992</v>
      </c>
    </row>
    <row r="721" spans="1:27" x14ac:dyDescent="0.25">
      <c r="A721" t="s">
        <v>1927</v>
      </c>
      <c r="B721" s="1" t="s">
        <v>240</v>
      </c>
      <c r="C721" t="s">
        <v>1928</v>
      </c>
      <c r="D721" t="s">
        <v>101</v>
      </c>
      <c r="E721" t="str">
        <f>PROPER(TRIM(D721))</f>
        <v>Grace</v>
      </c>
      <c r="F721" t="s">
        <v>20</v>
      </c>
      <c r="G721">
        <v>8</v>
      </c>
      <c r="H721" t="str">
        <f>IF(AND(G721&gt;18, G721&lt;65), "Valid", "Invalid")</f>
        <v>Invalid</v>
      </c>
      <c r="I721" t="s">
        <v>47</v>
      </c>
      <c r="J721" t="str">
        <f>PROPER(TRIM(I721))</f>
        <v>Enugu</v>
      </c>
      <c r="K721" t="s">
        <v>31</v>
      </c>
      <c r="L721" t="str">
        <f>PROPER(TRIM(K721))</f>
        <v>Sports</v>
      </c>
      <c r="M721" t="s">
        <v>32</v>
      </c>
      <c r="N721" t="str">
        <f>PROPER(TRIM(M721))</f>
        <v>Ball</v>
      </c>
      <c r="O721">
        <v>414.67</v>
      </c>
      <c r="P721">
        <v>-2</v>
      </c>
      <c r="Q721">
        <f>IF(P721&lt;1, 1, P721)</f>
        <v>1</v>
      </c>
      <c r="R721">
        <v>5</v>
      </c>
      <c r="S721" t="str">
        <f>IF(OR(R721&lt;0,R721&gt;100),"invalid","Valid")</f>
        <v>Valid</v>
      </c>
      <c r="T721" t="s">
        <v>77</v>
      </c>
      <c r="U721" t="str">
        <f>PROPER(TRIM(T721))</f>
        <v>Cash</v>
      </c>
      <c r="V721" t="s">
        <v>41</v>
      </c>
      <c r="W721" t="str">
        <f t="shared" si="22"/>
        <v>Chi</v>
      </c>
      <c r="X721" t="s">
        <v>26</v>
      </c>
      <c r="Y721">
        <v>4</v>
      </c>
      <c r="Z721" t="str">
        <f>IF(D721="", "Missing", "ok")</f>
        <v>ok</v>
      </c>
      <c r="AA721">
        <f t="shared" si="23"/>
        <v>393.93650000000002</v>
      </c>
    </row>
    <row r="722" spans="1:27" x14ac:dyDescent="0.25">
      <c r="A722" t="s">
        <v>1929</v>
      </c>
      <c r="B722" s="1" t="s">
        <v>1895</v>
      </c>
      <c r="C722" t="s">
        <v>1930</v>
      </c>
      <c r="E722" t="str">
        <f>PROPER(TRIM(D722))</f>
        <v/>
      </c>
      <c r="F722" t="s">
        <v>46</v>
      </c>
      <c r="G722">
        <v>130</v>
      </c>
      <c r="H722" t="str">
        <f>IF(AND(G722&gt;18, G722&lt;65), "Valid", "Invalid")</f>
        <v>Invalid</v>
      </c>
      <c r="I722" t="s">
        <v>21</v>
      </c>
      <c r="J722" t="str">
        <f>PROPER(TRIM(I722))</f>
        <v>Lagos</v>
      </c>
      <c r="K722" t="s">
        <v>54</v>
      </c>
      <c r="L722" t="str">
        <f>PROPER(TRIM(K722))</f>
        <v>Home</v>
      </c>
      <c r="M722" t="s">
        <v>55</v>
      </c>
      <c r="N722" t="str">
        <f>PROPER(TRIM(M722))</f>
        <v>Chair</v>
      </c>
      <c r="O722">
        <v>93.2</v>
      </c>
      <c r="P722">
        <v>-2</v>
      </c>
      <c r="Q722">
        <f>IF(P722&lt;1, 1, P722)</f>
        <v>1</v>
      </c>
      <c r="R722">
        <v>120</v>
      </c>
      <c r="S722" t="str">
        <f>IF(OR(R722&lt;0,R722&gt;100),"invalid","Valid")</f>
        <v>invalid</v>
      </c>
      <c r="T722" t="s">
        <v>24</v>
      </c>
      <c r="U722" t="str">
        <f>PROPER(TRIM(T722))</f>
        <v>Pos</v>
      </c>
      <c r="V722" t="s">
        <v>91</v>
      </c>
      <c r="W722" t="str">
        <f t="shared" si="22"/>
        <v>Ben</v>
      </c>
      <c r="X722" t="s">
        <v>82</v>
      </c>
      <c r="Y722">
        <v>3</v>
      </c>
      <c r="Z722" t="str">
        <f>IF(D722="", "Missing", "ok")</f>
        <v>Missing</v>
      </c>
      <c r="AA722">
        <f t="shared" si="23"/>
        <v>-18.639999999999997</v>
      </c>
    </row>
    <row r="723" spans="1:27" x14ac:dyDescent="0.25">
      <c r="A723" t="s">
        <v>1931</v>
      </c>
      <c r="B723" s="1" t="s">
        <v>1932</v>
      </c>
      <c r="C723" t="s">
        <v>1933</v>
      </c>
      <c r="D723" t="s">
        <v>117</v>
      </c>
      <c r="E723" t="str">
        <f>PROPER(TRIM(D723))</f>
        <v>David</v>
      </c>
      <c r="F723" t="s">
        <v>46</v>
      </c>
      <c r="G723">
        <v>130</v>
      </c>
      <c r="H723" t="str">
        <f>IF(AND(G723&gt;18, G723&lt;65), "Valid", "Invalid")</f>
        <v>Invalid</v>
      </c>
      <c r="I723" t="s">
        <v>30</v>
      </c>
      <c r="J723" t="str">
        <f>PROPER(TRIM(I723))</f>
        <v>Lagos</v>
      </c>
      <c r="K723" t="s">
        <v>54</v>
      </c>
      <c r="L723" t="str">
        <f>PROPER(TRIM(K723))</f>
        <v>Home</v>
      </c>
      <c r="M723" t="s">
        <v>55</v>
      </c>
      <c r="N723" t="str">
        <f>PROPER(TRIM(M723))</f>
        <v>Chair</v>
      </c>
      <c r="O723">
        <v>404.59</v>
      </c>
      <c r="P723">
        <v>-2</v>
      </c>
      <c r="Q723">
        <f>IF(P723&lt;1, 1, P723)</f>
        <v>1</v>
      </c>
      <c r="R723">
        <v>-10</v>
      </c>
      <c r="S723" t="str">
        <f>IF(OR(R723&lt;0,R723&gt;100),"invalid","Valid")</f>
        <v>invalid</v>
      </c>
      <c r="T723" t="s">
        <v>24</v>
      </c>
      <c r="U723" t="str">
        <f>PROPER(TRIM(T723))</f>
        <v>Pos</v>
      </c>
      <c r="V723" t="s">
        <v>25</v>
      </c>
      <c r="W723" t="str">
        <f t="shared" si="22"/>
        <v>Dan</v>
      </c>
      <c r="X723" t="s">
        <v>33</v>
      </c>
      <c r="Y723">
        <v>3</v>
      </c>
      <c r="Z723" t="str">
        <f>IF(D723="", "Missing", "ok")</f>
        <v>ok</v>
      </c>
      <c r="AA723">
        <f t="shared" si="23"/>
        <v>445.04900000000004</v>
      </c>
    </row>
    <row r="724" spans="1:27" x14ac:dyDescent="0.25">
      <c r="A724" t="s">
        <v>1934</v>
      </c>
      <c r="B724" s="1" t="s">
        <v>1935</v>
      </c>
      <c r="C724" t="s">
        <v>1936</v>
      </c>
      <c r="D724" t="s">
        <v>19</v>
      </c>
      <c r="E724" t="str">
        <f>PROPER(TRIM(D724))</f>
        <v>Peter</v>
      </c>
      <c r="F724" t="s">
        <v>46</v>
      </c>
      <c r="G724">
        <v>8</v>
      </c>
      <c r="H724" t="str">
        <f>IF(AND(G724&gt;18, G724&lt;65), "Valid", "Invalid")</f>
        <v>Invalid</v>
      </c>
      <c r="I724" t="s">
        <v>30</v>
      </c>
      <c r="J724" t="str">
        <f>PROPER(TRIM(I724))</f>
        <v>Lagos</v>
      </c>
      <c r="K724" t="s">
        <v>87</v>
      </c>
      <c r="L724" t="str">
        <f>PROPER(TRIM(K724))</f>
        <v>Groceris</v>
      </c>
      <c r="M724" t="s">
        <v>49</v>
      </c>
      <c r="N724" t="str">
        <f>PROPER(TRIM(M724))</f>
        <v>Rice</v>
      </c>
      <c r="O724">
        <v>18.27</v>
      </c>
      <c r="P724">
        <v>-2</v>
      </c>
      <c r="Q724">
        <f>IF(P724&lt;1, 1, P724)</f>
        <v>1</v>
      </c>
      <c r="R724">
        <v>10</v>
      </c>
      <c r="S724" t="str">
        <f>IF(OR(R724&lt;0,R724&gt;100),"invalid","Valid")</f>
        <v>Valid</v>
      </c>
      <c r="T724" t="s">
        <v>64</v>
      </c>
      <c r="U724" t="str">
        <f>PROPER(TRIM(T724))</f>
        <v>Transfer</v>
      </c>
      <c r="V724" t="s">
        <v>81</v>
      </c>
      <c r="W724" t="str">
        <f t="shared" si="22"/>
        <v>Ada</v>
      </c>
      <c r="X724" t="s">
        <v>26</v>
      </c>
      <c r="Y724">
        <v>1</v>
      </c>
      <c r="Z724" t="str">
        <f>IF(D724="", "Missing", "ok")</f>
        <v>ok</v>
      </c>
      <c r="AA724">
        <f t="shared" si="23"/>
        <v>16.443000000000001</v>
      </c>
    </row>
    <row r="725" spans="1:27" x14ac:dyDescent="0.25">
      <c r="A725" t="s">
        <v>1937</v>
      </c>
      <c r="B725" s="1" t="s">
        <v>1938</v>
      </c>
      <c r="C725" t="s">
        <v>605</v>
      </c>
      <c r="D725" t="s">
        <v>69</v>
      </c>
      <c r="E725" t="str">
        <f>PROPER(TRIM(D725))</f>
        <v>Mary</v>
      </c>
      <c r="F725" t="s">
        <v>46</v>
      </c>
      <c r="G725">
        <v>130</v>
      </c>
      <c r="H725" t="str">
        <f>IF(AND(G725&gt;18, G725&lt;65), "Valid", "Invalid")</f>
        <v>Invalid</v>
      </c>
      <c r="I725" t="s">
        <v>70</v>
      </c>
      <c r="J725" t="str">
        <f>PROPER(TRIM(I725))</f>
        <v>Abuja</v>
      </c>
      <c r="K725" t="s">
        <v>48</v>
      </c>
      <c r="L725" t="str">
        <f>PROPER(TRIM(K725))</f>
        <v>Groceries</v>
      </c>
      <c r="M725" t="s">
        <v>49</v>
      </c>
      <c r="N725" t="str">
        <f>PROPER(TRIM(M725))</f>
        <v>Rice</v>
      </c>
      <c r="O725">
        <v>355.98</v>
      </c>
      <c r="P725">
        <v>9</v>
      </c>
      <c r="Q725">
        <f>IF(P725&lt;1, 1, P725)</f>
        <v>9</v>
      </c>
      <c r="R725">
        <v>15</v>
      </c>
      <c r="S725" t="str">
        <f>IF(OR(R725&lt;0,R725&gt;100),"invalid","Valid")</f>
        <v>Valid</v>
      </c>
      <c r="T725" t="s">
        <v>24</v>
      </c>
      <c r="U725" t="str">
        <f>PROPER(TRIM(T725))</f>
        <v>Pos</v>
      </c>
      <c r="V725" t="s">
        <v>25</v>
      </c>
      <c r="W725" t="str">
        <f t="shared" si="22"/>
        <v>Dan</v>
      </c>
      <c r="X725" t="s">
        <v>65</v>
      </c>
      <c r="Y725">
        <v>3</v>
      </c>
      <c r="Z725" t="str">
        <f>IF(D725="", "Missing", "ok")</f>
        <v>ok</v>
      </c>
      <c r="AA725">
        <f t="shared" si="23"/>
        <v>2723.2469999999998</v>
      </c>
    </row>
    <row r="726" spans="1:27" x14ac:dyDescent="0.25">
      <c r="A726" t="s">
        <v>1939</v>
      </c>
      <c r="B726" s="1" t="s">
        <v>1940</v>
      </c>
      <c r="C726" t="s">
        <v>1941</v>
      </c>
      <c r="D726" t="s">
        <v>37</v>
      </c>
      <c r="E726" t="str">
        <f>PROPER(TRIM(D726))</f>
        <v>Aisha</v>
      </c>
      <c r="F726" t="s">
        <v>46</v>
      </c>
      <c r="G726">
        <v>8</v>
      </c>
      <c r="H726" t="str">
        <f>IF(AND(G726&gt;18, G726&lt;65), "Valid", "Invalid")</f>
        <v>Invalid</v>
      </c>
      <c r="I726" t="s">
        <v>21</v>
      </c>
      <c r="J726" t="str">
        <f>PROPER(TRIM(I726))</f>
        <v>Lagos</v>
      </c>
      <c r="K726" t="s">
        <v>31</v>
      </c>
      <c r="L726" t="str">
        <f>PROPER(TRIM(K726))</f>
        <v>Sports</v>
      </c>
      <c r="M726" t="s">
        <v>32</v>
      </c>
      <c r="N726" t="str">
        <f>PROPER(TRIM(M726))</f>
        <v>Ball</v>
      </c>
      <c r="O726">
        <v>36.130000000000003</v>
      </c>
      <c r="P726">
        <v>-2</v>
      </c>
      <c r="Q726">
        <f>IF(P726&lt;1, 1, P726)</f>
        <v>1</v>
      </c>
      <c r="R726">
        <v>0</v>
      </c>
      <c r="S726" t="str">
        <f>IF(OR(R726&lt;0,R726&gt;100),"invalid","Valid")</f>
        <v>Valid</v>
      </c>
      <c r="T726" t="s">
        <v>64</v>
      </c>
      <c r="U726" t="str">
        <f>PROPER(TRIM(T726))</f>
        <v>Transfer</v>
      </c>
      <c r="V726" t="s">
        <v>81</v>
      </c>
      <c r="W726" t="str">
        <f t="shared" si="22"/>
        <v>Ada</v>
      </c>
      <c r="X726" t="s">
        <v>65</v>
      </c>
      <c r="Y726">
        <v>1</v>
      </c>
      <c r="Z726" t="str">
        <f>IF(D726="", "Missing", "ok")</f>
        <v>ok</v>
      </c>
      <c r="AA726">
        <f t="shared" si="23"/>
        <v>36.130000000000003</v>
      </c>
    </row>
    <row r="727" spans="1:27" x14ac:dyDescent="0.25">
      <c r="A727" t="s">
        <v>1942</v>
      </c>
      <c r="B727" s="1" t="s">
        <v>473</v>
      </c>
      <c r="C727" t="s">
        <v>1943</v>
      </c>
      <c r="D727" t="s">
        <v>19</v>
      </c>
      <c r="E727" t="str">
        <f>PROPER(TRIM(D727))</f>
        <v>Peter</v>
      </c>
      <c r="F727" t="s">
        <v>20</v>
      </c>
      <c r="G727">
        <v>8</v>
      </c>
      <c r="H727" t="str">
        <f>IF(AND(G727&gt;18, G727&lt;65), "Valid", "Invalid")</f>
        <v>Invalid</v>
      </c>
      <c r="I727" t="s">
        <v>53</v>
      </c>
      <c r="J727" t="str">
        <f>PROPER(TRIM(I727))</f>
        <v>Lagos</v>
      </c>
      <c r="K727" t="s">
        <v>39</v>
      </c>
      <c r="L727" t="str">
        <f>PROPER(TRIM(K727))</f>
        <v>Electronics</v>
      </c>
      <c r="M727" t="s">
        <v>40</v>
      </c>
      <c r="N727" t="str">
        <f>PROPER(TRIM(M727))</f>
        <v>Phone</v>
      </c>
      <c r="O727">
        <v>271.72000000000003</v>
      </c>
      <c r="P727">
        <v>-2</v>
      </c>
      <c r="Q727">
        <f>IF(P727&lt;1, 1, P727)</f>
        <v>1</v>
      </c>
      <c r="R727">
        <v>15</v>
      </c>
      <c r="S727" t="str">
        <f>IF(OR(R727&lt;0,R727&gt;100),"invalid","Valid")</f>
        <v>Valid</v>
      </c>
      <c r="T727" t="s">
        <v>59</v>
      </c>
      <c r="U727" t="str">
        <f>PROPER(TRIM(T727))</f>
        <v>Mobile Money</v>
      </c>
      <c r="V727" t="s">
        <v>91</v>
      </c>
      <c r="W727" t="str">
        <f t="shared" si="22"/>
        <v>Ben</v>
      </c>
      <c r="X727" t="s">
        <v>65</v>
      </c>
      <c r="Y727">
        <v>5</v>
      </c>
      <c r="Z727" t="str">
        <f>IF(D727="", "Missing", "ok")</f>
        <v>ok</v>
      </c>
      <c r="AA727">
        <f t="shared" si="23"/>
        <v>230.96200000000002</v>
      </c>
    </row>
    <row r="728" spans="1:27" x14ac:dyDescent="0.25">
      <c r="A728" t="s">
        <v>1944</v>
      </c>
      <c r="B728" s="1" t="s">
        <v>1635</v>
      </c>
      <c r="C728" t="s">
        <v>1945</v>
      </c>
      <c r="D728" t="s">
        <v>117</v>
      </c>
      <c r="E728" t="str">
        <f>PROPER(TRIM(D728))</f>
        <v>David</v>
      </c>
      <c r="F728" t="s">
        <v>46</v>
      </c>
      <c r="G728">
        <v>8</v>
      </c>
      <c r="H728" t="str">
        <f>IF(AND(G728&gt;18, G728&lt;65), "Valid", "Invalid")</f>
        <v>Invalid</v>
      </c>
      <c r="I728" t="s">
        <v>86</v>
      </c>
      <c r="J728" t="str">
        <f>PROPER(TRIM(I728))</f>
        <v>Kano</v>
      </c>
      <c r="K728" t="s">
        <v>87</v>
      </c>
      <c r="L728" t="str">
        <f>PROPER(TRIM(K728))</f>
        <v>Groceris</v>
      </c>
      <c r="M728" t="s">
        <v>49</v>
      </c>
      <c r="N728" t="str">
        <f>PROPER(TRIM(M728))</f>
        <v>Rice</v>
      </c>
      <c r="O728">
        <v>482.4</v>
      </c>
      <c r="P728">
        <v>-2</v>
      </c>
      <c r="Q728">
        <f>IF(P728&lt;1, 1, P728)</f>
        <v>1</v>
      </c>
      <c r="R728">
        <v>120</v>
      </c>
      <c r="S728" t="str">
        <f>IF(OR(R728&lt;0,R728&gt;100),"invalid","Valid")</f>
        <v>invalid</v>
      </c>
      <c r="U728" t="str">
        <f>PROPER(TRIM(T728))</f>
        <v/>
      </c>
      <c r="V728" t="s">
        <v>41</v>
      </c>
      <c r="W728" t="str">
        <f t="shared" si="22"/>
        <v>Chi</v>
      </c>
      <c r="X728" t="s">
        <v>33</v>
      </c>
      <c r="Y728">
        <v>5</v>
      </c>
      <c r="Z728" t="str">
        <f>IF(D728="", "Missing", "ok")</f>
        <v>ok</v>
      </c>
      <c r="AA728">
        <f t="shared" si="23"/>
        <v>-96.479999999999976</v>
      </c>
    </row>
    <row r="729" spans="1:27" x14ac:dyDescent="0.25">
      <c r="A729" t="s">
        <v>1946</v>
      </c>
      <c r="B729" s="1" t="s">
        <v>115</v>
      </c>
      <c r="C729" t="s">
        <v>1947</v>
      </c>
      <c r="D729" t="s">
        <v>69</v>
      </c>
      <c r="E729" t="str">
        <f>PROPER(TRIM(D729))</f>
        <v>Mary</v>
      </c>
      <c r="F729" t="s">
        <v>46</v>
      </c>
      <c r="G729">
        <v>130</v>
      </c>
      <c r="H729" t="str">
        <f>IF(AND(G729&gt;18, G729&lt;65), "Valid", "Invalid")</f>
        <v>Invalid</v>
      </c>
      <c r="I729" t="s">
        <v>53</v>
      </c>
      <c r="J729" t="str">
        <f>PROPER(TRIM(I729))</f>
        <v>Lagos</v>
      </c>
      <c r="K729" t="s">
        <v>48</v>
      </c>
      <c r="L729" t="str">
        <f>PROPER(TRIM(K729))</f>
        <v>Groceries</v>
      </c>
      <c r="M729" t="s">
        <v>49</v>
      </c>
      <c r="N729" t="str">
        <f>PROPER(TRIM(M729))</f>
        <v>Rice</v>
      </c>
      <c r="O729">
        <v>168.45</v>
      </c>
      <c r="P729">
        <v>-2</v>
      </c>
      <c r="Q729">
        <f>IF(P729&lt;1, 1, P729)</f>
        <v>1</v>
      </c>
      <c r="R729">
        <v>10</v>
      </c>
      <c r="S729" t="str">
        <f>IF(OR(R729&lt;0,R729&gt;100),"invalid","Valid")</f>
        <v>Valid</v>
      </c>
      <c r="U729" t="str">
        <f>PROPER(TRIM(T729))</f>
        <v/>
      </c>
      <c r="V729" t="s">
        <v>91</v>
      </c>
      <c r="W729" t="str">
        <f t="shared" si="22"/>
        <v>Ben</v>
      </c>
      <c r="X729" t="s">
        <v>33</v>
      </c>
      <c r="Y729">
        <v>2</v>
      </c>
      <c r="Z729" t="str">
        <f>IF(D729="", "Missing", "ok")</f>
        <v>ok</v>
      </c>
      <c r="AA729">
        <f t="shared" si="23"/>
        <v>151.60499999999999</v>
      </c>
    </row>
    <row r="730" spans="1:27" x14ac:dyDescent="0.25">
      <c r="A730" t="s">
        <v>1948</v>
      </c>
      <c r="B730" s="1" t="s">
        <v>1949</v>
      </c>
      <c r="C730" t="s">
        <v>1950</v>
      </c>
      <c r="D730" t="s">
        <v>69</v>
      </c>
      <c r="E730" t="str">
        <f>PROPER(TRIM(D730))</f>
        <v>Mary</v>
      </c>
      <c r="F730" t="s">
        <v>46</v>
      </c>
      <c r="G730">
        <v>130</v>
      </c>
      <c r="H730" t="str">
        <f>IF(AND(G730&gt;18, G730&lt;65), "Valid", "Invalid")</f>
        <v>Invalid</v>
      </c>
      <c r="I730" t="s">
        <v>30</v>
      </c>
      <c r="J730" t="str">
        <f>PROPER(TRIM(I730))</f>
        <v>Lagos</v>
      </c>
      <c r="K730" t="s">
        <v>121</v>
      </c>
      <c r="L730" t="str">
        <f>PROPER(TRIM(K730))</f>
        <v>Beauty</v>
      </c>
      <c r="M730" t="s">
        <v>122</v>
      </c>
      <c r="N730" t="str">
        <f>PROPER(TRIM(M730))</f>
        <v>Cream</v>
      </c>
      <c r="O730">
        <v>448.25</v>
      </c>
      <c r="P730">
        <v>6</v>
      </c>
      <c r="Q730">
        <f>IF(P730&lt;1, 1, P730)</f>
        <v>6</v>
      </c>
      <c r="R730">
        <v>5</v>
      </c>
      <c r="S730" t="str">
        <f>IF(OR(R730&lt;0,R730&gt;100),"invalid","Valid")</f>
        <v>Valid</v>
      </c>
      <c r="T730" t="s">
        <v>24</v>
      </c>
      <c r="U730" t="str">
        <f>PROPER(TRIM(T730))</f>
        <v>Pos</v>
      </c>
      <c r="V730" t="s">
        <v>81</v>
      </c>
      <c r="W730" t="str">
        <f t="shared" si="22"/>
        <v>Ada</v>
      </c>
      <c r="X730" t="s">
        <v>33</v>
      </c>
      <c r="Y730">
        <v>4</v>
      </c>
      <c r="Z730" t="str">
        <f>IF(D730="", "Missing", "ok")</f>
        <v>ok</v>
      </c>
      <c r="AA730">
        <f t="shared" si="23"/>
        <v>2555.0250000000001</v>
      </c>
    </row>
    <row r="731" spans="1:27" x14ac:dyDescent="0.25">
      <c r="A731" t="s">
        <v>1951</v>
      </c>
      <c r="B731" s="1" t="s">
        <v>1064</v>
      </c>
      <c r="C731" t="s">
        <v>1952</v>
      </c>
      <c r="D731" t="s">
        <v>69</v>
      </c>
      <c r="E731" t="str">
        <f>PROPER(TRIM(D731))</f>
        <v>Mary</v>
      </c>
      <c r="F731" t="s">
        <v>46</v>
      </c>
      <c r="G731">
        <v>55</v>
      </c>
      <c r="H731" t="str">
        <f>IF(AND(G731&gt;18, G731&lt;65), "Valid", "Invalid")</f>
        <v>Valid</v>
      </c>
      <c r="I731" t="s">
        <v>30</v>
      </c>
      <c r="J731" t="str">
        <f>PROPER(TRIM(I731))</f>
        <v>Lagos</v>
      </c>
      <c r="K731" t="s">
        <v>87</v>
      </c>
      <c r="L731" t="str">
        <f>PROPER(TRIM(K731))</f>
        <v>Groceris</v>
      </c>
      <c r="M731" t="s">
        <v>49</v>
      </c>
      <c r="N731" t="str">
        <f>PROPER(TRIM(M731))</f>
        <v>Rice</v>
      </c>
      <c r="O731">
        <v>332.15</v>
      </c>
      <c r="P731">
        <v>4</v>
      </c>
      <c r="Q731">
        <f>IF(P731&lt;1, 1, P731)</f>
        <v>4</v>
      </c>
      <c r="R731">
        <v>10</v>
      </c>
      <c r="S731" t="str">
        <f>IF(OR(R731&lt;0,R731&gt;100),"invalid","Valid")</f>
        <v>Valid</v>
      </c>
      <c r="T731" t="s">
        <v>24</v>
      </c>
      <c r="U731" t="str">
        <f>PROPER(TRIM(T731))</f>
        <v>Pos</v>
      </c>
      <c r="V731" t="s">
        <v>81</v>
      </c>
      <c r="W731" t="str">
        <f t="shared" si="22"/>
        <v>Ada</v>
      </c>
      <c r="X731" t="s">
        <v>65</v>
      </c>
      <c r="Y731">
        <v>5</v>
      </c>
      <c r="Z731" t="str">
        <f>IF(D731="", "Missing", "ok")</f>
        <v>ok</v>
      </c>
      <c r="AA731">
        <f t="shared" si="23"/>
        <v>1195.74</v>
      </c>
    </row>
    <row r="732" spans="1:27" x14ac:dyDescent="0.25">
      <c r="A732" t="s">
        <v>1953</v>
      </c>
      <c r="B732" s="1" t="s">
        <v>1954</v>
      </c>
      <c r="C732" t="s">
        <v>1955</v>
      </c>
      <c r="D732" t="s">
        <v>37</v>
      </c>
      <c r="E732" t="str">
        <f>PROPER(TRIM(D732))</f>
        <v>Aisha</v>
      </c>
      <c r="F732" t="s">
        <v>20</v>
      </c>
      <c r="G732">
        <v>130</v>
      </c>
      <c r="H732" t="str">
        <f>IF(AND(G732&gt;18, G732&lt;65), "Valid", "Invalid")</f>
        <v>Invalid</v>
      </c>
      <c r="I732" t="s">
        <v>70</v>
      </c>
      <c r="J732" t="str">
        <f>PROPER(TRIM(I732))</f>
        <v>Abuja</v>
      </c>
      <c r="K732" t="s">
        <v>39</v>
      </c>
      <c r="L732" t="str">
        <f>PROPER(TRIM(K732))</f>
        <v>Electronics</v>
      </c>
      <c r="M732" t="s">
        <v>40</v>
      </c>
      <c r="N732" t="str">
        <f>PROPER(TRIM(M732))</f>
        <v>Phone</v>
      </c>
      <c r="O732">
        <v>227.53</v>
      </c>
      <c r="P732">
        <v>9</v>
      </c>
      <c r="Q732">
        <f>IF(P732&lt;1, 1, P732)</f>
        <v>9</v>
      </c>
      <c r="R732">
        <v>5</v>
      </c>
      <c r="S732" t="str">
        <f>IF(OR(R732&lt;0,R732&gt;100),"invalid","Valid")</f>
        <v>Valid</v>
      </c>
      <c r="T732" t="s">
        <v>24</v>
      </c>
      <c r="U732" t="str">
        <f>PROPER(TRIM(T732))</f>
        <v>Pos</v>
      </c>
      <c r="V732" t="s">
        <v>91</v>
      </c>
      <c r="W732" t="str">
        <f t="shared" si="22"/>
        <v>Ben</v>
      </c>
      <c r="X732" t="s">
        <v>33</v>
      </c>
      <c r="Y732">
        <v>1</v>
      </c>
      <c r="Z732" t="str">
        <f>IF(D732="", "Missing", "ok")</f>
        <v>ok</v>
      </c>
      <c r="AA732">
        <f t="shared" si="23"/>
        <v>1945.3815</v>
      </c>
    </row>
    <row r="733" spans="1:27" x14ac:dyDescent="0.25">
      <c r="A733" t="s">
        <v>1956</v>
      </c>
      <c r="B733" s="1" t="s">
        <v>1940</v>
      </c>
      <c r="C733" t="s">
        <v>1957</v>
      </c>
      <c r="D733" t="s">
        <v>63</v>
      </c>
      <c r="E733" t="str">
        <f>PROPER(TRIM(D733))</f>
        <v>John</v>
      </c>
      <c r="F733" t="s">
        <v>46</v>
      </c>
      <c r="G733">
        <v>130</v>
      </c>
      <c r="H733" t="str">
        <f>IF(AND(G733&gt;18, G733&lt;65), "Valid", "Invalid")</f>
        <v>Invalid</v>
      </c>
      <c r="I733" t="s">
        <v>21</v>
      </c>
      <c r="J733" t="str">
        <f>PROPER(TRIM(I733))</f>
        <v>Lagos</v>
      </c>
      <c r="K733" t="s">
        <v>22</v>
      </c>
      <c r="L733" t="str">
        <f>PROPER(TRIM(K733))</f>
        <v>Fashion</v>
      </c>
      <c r="M733" t="s">
        <v>23</v>
      </c>
      <c r="N733" t="str">
        <f>PROPER(TRIM(M733))</f>
        <v>Shirt</v>
      </c>
      <c r="O733">
        <v>290.77999999999997</v>
      </c>
      <c r="P733">
        <v>-2</v>
      </c>
      <c r="Q733">
        <f>IF(P733&lt;1, 1, P733)</f>
        <v>1</v>
      </c>
      <c r="R733">
        <v>-10</v>
      </c>
      <c r="S733" t="str">
        <f>IF(OR(R733&lt;0,R733&gt;100),"invalid","Valid")</f>
        <v>invalid</v>
      </c>
      <c r="T733" t="s">
        <v>24</v>
      </c>
      <c r="U733" t="str">
        <f>PROPER(TRIM(T733))</f>
        <v>Pos</v>
      </c>
      <c r="V733" t="s">
        <v>91</v>
      </c>
      <c r="W733" t="str">
        <f t="shared" si="22"/>
        <v>Ben</v>
      </c>
      <c r="X733" t="s">
        <v>33</v>
      </c>
      <c r="Y733">
        <v>4</v>
      </c>
      <c r="Z733" t="str">
        <f>IF(D733="", "Missing", "ok")</f>
        <v>ok</v>
      </c>
      <c r="AA733">
        <f t="shared" si="23"/>
        <v>319.858</v>
      </c>
    </row>
    <row r="734" spans="1:27" x14ac:dyDescent="0.25">
      <c r="A734" t="s">
        <v>1958</v>
      </c>
      <c r="B734" s="1" t="s">
        <v>1327</v>
      </c>
      <c r="C734" t="s">
        <v>1959</v>
      </c>
      <c r="D734" t="s">
        <v>19</v>
      </c>
      <c r="E734" t="str">
        <f>PROPER(TRIM(D734))</f>
        <v>Peter</v>
      </c>
      <c r="F734" t="s">
        <v>20</v>
      </c>
      <c r="G734">
        <v>8</v>
      </c>
      <c r="H734" t="str">
        <f>IF(AND(G734&gt;18, G734&lt;65), "Valid", "Invalid")</f>
        <v>Invalid</v>
      </c>
      <c r="I734" t="s">
        <v>47</v>
      </c>
      <c r="J734" t="str">
        <f>PROPER(TRIM(I734))</f>
        <v>Enugu</v>
      </c>
      <c r="K734" t="s">
        <v>87</v>
      </c>
      <c r="L734" t="str">
        <f>PROPER(TRIM(K734))</f>
        <v>Groceris</v>
      </c>
      <c r="M734" t="s">
        <v>49</v>
      </c>
      <c r="N734" t="str">
        <f>PROPER(TRIM(M734))</f>
        <v>Rice</v>
      </c>
      <c r="O734">
        <v>56.79</v>
      </c>
      <c r="P734">
        <v>-2</v>
      </c>
      <c r="Q734">
        <f>IF(P734&lt;1, 1, P734)</f>
        <v>1</v>
      </c>
      <c r="R734">
        <v>0</v>
      </c>
      <c r="S734" t="str">
        <f>IF(OR(R734&lt;0,R734&gt;100),"invalid","Valid")</f>
        <v>Valid</v>
      </c>
      <c r="U734" t="str">
        <f>PROPER(TRIM(T734))</f>
        <v/>
      </c>
      <c r="V734" t="s">
        <v>81</v>
      </c>
      <c r="W734" t="str">
        <f t="shared" si="22"/>
        <v>Ada</v>
      </c>
      <c r="X734" t="s">
        <v>33</v>
      </c>
      <c r="Y734">
        <v>4</v>
      </c>
      <c r="Z734" t="str">
        <f>IF(D734="", "Missing", "ok")</f>
        <v>ok</v>
      </c>
      <c r="AA734">
        <f t="shared" si="23"/>
        <v>56.79</v>
      </c>
    </row>
    <row r="735" spans="1:27" x14ac:dyDescent="0.25">
      <c r="A735" t="s">
        <v>1960</v>
      </c>
      <c r="B735" s="1" t="s">
        <v>1628</v>
      </c>
      <c r="C735" t="s">
        <v>1961</v>
      </c>
      <c r="D735" t="s">
        <v>63</v>
      </c>
      <c r="E735" t="str">
        <f>PROPER(TRIM(D735))</f>
        <v>John</v>
      </c>
      <c r="F735" t="s">
        <v>46</v>
      </c>
      <c r="G735">
        <v>39</v>
      </c>
      <c r="H735" t="str">
        <f>IF(AND(G735&gt;18, G735&lt;65), "Valid", "Invalid")</f>
        <v>Valid</v>
      </c>
      <c r="I735" t="s">
        <v>53</v>
      </c>
      <c r="J735" t="str">
        <f>PROPER(TRIM(I735))</f>
        <v>Lagos</v>
      </c>
      <c r="K735" t="s">
        <v>22</v>
      </c>
      <c r="L735" t="str">
        <f>PROPER(TRIM(K735))</f>
        <v>Fashion</v>
      </c>
      <c r="M735" t="s">
        <v>23</v>
      </c>
      <c r="N735" t="str">
        <f>PROPER(TRIM(M735))</f>
        <v>Shirt</v>
      </c>
      <c r="O735">
        <v>392.13</v>
      </c>
      <c r="P735">
        <v>1</v>
      </c>
      <c r="Q735">
        <f>IF(P735&lt;1, 1, P735)</f>
        <v>1</v>
      </c>
      <c r="R735">
        <v>-10</v>
      </c>
      <c r="S735" t="str">
        <f>IF(OR(R735&lt;0,R735&gt;100),"invalid","Valid")</f>
        <v>invalid</v>
      </c>
      <c r="T735" t="s">
        <v>77</v>
      </c>
      <c r="U735" t="str">
        <f>PROPER(TRIM(T735))</f>
        <v>Cash</v>
      </c>
      <c r="V735" t="s">
        <v>25</v>
      </c>
      <c r="W735" t="str">
        <f t="shared" si="22"/>
        <v>Dan</v>
      </c>
      <c r="X735" t="s">
        <v>33</v>
      </c>
      <c r="Y735">
        <v>3</v>
      </c>
      <c r="Z735" t="str">
        <f>IF(D735="", "Missing", "ok")</f>
        <v>ok</v>
      </c>
      <c r="AA735">
        <f t="shared" si="23"/>
        <v>431.34300000000002</v>
      </c>
    </row>
    <row r="736" spans="1:27" x14ac:dyDescent="0.25">
      <c r="A736" t="s">
        <v>1962</v>
      </c>
      <c r="B736" s="1" t="s">
        <v>1092</v>
      </c>
      <c r="C736" t="s">
        <v>1963</v>
      </c>
      <c r="D736" t="s">
        <v>101</v>
      </c>
      <c r="E736" t="str">
        <f>PROPER(TRIM(D736))</f>
        <v>Grace</v>
      </c>
      <c r="F736" t="s">
        <v>46</v>
      </c>
      <c r="G736">
        <v>130</v>
      </c>
      <c r="H736" t="str">
        <f>IF(AND(G736&gt;18, G736&lt;65), "Valid", "Invalid")</f>
        <v>Invalid</v>
      </c>
      <c r="I736" t="s">
        <v>86</v>
      </c>
      <c r="J736" t="str">
        <f>PROPER(TRIM(I736))</f>
        <v>Kano</v>
      </c>
      <c r="K736" t="s">
        <v>54</v>
      </c>
      <c r="L736" t="str">
        <f>PROPER(TRIM(K736))</f>
        <v>Home</v>
      </c>
      <c r="M736" t="s">
        <v>55</v>
      </c>
      <c r="N736" t="str">
        <f>PROPER(TRIM(M736))</f>
        <v>Chair</v>
      </c>
      <c r="O736">
        <v>153.41999999999999</v>
      </c>
      <c r="P736">
        <v>6</v>
      </c>
      <c r="Q736">
        <f>IF(P736&lt;1, 1, P736)</f>
        <v>6</v>
      </c>
      <c r="R736">
        <v>120</v>
      </c>
      <c r="S736" t="str">
        <f>IF(OR(R736&lt;0,R736&gt;100),"invalid","Valid")</f>
        <v>invalid</v>
      </c>
      <c r="T736" t="s">
        <v>59</v>
      </c>
      <c r="U736" t="str">
        <f>PROPER(TRIM(T736))</f>
        <v>Mobile Money</v>
      </c>
      <c r="V736" t="s">
        <v>25</v>
      </c>
      <c r="W736" t="str">
        <f t="shared" si="22"/>
        <v>Dan</v>
      </c>
      <c r="X736" t="s">
        <v>65</v>
      </c>
      <c r="Y736">
        <v>2</v>
      </c>
      <c r="Z736" t="str">
        <f>IF(D736="", "Missing", "ok")</f>
        <v>ok</v>
      </c>
      <c r="AA736">
        <f t="shared" si="23"/>
        <v>-184.10399999999996</v>
      </c>
    </row>
    <row r="737" spans="1:27" x14ac:dyDescent="0.25">
      <c r="A737" t="s">
        <v>1964</v>
      </c>
      <c r="B737" s="1" t="s">
        <v>440</v>
      </c>
      <c r="C737" t="s">
        <v>1965</v>
      </c>
      <c r="D737" t="s">
        <v>101</v>
      </c>
      <c r="E737" t="str">
        <f>PROPER(TRIM(D737))</f>
        <v>Grace</v>
      </c>
      <c r="F737" t="s">
        <v>20</v>
      </c>
      <c r="G737">
        <v>8</v>
      </c>
      <c r="H737" t="str">
        <f>IF(AND(G737&gt;18, G737&lt;65), "Valid", "Invalid")</f>
        <v>Invalid</v>
      </c>
      <c r="I737" t="s">
        <v>47</v>
      </c>
      <c r="J737" t="str">
        <f>PROPER(TRIM(I737))</f>
        <v>Enugu</v>
      </c>
      <c r="K737" t="s">
        <v>22</v>
      </c>
      <c r="L737" t="str">
        <f>PROPER(TRIM(K737))</f>
        <v>Fashion</v>
      </c>
      <c r="M737" t="s">
        <v>23</v>
      </c>
      <c r="N737" t="str">
        <f>PROPER(TRIM(M737))</f>
        <v>Shirt</v>
      </c>
      <c r="O737">
        <v>199.05</v>
      </c>
      <c r="P737">
        <v>-2</v>
      </c>
      <c r="Q737">
        <f>IF(P737&lt;1, 1, P737)</f>
        <v>1</v>
      </c>
      <c r="R737">
        <v>120</v>
      </c>
      <c r="S737" t="str">
        <f>IF(OR(R737&lt;0,R737&gt;100),"invalid","Valid")</f>
        <v>invalid</v>
      </c>
      <c r="T737" t="s">
        <v>24</v>
      </c>
      <c r="U737" t="str">
        <f>PROPER(TRIM(T737))</f>
        <v>Pos</v>
      </c>
      <c r="V737" t="s">
        <v>41</v>
      </c>
      <c r="W737" t="str">
        <f t="shared" si="22"/>
        <v>Chi</v>
      </c>
      <c r="X737" t="s">
        <v>33</v>
      </c>
      <c r="Y737">
        <v>3</v>
      </c>
      <c r="Z737" t="str">
        <f>IF(D737="", "Missing", "ok")</f>
        <v>ok</v>
      </c>
      <c r="AA737">
        <f t="shared" si="23"/>
        <v>-39.809999999999995</v>
      </c>
    </row>
    <row r="738" spans="1:27" x14ac:dyDescent="0.25">
      <c r="A738" t="s">
        <v>1966</v>
      </c>
      <c r="B738" s="1" t="s">
        <v>1967</v>
      </c>
      <c r="C738" t="s">
        <v>1968</v>
      </c>
      <c r="D738" t="s">
        <v>19</v>
      </c>
      <c r="E738" t="str">
        <f>PROPER(TRIM(D738))</f>
        <v>Peter</v>
      </c>
      <c r="F738" t="s">
        <v>20</v>
      </c>
      <c r="G738">
        <v>8</v>
      </c>
      <c r="H738" t="str">
        <f>IF(AND(G738&gt;18, G738&lt;65), "Valid", "Invalid")</f>
        <v>Invalid</v>
      </c>
      <c r="I738" t="s">
        <v>86</v>
      </c>
      <c r="J738" t="str">
        <f>PROPER(TRIM(I738))</f>
        <v>Kano</v>
      </c>
      <c r="K738" t="s">
        <v>54</v>
      </c>
      <c r="L738" t="str">
        <f>PROPER(TRIM(K738))</f>
        <v>Home</v>
      </c>
      <c r="M738" t="s">
        <v>55</v>
      </c>
      <c r="N738" t="str">
        <f>PROPER(TRIM(M738))</f>
        <v>Chair</v>
      </c>
      <c r="O738">
        <v>332.52</v>
      </c>
      <c r="P738">
        <v>-2</v>
      </c>
      <c r="Q738">
        <f>IF(P738&lt;1, 1, P738)</f>
        <v>1</v>
      </c>
      <c r="R738">
        <v>5</v>
      </c>
      <c r="S738" t="str">
        <f>IF(OR(R738&lt;0,R738&gt;100),"invalid","Valid")</f>
        <v>Valid</v>
      </c>
      <c r="T738" t="s">
        <v>77</v>
      </c>
      <c r="U738" t="str">
        <f>PROPER(TRIM(T738))</f>
        <v>Cash</v>
      </c>
      <c r="V738" t="s">
        <v>41</v>
      </c>
      <c r="W738" t="str">
        <f t="shared" si="22"/>
        <v>Chi</v>
      </c>
      <c r="X738" t="s">
        <v>65</v>
      </c>
      <c r="Y738">
        <v>1</v>
      </c>
      <c r="Z738" t="str">
        <f>IF(D738="", "Missing", "ok")</f>
        <v>ok</v>
      </c>
      <c r="AA738">
        <f t="shared" si="23"/>
        <v>315.89399999999995</v>
      </c>
    </row>
    <row r="739" spans="1:27" x14ac:dyDescent="0.25">
      <c r="A739" t="s">
        <v>1969</v>
      </c>
      <c r="B739" s="1" t="s">
        <v>1312</v>
      </c>
      <c r="C739" t="s">
        <v>1970</v>
      </c>
      <c r="D739" t="s">
        <v>37</v>
      </c>
      <c r="E739" t="str">
        <f>PROPER(TRIM(D739))</f>
        <v>Aisha</v>
      </c>
      <c r="F739" t="s">
        <v>46</v>
      </c>
      <c r="G739">
        <v>8</v>
      </c>
      <c r="H739" t="str">
        <f>IF(AND(G739&gt;18, G739&lt;65), "Valid", "Invalid")</f>
        <v>Invalid</v>
      </c>
      <c r="I739" t="s">
        <v>53</v>
      </c>
      <c r="J739" t="str">
        <f>PROPER(TRIM(I739))</f>
        <v>Lagos</v>
      </c>
      <c r="K739" t="s">
        <v>39</v>
      </c>
      <c r="L739" t="str">
        <f>PROPER(TRIM(K739))</f>
        <v>Electronics</v>
      </c>
      <c r="M739" t="s">
        <v>40</v>
      </c>
      <c r="N739" t="str">
        <f>PROPER(TRIM(M739))</f>
        <v>Phone</v>
      </c>
      <c r="O739">
        <v>286.72000000000003</v>
      </c>
      <c r="P739">
        <v>-2</v>
      </c>
      <c r="Q739">
        <f>IF(P739&lt;1, 1, P739)</f>
        <v>1</v>
      </c>
      <c r="R739">
        <v>-10</v>
      </c>
      <c r="S739" t="str">
        <f>IF(OR(R739&lt;0,R739&gt;100),"invalid","Valid")</f>
        <v>invalid</v>
      </c>
      <c r="T739" t="s">
        <v>24</v>
      </c>
      <c r="U739" t="str">
        <f>PROPER(TRIM(T739))</f>
        <v>Pos</v>
      </c>
      <c r="V739" t="s">
        <v>25</v>
      </c>
      <c r="W739" t="str">
        <f t="shared" si="22"/>
        <v>Dan</v>
      </c>
      <c r="X739" t="s">
        <v>82</v>
      </c>
      <c r="Y739">
        <v>2</v>
      </c>
      <c r="Z739" t="str">
        <f>IF(D739="", "Missing", "ok")</f>
        <v>ok</v>
      </c>
      <c r="AA739">
        <f t="shared" si="23"/>
        <v>315.39200000000005</v>
      </c>
    </row>
    <row r="740" spans="1:27" x14ac:dyDescent="0.25">
      <c r="A740" t="s">
        <v>1971</v>
      </c>
      <c r="B740" s="1" t="s">
        <v>1972</v>
      </c>
      <c r="C740" t="s">
        <v>1973</v>
      </c>
      <c r="D740" t="s">
        <v>45</v>
      </c>
      <c r="E740" t="str">
        <f>PROPER(TRIM(D740))</f>
        <v>James</v>
      </c>
      <c r="F740" t="s">
        <v>20</v>
      </c>
      <c r="G740">
        <v>8</v>
      </c>
      <c r="H740" t="str">
        <f>IF(AND(G740&gt;18, G740&lt;65), "Valid", "Invalid")</f>
        <v>Invalid</v>
      </c>
      <c r="I740" t="s">
        <v>30</v>
      </c>
      <c r="J740" t="str">
        <f>PROPER(TRIM(I740))</f>
        <v>Lagos</v>
      </c>
      <c r="K740" t="s">
        <v>87</v>
      </c>
      <c r="L740" t="str">
        <f>PROPER(TRIM(K740))</f>
        <v>Groceris</v>
      </c>
      <c r="M740" t="s">
        <v>49</v>
      </c>
      <c r="N740" t="str">
        <f>PROPER(TRIM(M740))</f>
        <v>Rice</v>
      </c>
      <c r="O740">
        <v>481.45</v>
      </c>
      <c r="P740">
        <v>-2</v>
      </c>
      <c r="Q740">
        <f>IF(P740&lt;1, 1, P740)</f>
        <v>1</v>
      </c>
      <c r="R740">
        <v>0</v>
      </c>
      <c r="S740" t="str">
        <f>IF(OR(R740&lt;0,R740&gt;100),"invalid","Valid")</f>
        <v>Valid</v>
      </c>
      <c r="U740" t="str">
        <f>PROPER(TRIM(T740))</f>
        <v/>
      </c>
      <c r="V740" t="s">
        <v>81</v>
      </c>
      <c r="W740" t="str">
        <f t="shared" si="22"/>
        <v>Ada</v>
      </c>
      <c r="X740" t="s">
        <v>82</v>
      </c>
      <c r="Y740">
        <v>2</v>
      </c>
      <c r="Z740" t="str">
        <f>IF(D740="", "Missing", "ok")</f>
        <v>ok</v>
      </c>
      <c r="AA740">
        <f t="shared" si="23"/>
        <v>481.45</v>
      </c>
    </row>
    <row r="741" spans="1:27" x14ac:dyDescent="0.25">
      <c r="A741" t="s">
        <v>1974</v>
      </c>
      <c r="B741" s="1" t="s">
        <v>1089</v>
      </c>
      <c r="C741" t="s">
        <v>1975</v>
      </c>
      <c r="D741" t="s">
        <v>19</v>
      </c>
      <c r="E741" t="str">
        <f>PROPER(TRIM(D741))</f>
        <v>Peter</v>
      </c>
      <c r="F741" t="s">
        <v>46</v>
      </c>
      <c r="G741">
        <v>130</v>
      </c>
      <c r="H741" t="str">
        <f>IF(AND(G741&gt;18, G741&lt;65), "Valid", "Invalid")</f>
        <v>Invalid</v>
      </c>
      <c r="I741" t="s">
        <v>53</v>
      </c>
      <c r="J741" t="str">
        <f>PROPER(TRIM(I741))</f>
        <v>Lagos</v>
      </c>
      <c r="K741" t="s">
        <v>121</v>
      </c>
      <c r="L741" t="str">
        <f>PROPER(TRIM(K741))</f>
        <v>Beauty</v>
      </c>
      <c r="M741" t="s">
        <v>122</v>
      </c>
      <c r="N741" t="str">
        <f>PROPER(TRIM(M741))</f>
        <v>Cream</v>
      </c>
      <c r="O741">
        <v>329.19</v>
      </c>
      <c r="P741">
        <v>3</v>
      </c>
      <c r="Q741">
        <f>IF(P741&lt;1, 1, P741)</f>
        <v>3</v>
      </c>
      <c r="R741">
        <v>10</v>
      </c>
      <c r="S741" t="str">
        <f>IF(OR(R741&lt;0,R741&gt;100),"invalid","Valid")</f>
        <v>Valid</v>
      </c>
      <c r="T741" t="s">
        <v>59</v>
      </c>
      <c r="U741" t="str">
        <f>PROPER(TRIM(T741))</f>
        <v>Mobile Money</v>
      </c>
      <c r="V741" t="s">
        <v>25</v>
      </c>
      <c r="W741" t="str">
        <f t="shared" si="22"/>
        <v>Dan</v>
      </c>
      <c r="X741" t="s">
        <v>26</v>
      </c>
      <c r="Y741">
        <v>2</v>
      </c>
      <c r="Z741" t="str">
        <f>IF(D741="", "Missing", "ok")</f>
        <v>ok</v>
      </c>
      <c r="AA741">
        <f t="shared" si="23"/>
        <v>888.81299999999999</v>
      </c>
    </row>
    <row r="742" spans="1:27" x14ac:dyDescent="0.25">
      <c r="A742" t="s">
        <v>1976</v>
      </c>
      <c r="B742" s="1" t="s">
        <v>820</v>
      </c>
      <c r="C742" t="s">
        <v>1977</v>
      </c>
      <c r="E742" t="str">
        <f>PROPER(TRIM(D742))</f>
        <v/>
      </c>
      <c r="F742" t="s">
        <v>46</v>
      </c>
      <c r="G742">
        <v>130</v>
      </c>
      <c r="H742" t="str">
        <f>IF(AND(G742&gt;18, G742&lt;65), "Valid", "Invalid")</f>
        <v>Invalid</v>
      </c>
      <c r="I742" t="s">
        <v>86</v>
      </c>
      <c r="J742" t="str">
        <f>PROPER(TRIM(I742))</f>
        <v>Kano</v>
      </c>
      <c r="K742" t="s">
        <v>22</v>
      </c>
      <c r="L742" t="str">
        <f>PROPER(TRIM(K742))</f>
        <v>Fashion</v>
      </c>
      <c r="M742" t="s">
        <v>23</v>
      </c>
      <c r="N742" t="str">
        <f>PROPER(TRIM(M742))</f>
        <v>Shirt</v>
      </c>
      <c r="O742">
        <v>457.91</v>
      </c>
      <c r="P742">
        <v>-2</v>
      </c>
      <c r="Q742">
        <f>IF(P742&lt;1, 1, P742)</f>
        <v>1</v>
      </c>
      <c r="R742">
        <v>5</v>
      </c>
      <c r="S742" t="str">
        <f>IF(OR(R742&lt;0,R742&gt;100),"invalid","Valid")</f>
        <v>Valid</v>
      </c>
      <c r="T742" t="s">
        <v>59</v>
      </c>
      <c r="U742" t="str">
        <f>PROPER(TRIM(T742))</f>
        <v>Mobile Money</v>
      </c>
      <c r="V742" t="s">
        <v>91</v>
      </c>
      <c r="W742" t="str">
        <f t="shared" si="22"/>
        <v>Ben</v>
      </c>
      <c r="X742" t="s">
        <v>33</v>
      </c>
      <c r="Z742" t="str">
        <f>IF(D742="", "Missing", "ok")</f>
        <v>Missing</v>
      </c>
      <c r="AA742">
        <f t="shared" si="23"/>
        <v>435.0145</v>
      </c>
    </row>
    <row r="743" spans="1:27" x14ac:dyDescent="0.25">
      <c r="A743" t="s">
        <v>1978</v>
      </c>
      <c r="B743" s="1" t="s">
        <v>1979</v>
      </c>
      <c r="C743" t="s">
        <v>1980</v>
      </c>
      <c r="D743" t="s">
        <v>117</v>
      </c>
      <c r="E743" t="str">
        <f>PROPER(TRIM(D743))</f>
        <v>David</v>
      </c>
      <c r="F743" t="s">
        <v>46</v>
      </c>
      <c r="G743">
        <v>8</v>
      </c>
      <c r="H743" t="str">
        <f>IF(AND(G743&gt;18, G743&lt;65), "Valid", "Invalid")</f>
        <v>Invalid</v>
      </c>
      <c r="I743" t="s">
        <v>38</v>
      </c>
      <c r="J743" t="str">
        <f>PROPER(TRIM(I743))</f>
        <v>Ph</v>
      </c>
      <c r="K743" t="s">
        <v>39</v>
      </c>
      <c r="L743" t="str">
        <f>PROPER(TRIM(K743))</f>
        <v>Electronics</v>
      </c>
      <c r="M743" t="s">
        <v>40</v>
      </c>
      <c r="N743" t="str">
        <f>PROPER(TRIM(M743))</f>
        <v>Phone</v>
      </c>
      <c r="O743">
        <v>484.32</v>
      </c>
      <c r="P743">
        <v>-2</v>
      </c>
      <c r="Q743">
        <f>IF(P743&lt;1, 1, P743)</f>
        <v>1</v>
      </c>
      <c r="R743">
        <v>0</v>
      </c>
      <c r="S743" t="str">
        <f>IF(OR(R743&lt;0,R743&gt;100),"invalid","Valid")</f>
        <v>Valid</v>
      </c>
      <c r="T743" t="s">
        <v>24</v>
      </c>
      <c r="U743" t="str">
        <f>PROPER(TRIM(T743))</f>
        <v>Pos</v>
      </c>
      <c r="V743" t="s">
        <v>91</v>
      </c>
      <c r="W743" t="str">
        <f t="shared" si="22"/>
        <v>Ben</v>
      </c>
      <c r="X743" t="s">
        <v>65</v>
      </c>
      <c r="Y743">
        <v>2</v>
      </c>
      <c r="Z743" t="str">
        <f>IF(D743="", "Missing", "ok")</f>
        <v>ok</v>
      </c>
      <c r="AA743">
        <f t="shared" si="23"/>
        <v>484.32</v>
      </c>
    </row>
    <row r="744" spans="1:27" x14ac:dyDescent="0.25">
      <c r="A744" t="s">
        <v>1981</v>
      </c>
      <c r="B744" s="1" t="s">
        <v>1982</v>
      </c>
      <c r="C744" t="s">
        <v>1983</v>
      </c>
      <c r="D744" t="s">
        <v>45</v>
      </c>
      <c r="E744" t="str">
        <f>PROPER(TRIM(D744))</f>
        <v>James</v>
      </c>
      <c r="F744" t="s">
        <v>46</v>
      </c>
      <c r="G744">
        <v>8</v>
      </c>
      <c r="H744" t="str">
        <f>IF(AND(G744&gt;18, G744&lt;65), "Valid", "Invalid")</f>
        <v>Invalid</v>
      </c>
      <c r="I744" t="s">
        <v>86</v>
      </c>
      <c r="J744" t="str">
        <f>PROPER(TRIM(I744))</f>
        <v>Kano</v>
      </c>
      <c r="K744" t="s">
        <v>31</v>
      </c>
      <c r="L744" t="str">
        <f>PROPER(TRIM(K744))</f>
        <v>Sports</v>
      </c>
      <c r="M744" t="s">
        <v>32</v>
      </c>
      <c r="N744" t="str">
        <f>PROPER(TRIM(M744))</f>
        <v>Ball</v>
      </c>
      <c r="O744">
        <v>202.1</v>
      </c>
      <c r="P744">
        <v>-2</v>
      </c>
      <c r="Q744">
        <f>IF(P744&lt;1, 1, P744)</f>
        <v>1</v>
      </c>
      <c r="R744">
        <v>0</v>
      </c>
      <c r="S744" t="str">
        <f>IF(OR(R744&lt;0,R744&gt;100),"invalid","Valid")</f>
        <v>Valid</v>
      </c>
      <c r="U744" t="str">
        <f>PROPER(TRIM(T744))</f>
        <v/>
      </c>
      <c r="V744" t="s">
        <v>81</v>
      </c>
      <c r="W744" t="str">
        <f t="shared" si="22"/>
        <v>Ada</v>
      </c>
      <c r="X744" t="s">
        <v>26</v>
      </c>
      <c r="Y744">
        <v>5</v>
      </c>
      <c r="Z744" t="str">
        <f>IF(D744="", "Missing", "ok")</f>
        <v>ok</v>
      </c>
      <c r="AA744">
        <f t="shared" si="23"/>
        <v>202.1</v>
      </c>
    </row>
    <row r="745" spans="1:27" x14ac:dyDescent="0.25">
      <c r="A745" t="s">
        <v>1984</v>
      </c>
      <c r="B745" s="1" t="s">
        <v>249</v>
      </c>
      <c r="C745" t="s">
        <v>717</v>
      </c>
      <c r="D745" t="s">
        <v>37</v>
      </c>
      <c r="E745" t="str">
        <f>PROPER(TRIM(D745))</f>
        <v>Aisha</v>
      </c>
      <c r="F745" t="s">
        <v>20</v>
      </c>
      <c r="G745">
        <v>130</v>
      </c>
      <c r="H745" t="str">
        <f>IF(AND(G745&gt;18, G745&lt;65), "Valid", "Invalid")</f>
        <v>Invalid</v>
      </c>
      <c r="I745" t="s">
        <v>86</v>
      </c>
      <c r="J745" t="str">
        <f>PROPER(TRIM(I745))</f>
        <v>Kano</v>
      </c>
      <c r="K745" t="s">
        <v>22</v>
      </c>
      <c r="L745" t="str">
        <f>PROPER(TRIM(K745))</f>
        <v>Fashion</v>
      </c>
      <c r="M745" t="s">
        <v>23</v>
      </c>
      <c r="N745" t="str">
        <f>PROPER(TRIM(M745))</f>
        <v>Shirt</v>
      </c>
      <c r="O745">
        <v>493.07</v>
      </c>
      <c r="P745">
        <v>-2</v>
      </c>
      <c r="Q745">
        <f>IF(P745&lt;1, 1, P745)</f>
        <v>1</v>
      </c>
      <c r="R745">
        <v>15</v>
      </c>
      <c r="S745" t="str">
        <f>IF(OR(R745&lt;0,R745&gt;100),"invalid","Valid")</f>
        <v>Valid</v>
      </c>
      <c r="T745" t="s">
        <v>77</v>
      </c>
      <c r="U745" t="str">
        <f>PROPER(TRIM(T745))</f>
        <v>Cash</v>
      </c>
      <c r="V745" t="s">
        <v>91</v>
      </c>
      <c r="W745" t="str">
        <f t="shared" si="22"/>
        <v>Ben</v>
      </c>
      <c r="X745" t="s">
        <v>33</v>
      </c>
      <c r="Y745">
        <v>2</v>
      </c>
      <c r="Z745" t="str">
        <f>IF(D745="", "Missing", "ok")</f>
        <v>ok</v>
      </c>
      <c r="AA745">
        <f t="shared" si="23"/>
        <v>419.10949999999997</v>
      </c>
    </row>
    <row r="746" spans="1:27" x14ac:dyDescent="0.25">
      <c r="A746" t="s">
        <v>1985</v>
      </c>
      <c r="B746" s="1" t="s">
        <v>1437</v>
      </c>
      <c r="C746" t="s">
        <v>1986</v>
      </c>
      <c r="D746" t="s">
        <v>45</v>
      </c>
      <c r="E746" t="str">
        <f>PROPER(TRIM(D746))</f>
        <v>James</v>
      </c>
      <c r="F746" t="s">
        <v>46</v>
      </c>
      <c r="G746">
        <v>37</v>
      </c>
      <c r="H746" t="str">
        <f>IF(AND(G746&gt;18, G746&lt;65), "Valid", "Invalid")</f>
        <v>Valid</v>
      </c>
      <c r="I746" t="s">
        <v>38</v>
      </c>
      <c r="J746" t="str">
        <f>PROPER(TRIM(I746))</f>
        <v>Ph</v>
      </c>
      <c r="K746" t="s">
        <v>48</v>
      </c>
      <c r="L746" t="str">
        <f>PROPER(TRIM(K746))</f>
        <v>Groceries</v>
      </c>
      <c r="M746" t="s">
        <v>49</v>
      </c>
      <c r="N746" t="str">
        <f>PROPER(TRIM(M746))</f>
        <v>Rice</v>
      </c>
      <c r="O746">
        <v>319.5</v>
      </c>
      <c r="P746">
        <v>-2</v>
      </c>
      <c r="Q746">
        <f>IF(P746&lt;1, 1, P746)</f>
        <v>1</v>
      </c>
      <c r="R746">
        <v>10</v>
      </c>
      <c r="S746" t="str">
        <f>IF(OR(R746&lt;0,R746&gt;100),"invalid","Valid")</f>
        <v>Valid</v>
      </c>
      <c r="T746" t="s">
        <v>77</v>
      </c>
      <c r="U746" t="str">
        <f>PROPER(TRIM(T746))</f>
        <v>Cash</v>
      </c>
      <c r="V746" t="s">
        <v>41</v>
      </c>
      <c r="W746" t="str">
        <f t="shared" si="22"/>
        <v>Chi</v>
      </c>
      <c r="X746" t="s">
        <v>33</v>
      </c>
      <c r="Z746" t="str">
        <f>IF(D746="", "Missing", "ok")</f>
        <v>ok</v>
      </c>
      <c r="AA746">
        <f t="shared" si="23"/>
        <v>287.55</v>
      </c>
    </row>
    <row r="747" spans="1:27" x14ac:dyDescent="0.25">
      <c r="A747" t="s">
        <v>1987</v>
      </c>
      <c r="B747" s="1" t="s">
        <v>590</v>
      </c>
      <c r="C747" t="s">
        <v>1988</v>
      </c>
      <c r="D747" t="s">
        <v>101</v>
      </c>
      <c r="E747" t="str">
        <f>PROPER(TRIM(D747))</f>
        <v>Grace</v>
      </c>
      <c r="F747" t="s">
        <v>46</v>
      </c>
      <c r="G747">
        <v>130</v>
      </c>
      <c r="H747" t="str">
        <f>IF(AND(G747&gt;18, G747&lt;65), "Valid", "Invalid")</f>
        <v>Invalid</v>
      </c>
      <c r="I747" t="s">
        <v>53</v>
      </c>
      <c r="J747" t="str">
        <f>PROPER(TRIM(I747))</f>
        <v>Lagos</v>
      </c>
      <c r="K747" t="s">
        <v>121</v>
      </c>
      <c r="L747" t="str">
        <f>PROPER(TRIM(K747))</f>
        <v>Beauty</v>
      </c>
      <c r="M747" t="s">
        <v>122</v>
      </c>
      <c r="N747" t="str">
        <f>PROPER(TRIM(M747))</f>
        <v>Cream</v>
      </c>
      <c r="O747">
        <v>384.7</v>
      </c>
      <c r="P747">
        <v>6</v>
      </c>
      <c r="Q747">
        <f>IF(P747&lt;1, 1, P747)</f>
        <v>6</v>
      </c>
      <c r="R747">
        <v>10</v>
      </c>
      <c r="S747" t="str">
        <f>IF(OR(R747&lt;0,R747&gt;100),"invalid","Valid")</f>
        <v>Valid</v>
      </c>
      <c r="U747" t="str">
        <f>PROPER(TRIM(T747))</f>
        <v/>
      </c>
      <c r="V747" t="s">
        <v>25</v>
      </c>
      <c r="W747" t="str">
        <f t="shared" si="22"/>
        <v>Dan</v>
      </c>
      <c r="X747" t="s">
        <v>33</v>
      </c>
      <c r="Y747">
        <v>4</v>
      </c>
      <c r="Z747" t="str">
        <f>IF(D747="", "Missing", "ok")</f>
        <v>ok</v>
      </c>
      <c r="AA747">
        <f t="shared" si="23"/>
        <v>2077.38</v>
      </c>
    </row>
    <row r="748" spans="1:27" x14ac:dyDescent="0.25">
      <c r="A748" t="s">
        <v>1989</v>
      </c>
      <c r="B748" s="1" t="s">
        <v>1612</v>
      </c>
      <c r="C748" t="s">
        <v>1990</v>
      </c>
      <c r="D748" t="s">
        <v>69</v>
      </c>
      <c r="E748" t="str">
        <f>PROPER(TRIM(D748))</f>
        <v>Mary</v>
      </c>
      <c r="F748" t="s">
        <v>20</v>
      </c>
      <c r="G748">
        <v>8</v>
      </c>
      <c r="H748" t="str">
        <f>IF(AND(G748&gt;18, G748&lt;65), "Valid", "Invalid")</f>
        <v>Invalid</v>
      </c>
      <c r="I748" t="s">
        <v>53</v>
      </c>
      <c r="J748" t="str">
        <f>PROPER(TRIM(I748))</f>
        <v>Lagos</v>
      </c>
      <c r="K748" t="s">
        <v>121</v>
      </c>
      <c r="L748" t="str">
        <f>PROPER(TRIM(K748))</f>
        <v>Beauty</v>
      </c>
      <c r="M748" t="s">
        <v>122</v>
      </c>
      <c r="N748" t="str">
        <f>PROPER(TRIM(M748))</f>
        <v>Cream</v>
      </c>
      <c r="O748">
        <v>191.5</v>
      </c>
      <c r="P748">
        <v>7</v>
      </c>
      <c r="Q748">
        <f>IF(P748&lt;1, 1, P748)</f>
        <v>7</v>
      </c>
      <c r="R748">
        <v>15</v>
      </c>
      <c r="S748" t="str">
        <f>IF(OR(R748&lt;0,R748&gt;100),"invalid","Valid")</f>
        <v>Valid</v>
      </c>
      <c r="T748" t="s">
        <v>77</v>
      </c>
      <c r="U748" t="str">
        <f>PROPER(TRIM(T748))</f>
        <v>Cash</v>
      </c>
      <c r="V748" t="s">
        <v>41</v>
      </c>
      <c r="W748" t="str">
        <f t="shared" si="22"/>
        <v>Chi</v>
      </c>
      <c r="X748" t="s">
        <v>82</v>
      </c>
      <c r="Z748" t="str">
        <f>IF(D748="", "Missing", "ok")</f>
        <v>ok</v>
      </c>
      <c r="AA748">
        <f t="shared" si="23"/>
        <v>1139.425</v>
      </c>
    </row>
    <row r="749" spans="1:27" x14ac:dyDescent="0.25">
      <c r="A749" t="s">
        <v>1991</v>
      </c>
      <c r="B749" s="1" t="s">
        <v>79</v>
      </c>
      <c r="C749" t="s">
        <v>1992</v>
      </c>
      <c r="D749" t="s">
        <v>63</v>
      </c>
      <c r="E749" t="str">
        <f>PROPER(TRIM(D749))</f>
        <v>John</v>
      </c>
      <c r="F749" t="s">
        <v>46</v>
      </c>
      <c r="G749">
        <v>8</v>
      </c>
      <c r="H749" t="str">
        <f>IF(AND(G749&gt;18, G749&lt;65), "Valid", "Invalid")</f>
        <v>Invalid</v>
      </c>
      <c r="I749" t="s">
        <v>53</v>
      </c>
      <c r="J749" t="str">
        <f>PROPER(TRIM(I749))</f>
        <v>Lagos</v>
      </c>
      <c r="K749" t="s">
        <v>87</v>
      </c>
      <c r="L749" t="str">
        <f>PROPER(TRIM(K749))</f>
        <v>Groceris</v>
      </c>
      <c r="M749" t="s">
        <v>49</v>
      </c>
      <c r="N749" t="str">
        <f>PROPER(TRIM(M749))</f>
        <v>Rice</v>
      </c>
      <c r="O749">
        <v>472.78</v>
      </c>
      <c r="P749">
        <v>-2</v>
      </c>
      <c r="Q749">
        <f>IF(P749&lt;1, 1, P749)</f>
        <v>1</v>
      </c>
      <c r="R749">
        <v>5</v>
      </c>
      <c r="S749" t="str">
        <f>IF(OR(R749&lt;0,R749&gt;100),"invalid","Valid")</f>
        <v>Valid</v>
      </c>
      <c r="T749" t="s">
        <v>77</v>
      </c>
      <c r="U749" t="str">
        <f>PROPER(TRIM(T749))</f>
        <v>Cash</v>
      </c>
      <c r="V749" t="s">
        <v>25</v>
      </c>
      <c r="W749" t="str">
        <f t="shared" si="22"/>
        <v>Dan</v>
      </c>
      <c r="X749" t="s">
        <v>65</v>
      </c>
      <c r="Y749">
        <v>1</v>
      </c>
      <c r="Z749" t="str">
        <f>IF(D749="", "Missing", "ok")</f>
        <v>ok</v>
      </c>
      <c r="AA749">
        <f t="shared" si="23"/>
        <v>449.14099999999996</v>
      </c>
    </row>
    <row r="750" spans="1:27" x14ac:dyDescent="0.25">
      <c r="A750" t="s">
        <v>1993</v>
      </c>
      <c r="B750" s="1" t="s">
        <v>1846</v>
      </c>
      <c r="C750" t="s">
        <v>1994</v>
      </c>
      <c r="D750" t="s">
        <v>45</v>
      </c>
      <c r="E750" t="str">
        <f>PROPER(TRIM(D750))</f>
        <v>James</v>
      </c>
      <c r="F750" t="s">
        <v>46</v>
      </c>
      <c r="G750">
        <v>30</v>
      </c>
      <c r="H750" t="str">
        <f>IF(AND(G750&gt;18, G750&lt;65), "Valid", "Invalid")</f>
        <v>Valid</v>
      </c>
      <c r="I750" t="s">
        <v>86</v>
      </c>
      <c r="J750" t="str">
        <f>PROPER(TRIM(I750))</f>
        <v>Kano</v>
      </c>
      <c r="K750" t="s">
        <v>39</v>
      </c>
      <c r="L750" t="str">
        <f>PROPER(TRIM(K750))</f>
        <v>Electronics</v>
      </c>
      <c r="M750" t="s">
        <v>40</v>
      </c>
      <c r="N750" t="str">
        <f>PROPER(TRIM(M750))</f>
        <v>Phone</v>
      </c>
      <c r="O750">
        <v>138.71</v>
      </c>
      <c r="P750">
        <v>3</v>
      </c>
      <c r="Q750">
        <f>IF(P750&lt;1, 1, P750)</f>
        <v>3</v>
      </c>
      <c r="R750">
        <v>15</v>
      </c>
      <c r="S750" t="str">
        <f>IF(OR(R750&lt;0,R750&gt;100),"invalid","Valid")</f>
        <v>Valid</v>
      </c>
      <c r="T750" t="s">
        <v>64</v>
      </c>
      <c r="U750" t="str">
        <f>PROPER(TRIM(T750))</f>
        <v>Transfer</v>
      </c>
      <c r="V750" t="s">
        <v>41</v>
      </c>
      <c r="W750" t="str">
        <f t="shared" si="22"/>
        <v>Chi</v>
      </c>
      <c r="X750" t="s">
        <v>26</v>
      </c>
      <c r="Y750">
        <v>5</v>
      </c>
      <c r="Z750" t="str">
        <f>IF(D750="", "Missing", "ok")</f>
        <v>ok</v>
      </c>
      <c r="AA750">
        <f t="shared" si="23"/>
        <v>353.71049999999997</v>
      </c>
    </row>
    <row r="751" spans="1:27" x14ac:dyDescent="0.25">
      <c r="A751" t="s">
        <v>1995</v>
      </c>
      <c r="B751" s="1" t="s">
        <v>1996</v>
      </c>
      <c r="C751" t="s">
        <v>1997</v>
      </c>
      <c r="E751" t="str">
        <f>PROPER(TRIM(D751))</f>
        <v/>
      </c>
      <c r="F751" t="s">
        <v>46</v>
      </c>
      <c r="G751">
        <v>130</v>
      </c>
      <c r="H751" t="str">
        <f>IF(AND(G751&gt;18, G751&lt;65), "Valid", "Invalid")</f>
        <v>Invalid</v>
      </c>
      <c r="I751" t="s">
        <v>21</v>
      </c>
      <c r="J751" t="str">
        <f>PROPER(TRIM(I751))</f>
        <v>Lagos</v>
      </c>
      <c r="K751" t="s">
        <v>48</v>
      </c>
      <c r="L751" t="str">
        <f>PROPER(TRIM(K751))</f>
        <v>Groceries</v>
      </c>
      <c r="M751" t="s">
        <v>49</v>
      </c>
      <c r="N751" t="str">
        <f>PROPER(TRIM(M751))</f>
        <v>Rice</v>
      </c>
      <c r="O751">
        <v>410.49</v>
      </c>
      <c r="P751">
        <v>-2</v>
      </c>
      <c r="Q751">
        <f>IF(P751&lt;1, 1, P751)</f>
        <v>1</v>
      </c>
      <c r="R751">
        <v>0</v>
      </c>
      <c r="S751" t="str">
        <f>IF(OR(R751&lt;0,R751&gt;100),"invalid","Valid")</f>
        <v>Valid</v>
      </c>
      <c r="T751" t="s">
        <v>77</v>
      </c>
      <c r="U751" t="str">
        <f>PROPER(TRIM(T751))</f>
        <v>Cash</v>
      </c>
      <c r="V751" t="s">
        <v>41</v>
      </c>
      <c r="W751" t="str">
        <f t="shared" si="22"/>
        <v>Chi</v>
      </c>
      <c r="X751" t="s">
        <v>82</v>
      </c>
      <c r="Z751" t="str">
        <f>IF(D751="", "Missing", "ok")</f>
        <v>Missing</v>
      </c>
      <c r="AA751">
        <f t="shared" si="23"/>
        <v>410.49</v>
      </c>
    </row>
    <row r="752" spans="1:27" x14ac:dyDescent="0.25">
      <c r="A752" t="s">
        <v>1998</v>
      </c>
      <c r="B752" s="1" t="s">
        <v>282</v>
      </c>
      <c r="C752" t="s">
        <v>726</v>
      </c>
      <c r="D752" t="s">
        <v>117</v>
      </c>
      <c r="E752" t="str">
        <f>PROPER(TRIM(D752))</f>
        <v>David</v>
      </c>
      <c r="F752" t="s">
        <v>46</v>
      </c>
      <c r="G752">
        <v>62</v>
      </c>
      <c r="H752" t="str">
        <f>IF(AND(G752&gt;18, G752&lt;65), "Valid", "Invalid")</f>
        <v>Valid</v>
      </c>
      <c r="I752" t="s">
        <v>30</v>
      </c>
      <c r="J752" t="str">
        <f>PROPER(TRIM(I752))</f>
        <v>Lagos</v>
      </c>
      <c r="K752" t="s">
        <v>39</v>
      </c>
      <c r="L752" t="str">
        <f>PROPER(TRIM(K752))</f>
        <v>Electronics</v>
      </c>
      <c r="M752" t="s">
        <v>40</v>
      </c>
      <c r="N752" t="str">
        <f>PROPER(TRIM(M752))</f>
        <v>Phone</v>
      </c>
      <c r="O752">
        <v>141.74</v>
      </c>
      <c r="P752">
        <v>-2</v>
      </c>
      <c r="Q752">
        <f>IF(P752&lt;1, 1, P752)</f>
        <v>1</v>
      </c>
      <c r="R752">
        <v>15</v>
      </c>
      <c r="S752" t="str">
        <f>IF(OR(R752&lt;0,R752&gt;100),"invalid","Valid")</f>
        <v>Valid</v>
      </c>
      <c r="T752" t="s">
        <v>59</v>
      </c>
      <c r="U752" t="str">
        <f>PROPER(TRIM(T752))</f>
        <v>Mobile Money</v>
      </c>
      <c r="V752" t="s">
        <v>25</v>
      </c>
      <c r="W752" t="str">
        <f t="shared" si="22"/>
        <v>Dan</v>
      </c>
      <c r="X752" t="s">
        <v>82</v>
      </c>
      <c r="Y752">
        <v>3</v>
      </c>
      <c r="Z752" t="str">
        <f>IF(D752="", "Missing", "ok")</f>
        <v>ok</v>
      </c>
      <c r="AA752">
        <f t="shared" si="23"/>
        <v>120.479</v>
      </c>
    </row>
    <row r="753" spans="1:27" x14ac:dyDescent="0.25">
      <c r="A753" t="s">
        <v>1999</v>
      </c>
      <c r="B753" s="1" t="s">
        <v>2000</v>
      </c>
      <c r="C753" t="s">
        <v>2001</v>
      </c>
      <c r="D753" t="s">
        <v>45</v>
      </c>
      <c r="E753" t="str">
        <f>PROPER(TRIM(D753))</f>
        <v>James</v>
      </c>
      <c r="F753" t="s">
        <v>46</v>
      </c>
      <c r="G753">
        <v>8</v>
      </c>
      <c r="H753" t="str">
        <f>IF(AND(G753&gt;18, G753&lt;65), "Valid", "Invalid")</f>
        <v>Invalid</v>
      </c>
      <c r="I753" t="s">
        <v>70</v>
      </c>
      <c r="J753" t="str">
        <f>PROPER(TRIM(I753))</f>
        <v>Abuja</v>
      </c>
      <c r="K753" t="s">
        <v>48</v>
      </c>
      <c r="L753" t="str">
        <f>PROPER(TRIM(K753))</f>
        <v>Groceries</v>
      </c>
      <c r="M753" t="s">
        <v>49</v>
      </c>
      <c r="N753" t="str">
        <f>PROPER(TRIM(M753))</f>
        <v>Rice</v>
      </c>
      <c r="O753">
        <v>94.75</v>
      </c>
      <c r="P753">
        <v>10</v>
      </c>
      <c r="Q753">
        <f>IF(P753&lt;1, 1, P753)</f>
        <v>10</v>
      </c>
      <c r="R753">
        <v>120</v>
      </c>
      <c r="S753" t="str">
        <f>IF(OR(R753&lt;0,R753&gt;100),"invalid","Valid")</f>
        <v>invalid</v>
      </c>
      <c r="U753" t="str">
        <f>PROPER(TRIM(T753))</f>
        <v/>
      </c>
      <c r="V753" t="s">
        <v>81</v>
      </c>
      <c r="W753" t="str">
        <f t="shared" si="22"/>
        <v>Ada</v>
      </c>
      <c r="X753" t="s">
        <v>26</v>
      </c>
      <c r="Z753" t="str">
        <f>IF(D753="", "Missing", "ok")</f>
        <v>ok</v>
      </c>
      <c r="AA753">
        <f t="shared" si="23"/>
        <v>-189.49999999999997</v>
      </c>
    </row>
    <row r="754" spans="1:27" x14ac:dyDescent="0.25">
      <c r="A754" t="s">
        <v>2002</v>
      </c>
      <c r="B754" s="1" t="s">
        <v>536</v>
      </c>
      <c r="C754" t="s">
        <v>2003</v>
      </c>
      <c r="E754" t="str">
        <f>PROPER(TRIM(D754))</f>
        <v/>
      </c>
      <c r="F754" t="s">
        <v>46</v>
      </c>
      <c r="G754">
        <v>8</v>
      </c>
      <c r="H754" t="str">
        <f>IF(AND(G754&gt;18, G754&lt;65), "Valid", "Invalid")</f>
        <v>Invalid</v>
      </c>
      <c r="I754" t="s">
        <v>53</v>
      </c>
      <c r="J754" t="str">
        <f>PROPER(TRIM(I754))</f>
        <v>Lagos</v>
      </c>
      <c r="K754" t="s">
        <v>31</v>
      </c>
      <c r="L754" t="str">
        <f>PROPER(TRIM(K754))</f>
        <v>Sports</v>
      </c>
      <c r="M754" t="s">
        <v>32</v>
      </c>
      <c r="N754" t="str">
        <f>PROPER(TRIM(M754))</f>
        <v>Ball</v>
      </c>
      <c r="O754">
        <v>304.31</v>
      </c>
      <c r="P754">
        <v>-2</v>
      </c>
      <c r="Q754">
        <f>IF(P754&lt;1, 1, P754)</f>
        <v>1</v>
      </c>
      <c r="R754">
        <v>120</v>
      </c>
      <c r="S754" t="str">
        <f>IF(OR(R754&lt;0,R754&gt;100),"invalid","Valid")</f>
        <v>invalid</v>
      </c>
      <c r="T754" t="s">
        <v>64</v>
      </c>
      <c r="U754" t="str">
        <f>PROPER(TRIM(T754))</f>
        <v>Transfer</v>
      </c>
      <c r="V754" t="s">
        <v>81</v>
      </c>
      <c r="W754" t="str">
        <f t="shared" si="22"/>
        <v>Ada</v>
      </c>
      <c r="X754" t="s">
        <v>65</v>
      </c>
      <c r="Z754" t="str">
        <f>IF(D754="", "Missing", "ok")</f>
        <v>Missing</v>
      </c>
      <c r="AA754">
        <f t="shared" si="23"/>
        <v>-60.861999999999988</v>
      </c>
    </row>
    <row r="755" spans="1:27" x14ac:dyDescent="0.25">
      <c r="A755" t="s">
        <v>2004</v>
      </c>
      <c r="B755" s="1" t="s">
        <v>2005</v>
      </c>
      <c r="C755" t="s">
        <v>2006</v>
      </c>
      <c r="D755" t="s">
        <v>37</v>
      </c>
      <c r="E755" t="str">
        <f>PROPER(TRIM(D755))</f>
        <v>Aisha</v>
      </c>
      <c r="F755" t="s">
        <v>46</v>
      </c>
      <c r="G755">
        <v>130</v>
      </c>
      <c r="H755" t="str">
        <f>IF(AND(G755&gt;18, G755&lt;65), "Valid", "Invalid")</f>
        <v>Invalid</v>
      </c>
      <c r="I755" t="s">
        <v>86</v>
      </c>
      <c r="J755" t="str">
        <f>PROPER(TRIM(I755))</f>
        <v>Kano</v>
      </c>
      <c r="K755" t="s">
        <v>31</v>
      </c>
      <c r="L755" t="str">
        <f>PROPER(TRIM(K755))</f>
        <v>Sports</v>
      </c>
      <c r="M755" t="s">
        <v>32</v>
      </c>
      <c r="N755" t="str">
        <f>PROPER(TRIM(M755))</f>
        <v>Ball</v>
      </c>
      <c r="O755">
        <v>481.32</v>
      </c>
      <c r="P755">
        <v>-2</v>
      </c>
      <c r="Q755">
        <f>IF(P755&lt;1, 1, P755)</f>
        <v>1</v>
      </c>
      <c r="R755">
        <v>15</v>
      </c>
      <c r="S755" t="str">
        <f>IF(OR(R755&lt;0,R755&gt;100),"invalid","Valid")</f>
        <v>Valid</v>
      </c>
      <c r="U755" t="str">
        <f>PROPER(TRIM(T755))</f>
        <v/>
      </c>
      <c r="V755" t="s">
        <v>81</v>
      </c>
      <c r="W755" t="str">
        <f t="shared" si="22"/>
        <v>Ada</v>
      </c>
      <c r="X755" t="s">
        <v>65</v>
      </c>
      <c r="Z755" t="str">
        <f>IF(D755="", "Missing", "ok")</f>
        <v>ok</v>
      </c>
      <c r="AA755">
        <f t="shared" si="23"/>
        <v>409.12199999999996</v>
      </c>
    </row>
    <row r="756" spans="1:27" x14ac:dyDescent="0.25">
      <c r="A756" t="s">
        <v>2007</v>
      </c>
      <c r="B756" s="1" t="s">
        <v>232</v>
      </c>
      <c r="C756" t="s">
        <v>2008</v>
      </c>
      <c r="D756" t="s">
        <v>37</v>
      </c>
      <c r="E756" t="str">
        <f>PROPER(TRIM(D756))</f>
        <v>Aisha</v>
      </c>
      <c r="F756" t="s">
        <v>20</v>
      </c>
      <c r="G756">
        <v>52</v>
      </c>
      <c r="H756" t="str">
        <f>IF(AND(G756&gt;18, G756&lt;65), "Valid", "Invalid")</f>
        <v>Valid</v>
      </c>
      <c r="I756" t="s">
        <v>38</v>
      </c>
      <c r="J756" t="str">
        <f>PROPER(TRIM(I756))</f>
        <v>Ph</v>
      </c>
      <c r="K756" t="s">
        <v>121</v>
      </c>
      <c r="L756" t="str">
        <f>PROPER(TRIM(K756))</f>
        <v>Beauty</v>
      </c>
      <c r="M756" t="s">
        <v>122</v>
      </c>
      <c r="N756" t="str">
        <f>PROPER(TRIM(M756))</f>
        <v>Cream</v>
      </c>
      <c r="O756">
        <v>192.14</v>
      </c>
      <c r="P756">
        <v>8</v>
      </c>
      <c r="Q756">
        <f>IF(P756&lt;1, 1, P756)</f>
        <v>8</v>
      </c>
      <c r="R756">
        <v>0</v>
      </c>
      <c r="S756" t="str">
        <f>IF(OR(R756&lt;0,R756&gt;100),"invalid","Valid")</f>
        <v>Valid</v>
      </c>
      <c r="T756" t="s">
        <v>77</v>
      </c>
      <c r="U756" t="str">
        <f>PROPER(TRIM(T756))</f>
        <v>Cash</v>
      </c>
      <c r="V756" t="s">
        <v>41</v>
      </c>
      <c r="W756" t="str">
        <f t="shared" si="22"/>
        <v>Chi</v>
      </c>
      <c r="X756" t="s">
        <v>33</v>
      </c>
      <c r="Y756">
        <v>4</v>
      </c>
      <c r="Z756" t="str">
        <f>IF(D756="", "Missing", "ok")</f>
        <v>ok</v>
      </c>
      <c r="AA756">
        <f t="shared" si="23"/>
        <v>1537.12</v>
      </c>
    </row>
    <row r="757" spans="1:27" x14ac:dyDescent="0.25">
      <c r="A757" t="s">
        <v>2009</v>
      </c>
      <c r="B757" s="1" t="s">
        <v>1465</v>
      </c>
      <c r="C757" t="s">
        <v>2010</v>
      </c>
      <c r="D757" t="s">
        <v>101</v>
      </c>
      <c r="E757" t="str">
        <f>PROPER(TRIM(D757))</f>
        <v>Grace</v>
      </c>
      <c r="F757" t="s">
        <v>20</v>
      </c>
      <c r="G757">
        <v>53</v>
      </c>
      <c r="H757" t="str">
        <f>IF(AND(G757&gt;18, G757&lt;65), "Valid", "Invalid")</f>
        <v>Valid</v>
      </c>
      <c r="I757" t="s">
        <v>21</v>
      </c>
      <c r="J757" t="str">
        <f>PROPER(TRIM(I757))</f>
        <v>Lagos</v>
      </c>
      <c r="K757" t="s">
        <v>121</v>
      </c>
      <c r="L757" t="str">
        <f>PROPER(TRIM(K757))</f>
        <v>Beauty</v>
      </c>
      <c r="M757" t="s">
        <v>122</v>
      </c>
      <c r="N757" t="str">
        <f>PROPER(TRIM(M757))</f>
        <v>Cream</v>
      </c>
      <c r="O757">
        <v>86.46</v>
      </c>
      <c r="P757">
        <v>7</v>
      </c>
      <c r="Q757">
        <f>IF(P757&lt;1, 1, P757)</f>
        <v>7</v>
      </c>
      <c r="R757">
        <v>120</v>
      </c>
      <c r="S757" t="str">
        <f>IF(OR(R757&lt;0,R757&gt;100),"invalid","Valid")</f>
        <v>invalid</v>
      </c>
      <c r="T757" t="s">
        <v>77</v>
      </c>
      <c r="U757" t="str">
        <f>PROPER(TRIM(T757))</f>
        <v>Cash</v>
      </c>
      <c r="V757" t="s">
        <v>41</v>
      </c>
      <c r="W757" t="str">
        <f t="shared" si="22"/>
        <v>Chi</v>
      </c>
      <c r="X757" t="s">
        <v>26</v>
      </c>
      <c r="Y757">
        <v>5</v>
      </c>
      <c r="Z757" t="str">
        <f>IF(D757="", "Missing", "ok")</f>
        <v>ok</v>
      </c>
      <c r="AA757">
        <f t="shared" si="23"/>
        <v>-121.04399999999995</v>
      </c>
    </row>
    <row r="758" spans="1:27" x14ac:dyDescent="0.25">
      <c r="A758" t="s">
        <v>2011</v>
      </c>
      <c r="B758" s="1" t="s">
        <v>2012</v>
      </c>
      <c r="C758" t="s">
        <v>2013</v>
      </c>
      <c r="D758" t="s">
        <v>69</v>
      </c>
      <c r="E758" t="str">
        <f>PROPER(TRIM(D758))</f>
        <v>Mary</v>
      </c>
      <c r="F758" t="s">
        <v>20</v>
      </c>
      <c r="G758">
        <v>8</v>
      </c>
      <c r="H758" t="str">
        <f>IF(AND(G758&gt;18, G758&lt;65), "Valid", "Invalid")</f>
        <v>Invalid</v>
      </c>
      <c r="I758" t="s">
        <v>38</v>
      </c>
      <c r="J758" t="str">
        <f>PROPER(TRIM(I758))</f>
        <v>Ph</v>
      </c>
      <c r="K758" t="s">
        <v>22</v>
      </c>
      <c r="L758" t="str">
        <f>PROPER(TRIM(K758))</f>
        <v>Fashion</v>
      </c>
      <c r="M758" t="s">
        <v>23</v>
      </c>
      <c r="N758" t="str">
        <f>PROPER(TRIM(M758))</f>
        <v>Shirt</v>
      </c>
      <c r="O758">
        <v>346.85</v>
      </c>
      <c r="P758">
        <v>-2</v>
      </c>
      <c r="Q758">
        <f>IF(P758&lt;1, 1, P758)</f>
        <v>1</v>
      </c>
      <c r="R758">
        <v>15</v>
      </c>
      <c r="S758" t="str">
        <f>IF(OR(R758&lt;0,R758&gt;100),"invalid","Valid")</f>
        <v>Valid</v>
      </c>
      <c r="U758" t="str">
        <f>PROPER(TRIM(T758))</f>
        <v/>
      </c>
      <c r="V758" t="s">
        <v>91</v>
      </c>
      <c r="W758" t="str">
        <f t="shared" si="22"/>
        <v>Ben</v>
      </c>
      <c r="X758" t="s">
        <v>33</v>
      </c>
      <c r="Y758">
        <v>3</v>
      </c>
      <c r="Z758" t="str">
        <f>IF(D758="", "Missing", "ok")</f>
        <v>ok</v>
      </c>
      <c r="AA758">
        <f t="shared" si="23"/>
        <v>294.82249999999999</v>
      </c>
    </row>
    <row r="759" spans="1:27" x14ac:dyDescent="0.25">
      <c r="A759" t="s">
        <v>2014</v>
      </c>
      <c r="B759" s="1" t="s">
        <v>1135</v>
      </c>
      <c r="C759" t="s">
        <v>2015</v>
      </c>
      <c r="D759" t="s">
        <v>19</v>
      </c>
      <c r="E759" t="str">
        <f>PROPER(TRIM(D759))</f>
        <v>Peter</v>
      </c>
      <c r="F759" t="s">
        <v>46</v>
      </c>
      <c r="G759">
        <v>8</v>
      </c>
      <c r="H759" t="str">
        <f>IF(AND(G759&gt;18, G759&lt;65), "Valid", "Invalid")</f>
        <v>Invalid</v>
      </c>
      <c r="I759" t="s">
        <v>70</v>
      </c>
      <c r="J759" t="str">
        <f>PROPER(TRIM(I759))</f>
        <v>Abuja</v>
      </c>
      <c r="K759" t="s">
        <v>48</v>
      </c>
      <c r="L759" t="str">
        <f>PROPER(TRIM(K759))</f>
        <v>Groceries</v>
      </c>
      <c r="M759" t="s">
        <v>49</v>
      </c>
      <c r="N759" t="str">
        <f>PROPER(TRIM(M759))</f>
        <v>Rice</v>
      </c>
      <c r="O759">
        <v>113.78</v>
      </c>
      <c r="P759">
        <v>-2</v>
      </c>
      <c r="Q759">
        <f>IF(P759&lt;1, 1, P759)</f>
        <v>1</v>
      </c>
      <c r="R759">
        <v>10</v>
      </c>
      <c r="S759" t="str">
        <f>IF(OR(R759&lt;0,R759&gt;100),"invalid","Valid")</f>
        <v>Valid</v>
      </c>
      <c r="T759" t="s">
        <v>59</v>
      </c>
      <c r="U759" t="str">
        <f>PROPER(TRIM(T759))</f>
        <v>Mobile Money</v>
      </c>
      <c r="V759" t="s">
        <v>91</v>
      </c>
      <c r="W759" t="str">
        <f t="shared" si="22"/>
        <v>Ben</v>
      </c>
      <c r="X759" t="s">
        <v>33</v>
      </c>
      <c r="Y759">
        <v>1</v>
      </c>
      <c r="Z759" t="str">
        <f>IF(D759="", "Missing", "ok")</f>
        <v>ok</v>
      </c>
      <c r="AA759">
        <f t="shared" si="23"/>
        <v>102.402</v>
      </c>
    </row>
    <row r="760" spans="1:27" x14ac:dyDescent="0.25">
      <c r="A760" t="s">
        <v>2016</v>
      </c>
      <c r="B760" s="1" t="s">
        <v>1422</v>
      </c>
      <c r="C760" t="s">
        <v>2017</v>
      </c>
      <c r="D760" t="s">
        <v>101</v>
      </c>
      <c r="E760" t="str">
        <f>PROPER(TRIM(D760))</f>
        <v>Grace</v>
      </c>
      <c r="F760" t="s">
        <v>20</v>
      </c>
      <c r="G760">
        <v>20</v>
      </c>
      <c r="H760" t="str">
        <f>IF(AND(G760&gt;18, G760&lt;65), "Valid", "Invalid")</f>
        <v>Valid</v>
      </c>
      <c r="I760" t="s">
        <v>30</v>
      </c>
      <c r="J760" t="str">
        <f>PROPER(TRIM(I760))</f>
        <v>Lagos</v>
      </c>
      <c r="K760" t="s">
        <v>22</v>
      </c>
      <c r="L760" t="str">
        <f>PROPER(TRIM(K760))</f>
        <v>Fashion</v>
      </c>
      <c r="M760" t="s">
        <v>23</v>
      </c>
      <c r="N760" t="str">
        <f>PROPER(TRIM(M760))</f>
        <v>Shirt</v>
      </c>
      <c r="O760">
        <v>18.73</v>
      </c>
      <c r="P760">
        <v>-2</v>
      </c>
      <c r="Q760">
        <f>IF(P760&lt;1, 1, P760)</f>
        <v>1</v>
      </c>
      <c r="R760">
        <v>-10</v>
      </c>
      <c r="S760" t="str">
        <f>IF(OR(R760&lt;0,R760&gt;100),"invalid","Valid")</f>
        <v>invalid</v>
      </c>
      <c r="T760" t="s">
        <v>64</v>
      </c>
      <c r="U760" t="str">
        <f>PROPER(TRIM(T760))</f>
        <v>Transfer</v>
      </c>
      <c r="V760" t="s">
        <v>25</v>
      </c>
      <c r="W760" t="str">
        <f t="shared" si="22"/>
        <v>Dan</v>
      </c>
      <c r="X760" t="s">
        <v>33</v>
      </c>
      <c r="Z760" t="str">
        <f>IF(D760="", "Missing", "ok")</f>
        <v>ok</v>
      </c>
      <c r="AA760">
        <f t="shared" si="23"/>
        <v>20.603000000000002</v>
      </c>
    </row>
    <row r="761" spans="1:27" x14ac:dyDescent="0.25">
      <c r="A761" t="s">
        <v>2018</v>
      </c>
      <c r="B761" s="1" t="s">
        <v>375</v>
      </c>
      <c r="C761" t="s">
        <v>2019</v>
      </c>
      <c r="D761" t="s">
        <v>117</v>
      </c>
      <c r="E761" t="str">
        <f>PROPER(TRIM(D761))</f>
        <v>David</v>
      </c>
      <c r="F761" t="s">
        <v>46</v>
      </c>
      <c r="G761">
        <v>8</v>
      </c>
      <c r="H761" t="str">
        <f>IF(AND(G761&gt;18, G761&lt;65), "Valid", "Invalid")</f>
        <v>Invalid</v>
      </c>
      <c r="I761" t="s">
        <v>47</v>
      </c>
      <c r="J761" t="str">
        <f>PROPER(TRIM(I761))</f>
        <v>Enugu</v>
      </c>
      <c r="K761" t="s">
        <v>48</v>
      </c>
      <c r="L761" t="str">
        <f>PROPER(TRIM(K761))</f>
        <v>Groceries</v>
      </c>
      <c r="M761" t="s">
        <v>49</v>
      </c>
      <c r="N761" t="str">
        <f>PROPER(TRIM(M761))</f>
        <v>Rice</v>
      </c>
      <c r="O761">
        <v>425.64</v>
      </c>
      <c r="P761">
        <v>-2</v>
      </c>
      <c r="Q761">
        <f>IF(P761&lt;1, 1, P761)</f>
        <v>1</v>
      </c>
      <c r="R761">
        <v>0</v>
      </c>
      <c r="S761" t="str">
        <f>IF(OR(R761&lt;0,R761&gt;100),"invalid","Valid")</f>
        <v>Valid</v>
      </c>
      <c r="T761" t="s">
        <v>64</v>
      </c>
      <c r="U761" t="str">
        <f>PROPER(TRIM(T761))</f>
        <v>Transfer</v>
      </c>
      <c r="V761" t="s">
        <v>91</v>
      </c>
      <c r="W761" t="str">
        <f t="shared" si="22"/>
        <v>Ben</v>
      </c>
      <c r="X761" t="s">
        <v>26</v>
      </c>
      <c r="Y761">
        <v>2</v>
      </c>
      <c r="Z761" t="str">
        <f>IF(D761="", "Missing", "ok")</f>
        <v>ok</v>
      </c>
      <c r="AA761">
        <f t="shared" si="23"/>
        <v>425.64</v>
      </c>
    </row>
    <row r="762" spans="1:27" x14ac:dyDescent="0.25">
      <c r="A762" t="s">
        <v>2020</v>
      </c>
      <c r="B762" s="1" t="s">
        <v>2021</v>
      </c>
      <c r="C762" t="s">
        <v>2022</v>
      </c>
      <c r="D762" t="s">
        <v>37</v>
      </c>
      <c r="E762" t="str">
        <f>PROPER(TRIM(D762))</f>
        <v>Aisha</v>
      </c>
      <c r="F762" t="s">
        <v>46</v>
      </c>
      <c r="G762">
        <v>48</v>
      </c>
      <c r="H762" t="str">
        <f>IF(AND(G762&gt;18, G762&lt;65), "Valid", "Invalid")</f>
        <v>Valid</v>
      </c>
      <c r="I762" t="s">
        <v>47</v>
      </c>
      <c r="J762" t="str">
        <f>PROPER(TRIM(I762))</f>
        <v>Enugu</v>
      </c>
      <c r="K762" t="s">
        <v>39</v>
      </c>
      <c r="L762" t="str">
        <f>PROPER(TRIM(K762))</f>
        <v>Electronics</v>
      </c>
      <c r="M762" t="s">
        <v>40</v>
      </c>
      <c r="N762" t="str">
        <f>PROPER(TRIM(M762))</f>
        <v>Phone</v>
      </c>
      <c r="O762">
        <v>79.61</v>
      </c>
      <c r="P762">
        <v>-2</v>
      </c>
      <c r="Q762">
        <f>IF(P762&lt;1, 1, P762)</f>
        <v>1</v>
      </c>
      <c r="R762">
        <v>5</v>
      </c>
      <c r="S762" t="str">
        <f>IF(OR(R762&lt;0,R762&gt;100),"invalid","Valid")</f>
        <v>Valid</v>
      </c>
      <c r="U762" t="str">
        <f>PROPER(TRIM(T762))</f>
        <v/>
      </c>
      <c r="V762" t="s">
        <v>91</v>
      </c>
      <c r="W762" t="str">
        <f t="shared" si="22"/>
        <v>Ben</v>
      </c>
      <c r="X762" t="s">
        <v>65</v>
      </c>
      <c r="Y762">
        <v>5</v>
      </c>
      <c r="Z762" t="str">
        <f>IF(D762="", "Missing", "ok")</f>
        <v>ok</v>
      </c>
      <c r="AA762">
        <f t="shared" si="23"/>
        <v>75.629499999999993</v>
      </c>
    </row>
    <row r="763" spans="1:27" x14ac:dyDescent="0.25">
      <c r="A763" t="s">
        <v>2023</v>
      </c>
      <c r="B763" s="1" t="s">
        <v>1165</v>
      </c>
      <c r="C763" t="s">
        <v>2024</v>
      </c>
      <c r="D763" t="s">
        <v>117</v>
      </c>
      <c r="E763" t="str">
        <f>PROPER(TRIM(D763))</f>
        <v>David</v>
      </c>
      <c r="F763" t="s">
        <v>20</v>
      </c>
      <c r="G763">
        <v>8</v>
      </c>
      <c r="H763" t="str">
        <f>IF(AND(G763&gt;18, G763&lt;65), "Valid", "Invalid")</f>
        <v>Invalid</v>
      </c>
      <c r="I763" t="s">
        <v>30</v>
      </c>
      <c r="J763" t="str">
        <f>PROPER(TRIM(I763))</f>
        <v>Lagos</v>
      </c>
      <c r="K763" t="s">
        <v>121</v>
      </c>
      <c r="L763" t="str">
        <f>PROPER(TRIM(K763))</f>
        <v>Beauty</v>
      </c>
      <c r="M763" t="s">
        <v>122</v>
      </c>
      <c r="N763" t="str">
        <f>PROPER(TRIM(M763))</f>
        <v>Cream</v>
      </c>
      <c r="O763">
        <v>161.32</v>
      </c>
      <c r="P763">
        <v>-2</v>
      </c>
      <c r="Q763">
        <f>IF(P763&lt;1, 1, P763)</f>
        <v>1</v>
      </c>
      <c r="R763">
        <v>15</v>
      </c>
      <c r="S763" t="str">
        <f>IF(OR(R763&lt;0,R763&gt;100),"invalid","Valid")</f>
        <v>Valid</v>
      </c>
      <c r="U763" t="str">
        <f>PROPER(TRIM(T763))</f>
        <v/>
      </c>
      <c r="V763" t="s">
        <v>25</v>
      </c>
      <c r="W763" t="str">
        <f t="shared" si="22"/>
        <v>Dan</v>
      </c>
      <c r="X763" t="s">
        <v>26</v>
      </c>
      <c r="Z763" t="str">
        <f>IF(D763="", "Missing", "ok")</f>
        <v>ok</v>
      </c>
      <c r="AA763">
        <f t="shared" si="23"/>
        <v>137.12199999999999</v>
      </c>
    </row>
    <row r="764" spans="1:27" x14ac:dyDescent="0.25">
      <c r="A764" t="s">
        <v>2025</v>
      </c>
      <c r="B764" s="1" t="s">
        <v>1705</v>
      </c>
      <c r="C764" t="s">
        <v>2026</v>
      </c>
      <c r="E764" t="str">
        <f>PROPER(TRIM(D764))</f>
        <v/>
      </c>
      <c r="F764" t="s">
        <v>46</v>
      </c>
      <c r="G764">
        <v>20</v>
      </c>
      <c r="H764" t="str">
        <f>IF(AND(G764&gt;18, G764&lt;65), "Valid", "Invalid")</f>
        <v>Valid</v>
      </c>
      <c r="I764" t="s">
        <v>38</v>
      </c>
      <c r="J764" t="str">
        <f>PROPER(TRIM(I764))</f>
        <v>Ph</v>
      </c>
      <c r="K764" t="s">
        <v>121</v>
      </c>
      <c r="L764" t="str">
        <f>PROPER(TRIM(K764))</f>
        <v>Beauty</v>
      </c>
      <c r="M764" t="s">
        <v>122</v>
      </c>
      <c r="N764" t="str">
        <f>PROPER(TRIM(M764))</f>
        <v>Cream</v>
      </c>
      <c r="O764">
        <v>232.79</v>
      </c>
      <c r="P764">
        <v>7</v>
      </c>
      <c r="Q764">
        <f>IF(P764&lt;1, 1, P764)</f>
        <v>7</v>
      </c>
      <c r="R764">
        <v>10</v>
      </c>
      <c r="S764" t="str">
        <f>IF(OR(R764&lt;0,R764&gt;100),"invalid","Valid")</f>
        <v>Valid</v>
      </c>
      <c r="T764" t="s">
        <v>24</v>
      </c>
      <c r="U764" t="str">
        <f>PROPER(TRIM(T764))</f>
        <v>Pos</v>
      </c>
      <c r="V764" t="s">
        <v>81</v>
      </c>
      <c r="W764" t="str">
        <f t="shared" si="22"/>
        <v>Ada</v>
      </c>
      <c r="X764" t="s">
        <v>26</v>
      </c>
      <c r="Y764">
        <v>3</v>
      </c>
      <c r="Z764" t="str">
        <f>IF(D764="", "Missing", "ok")</f>
        <v>Missing</v>
      </c>
      <c r="AA764">
        <f t="shared" si="23"/>
        <v>1466.577</v>
      </c>
    </row>
    <row r="765" spans="1:27" x14ac:dyDescent="0.25">
      <c r="A765" t="s">
        <v>2027</v>
      </c>
      <c r="B765" s="1" t="s">
        <v>2028</v>
      </c>
      <c r="C765" t="s">
        <v>2029</v>
      </c>
      <c r="D765" t="s">
        <v>69</v>
      </c>
      <c r="E765" t="str">
        <f>PROPER(TRIM(D765))</f>
        <v>Mary</v>
      </c>
      <c r="F765" t="s">
        <v>20</v>
      </c>
      <c r="G765">
        <v>130</v>
      </c>
      <c r="H765" t="str">
        <f>IF(AND(G765&gt;18, G765&lt;65), "Valid", "Invalid")</f>
        <v>Invalid</v>
      </c>
      <c r="I765" t="s">
        <v>53</v>
      </c>
      <c r="J765" t="str">
        <f>PROPER(TRIM(I765))</f>
        <v>Lagos</v>
      </c>
      <c r="K765" t="s">
        <v>48</v>
      </c>
      <c r="L765" t="str">
        <f>PROPER(TRIM(K765))</f>
        <v>Groceries</v>
      </c>
      <c r="M765" t="s">
        <v>49</v>
      </c>
      <c r="N765" t="str">
        <f>PROPER(TRIM(M765))</f>
        <v>Rice</v>
      </c>
      <c r="O765">
        <v>28.75</v>
      </c>
      <c r="P765">
        <v>-2</v>
      </c>
      <c r="Q765">
        <f>IF(P765&lt;1, 1, P765)</f>
        <v>1</v>
      </c>
      <c r="R765">
        <v>15</v>
      </c>
      <c r="S765" t="str">
        <f>IF(OR(R765&lt;0,R765&gt;100),"invalid","Valid")</f>
        <v>Valid</v>
      </c>
      <c r="T765" t="s">
        <v>24</v>
      </c>
      <c r="U765" t="str">
        <f>PROPER(TRIM(T765))</f>
        <v>Pos</v>
      </c>
      <c r="V765" t="s">
        <v>41</v>
      </c>
      <c r="W765" t="str">
        <f t="shared" si="22"/>
        <v>Chi</v>
      </c>
      <c r="X765" t="s">
        <v>33</v>
      </c>
      <c r="Y765">
        <v>1</v>
      </c>
      <c r="Z765" t="str">
        <f>IF(D765="", "Missing", "ok")</f>
        <v>ok</v>
      </c>
      <c r="AA765">
        <f t="shared" si="23"/>
        <v>24.4375</v>
      </c>
    </row>
    <row r="766" spans="1:27" x14ac:dyDescent="0.25">
      <c r="A766" t="s">
        <v>2030</v>
      </c>
      <c r="B766" s="1" t="s">
        <v>235</v>
      </c>
      <c r="C766" t="s">
        <v>2031</v>
      </c>
      <c r="D766" t="s">
        <v>19</v>
      </c>
      <c r="E766" t="str">
        <f>PROPER(TRIM(D766))</f>
        <v>Peter</v>
      </c>
      <c r="F766" t="s">
        <v>20</v>
      </c>
      <c r="G766">
        <v>22</v>
      </c>
      <c r="H766" t="str">
        <f>IF(AND(G766&gt;18, G766&lt;65), "Valid", "Invalid")</f>
        <v>Valid</v>
      </c>
      <c r="I766" t="s">
        <v>53</v>
      </c>
      <c r="J766" t="str">
        <f>PROPER(TRIM(I766))</f>
        <v>Lagos</v>
      </c>
      <c r="K766" t="s">
        <v>48</v>
      </c>
      <c r="L766" t="str">
        <f>PROPER(TRIM(K766))</f>
        <v>Groceries</v>
      </c>
      <c r="M766" t="s">
        <v>49</v>
      </c>
      <c r="N766" t="str">
        <f>PROPER(TRIM(M766))</f>
        <v>Rice</v>
      </c>
      <c r="O766">
        <v>369.69</v>
      </c>
      <c r="P766">
        <v>8</v>
      </c>
      <c r="Q766">
        <f>IF(P766&lt;1, 1, P766)</f>
        <v>8</v>
      </c>
      <c r="R766">
        <v>15</v>
      </c>
      <c r="S766" t="str">
        <f>IF(OR(R766&lt;0,R766&gt;100),"invalid","Valid")</f>
        <v>Valid</v>
      </c>
      <c r="T766" t="s">
        <v>24</v>
      </c>
      <c r="U766" t="str">
        <f>PROPER(TRIM(T766))</f>
        <v>Pos</v>
      </c>
      <c r="V766" t="s">
        <v>25</v>
      </c>
      <c r="W766" t="str">
        <f t="shared" si="22"/>
        <v>Dan</v>
      </c>
      <c r="X766" t="s">
        <v>82</v>
      </c>
      <c r="Y766">
        <v>5</v>
      </c>
      <c r="Z766" t="str">
        <f>IF(D766="", "Missing", "ok")</f>
        <v>ok</v>
      </c>
      <c r="AA766">
        <f t="shared" si="23"/>
        <v>2513.8919999999998</v>
      </c>
    </row>
    <row r="767" spans="1:27" x14ac:dyDescent="0.25">
      <c r="A767" t="s">
        <v>2032</v>
      </c>
      <c r="B767" s="1" t="s">
        <v>2033</v>
      </c>
      <c r="C767" t="s">
        <v>2034</v>
      </c>
      <c r="D767" t="s">
        <v>45</v>
      </c>
      <c r="E767" t="str">
        <f>PROPER(TRIM(D767))</f>
        <v>James</v>
      </c>
      <c r="F767" t="s">
        <v>20</v>
      </c>
      <c r="G767">
        <v>130</v>
      </c>
      <c r="H767" t="str">
        <f>IF(AND(G767&gt;18, G767&lt;65), "Valid", "Invalid")</f>
        <v>Invalid</v>
      </c>
      <c r="I767" t="s">
        <v>21</v>
      </c>
      <c r="J767" t="str">
        <f>PROPER(TRIM(I767))</f>
        <v>Lagos</v>
      </c>
      <c r="K767" t="s">
        <v>31</v>
      </c>
      <c r="L767" t="str">
        <f>PROPER(TRIM(K767))</f>
        <v>Sports</v>
      </c>
      <c r="M767" t="s">
        <v>32</v>
      </c>
      <c r="N767" t="str">
        <f>PROPER(TRIM(M767))</f>
        <v>Ball</v>
      </c>
      <c r="O767">
        <v>336.84</v>
      </c>
      <c r="P767">
        <v>1</v>
      </c>
      <c r="Q767">
        <f>IF(P767&lt;1, 1, P767)</f>
        <v>1</v>
      </c>
      <c r="R767">
        <v>15</v>
      </c>
      <c r="S767" t="str">
        <f>IF(OR(R767&lt;0,R767&gt;100),"invalid","Valid")</f>
        <v>Valid</v>
      </c>
      <c r="T767" t="s">
        <v>64</v>
      </c>
      <c r="U767" t="str">
        <f>PROPER(TRIM(T767))</f>
        <v>Transfer</v>
      </c>
      <c r="V767" t="s">
        <v>81</v>
      </c>
      <c r="W767" t="str">
        <f t="shared" si="22"/>
        <v>Ada</v>
      </c>
      <c r="X767" t="s">
        <v>33</v>
      </c>
      <c r="Y767">
        <v>1</v>
      </c>
      <c r="Z767" t="str">
        <f>IF(D767="", "Missing", "ok")</f>
        <v>ok</v>
      </c>
      <c r="AA767">
        <f t="shared" si="23"/>
        <v>286.31399999999996</v>
      </c>
    </row>
    <row r="768" spans="1:27" x14ac:dyDescent="0.25">
      <c r="A768" t="s">
        <v>2035</v>
      </c>
      <c r="B768" s="1" t="s">
        <v>473</v>
      </c>
      <c r="C768" t="s">
        <v>2036</v>
      </c>
      <c r="D768" t="s">
        <v>101</v>
      </c>
      <c r="E768" t="str">
        <f>PROPER(TRIM(D768))</f>
        <v>Grace</v>
      </c>
      <c r="F768" t="s">
        <v>46</v>
      </c>
      <c r="G768">
        <v>61</v>
      </c>
      <c r="H768" t="str">
        <f>IF(AND(G768&gt;18, G768&lt;65), "Valid", "Invalid")</f>
        <v>Valid</v>
      </c>
      <c r="I768" t="s">
        <v>30</v>
      </c>
      <c r="J768" t="str">
        <f>PROPER(TRIM(I768))</f>
        <v>Lagos</v>
      </c>
      <c r="K768" t="s">
        <v>39</v>
      </c>
      <c r="L768" t="str">
        <f>PROPER(TRIM(K768))</f>
        <v>Electronics</v>
      </c>
      <c r="M768" t="s">
        <v>40</v>
      </c>
      <c r="N768" t="str">
        <f>PROPER(TRIM(M768))</f>
        <v>Phone</v>
      </c>
      <c r="O768">
        <v>473.41</v>
      </c>
      <c r="P768">
        <v>-2</v>
      </c>
      <c r="Q768">
        <f>IF(P768&lt;1, 1, P768)</f>
        <v>1</v>
      </c>
      <c r="R768">
        <v>-10</v>
      </c>
      <c r="S768" t="str">
        <f>IF(OR(R768&lt;0,R768&gt;100),"invalid","Valid")</f>
        <v>invalid</v>
      </c>
      <c r="T768" t="s">
        <v>59</v>
      </c>
      <c r="U768" t="str">
        <f>PROPER(TRIM(T768))</f>
        <v>Mobile Money</v>
      </c>
      <c r="V768" t="s">
        <v>81</v>
      </c>
      <c r="W768" t="str">
        <f t="shared" si="22"/>
        <v>Ada</v>
      </c>
      <c r="X768" t="s">
        <v>82</v>
      </c>
      <c r="Y768">
        <v>1</v>
      </c>
      <c r="Z768" t="str">
        <f>IF(D768="", "Missing", "ok")</f>
        <v>ok</v>
      </c>
      <c r="AA768">
        <f t="shared" si="23"/>
        <v>520.75100000000009</v>
      </c>
    </row>
    <row r="769" spans="1:27" x14ac:dyDescent="0.25">
      <c r="A769" t="s">
        <v>2037</v>
      </c>
      <c r="B769" s="1" t="s">
        <v>202</v>
      </c>
      <c r="C769" t="s">
        <v>2038</v>
      </c>
      <c r="D769" t="s">
        <v>101</v>
      </c>
      <c r="E769" t="str">
        <f>PROPER(TRIM(D769))</f>
        <v>Grace</v>
      </c>
      <c r="F769" t="s">
        <v>46</v>
      </c>
      <c r="G769">
        <v>8</v>
      </c>
      <c r="H769" t="str">
        <f>IF(AND(G769&gt;18, G769&lt;65), "Valid", "Invalid")</f>
        <v>Invalid</v>
      </c>
      <c r="I769" t="s">
        <v>30</v>
      </c>
      <c r="J769" t="str">
        <f>PROPER(TRIM(I769))</f>
        <v>Lagos</v>
      </c>
      <c r="K769" t="s">
        <v>48</v>
      </c>
      <c r="L769" t="str">
        <f>PROPER(TRIM(K769))</f>
        <v>Groceries</v>
      </c>
      <c r="M769" t="s">
        <v>49</v>
      </c>
      <c r="N769" t="str">
        <f>PROPER(TRIM(M769))</f>
        <v>Rice</v>
      </c>
      <c r="O769">
        <v>94.89</v>
      </c>
      <c r="P769">
        <v>2</v>
      </c>
      <c r="Q769">
        <f>IF(P769&lt;1, 1, P769)</f>
        <v>2</v>
      </c>
      <c r="R769">
        <v>10</v>
      </c>
      <c r="S769" t="str">
        <f>IF(OR(R769&lt;0,R769&gt;100),"invalid","Valid")</f>
        <v>Valid</v>
      </c>
      <c r="U769" t="str">
        <f>PROPER(TRIM(T769))</f>
        <v/>
      </c>
      <c r="V769" t="s">
        <v>25</v>
      </c>
      <c r="W769" t="str">
        <f t="shared" si="22"/>
        <v>Dan</v>
      </c>
      <c r="X769" t="s">
        <v>65</v>
      </c>
      <c r="Y769">
        <v>3</v>
      </c>
      <c r="Z769" t="str">
        <f>IF(D769="", "Missing", "ok")</f>
        <v>ok</v>
      </c>
      <c r="AA769">
        <f t="shared" si="23"/>
        <v>170.80199999999999</v>
      </c>
    </row>
    <row r="770" spans="1:27" x14ac:dyDescent="0.25">
      <c r="A770" t="s">
        <v>2039</v>
      </c>
      <c r="B770" s="1" t="s">
        <v>2040</v>
      </c>
      <c r="C770" t="s">
        <v>2041</v>
      </c>
      <c r="D770" t="s">
        <v>117</v>
      </c>
      <c r="E770" t="str">
        <f>PROPER(TRIM(D770))</f>
        <v>David</v>
      </c>
      <c r="F770" t="s">
        <v>46</v>
      </c>
      <c r="G770">
        <v>8</v>
      </c>
      <c r="H770" t="str">
        <f>IF(AND(G770&gt;18, G770&lt;65), "Valid", "Invalid")</f>
        <v>Invalid</v>
      </c>
      <c r="I770" t="s">
        <v>21</v>
      </c>
      <c r="J770" t="str">
        <f>PROPER(TRIM(I770))</f>
        <v>Lagos</v>
      </c>
      <c r="K770" t="s">
        <v>39</v>
      </c>
      <c r="L770" t="str">
        <f>PROPER(TRIM(K770))</f>
        <v>Electronics</v>
      </c>
      <c r="M770" t="s">
        <v>40</v>
      </c>
      <c r="N770" t="str">
        <f>PROPER(TRIM(M770))</f>
        <v>Phone</v>
      </c>
      <c r="O770">
        <v>66.97</v>
      </c>
      <c r="P770">
        <v>-2</v>
      </c>
      <c r="Q770">
        <f>IF(P770&lt;1, 1, P770)</f>
        <v>1</v>
      </c>
      <c r="R770">
        <v>15</v>
      </c>
      <c r="S770" t="str">
        <f>IF(OR(R770&lt;0,R770&gt;100),"invalid","Valid")</f>
        <v>Valid</v>
      </c>
      <c r="T770" t="s">
        <v>64</v>
      </c>
      <c r="U770" t="str">
        <f>PROPER(TRIM(T770))</f>
        <v>Transfer</v>
      </c>
      <c r="V770" t="s">
        <v>25</v>
      </c>
      <c r="W770" t="str">
        <f t="shared" ref="W770:W833" si="24">PROPER(TRIM(V770))</f>
        <v>Dan</v>
      </c>
      <c r="X770" t="s">
        <v>26</v>
      </c>
      <c r="Y770">
        <v>2</v>
      </c>
      <c r="Z770" t="str">
        <f>IF(D770="", "Missing", "ok")</f>
        <v>ok</v>
      </c>
      <c r="AA770">
        <f t="shared" si="23"/>
        <v>56.924499999999995</v>
      </c>
    </row>
    <row r="771" spans="1:27" x14ac:dyDescent="0.25">
      <c r="A771" t="s">
        <v>2042</v>
      </c>
      <c r="B771" s="1" t="s">
        <v>193</v>
      </c>
      <c r="C771" t="s">
        <v>2043</v>
      </c>
      <c r="D771" t="s">
        <v>45</v>
      </c>
      <c r="E771" t="str">
        <f>PROPER(TRIM(D771))</f>
        <v>James</v>
      </c>
      <c r="F771" t="s">
        <v>46</v>
      </c>
      <c r="G771">
        <v>130</v>
      </c>
      <c r="H771" t="str">
        <f>IF(AND(G771&gt;18, G771&lt;65), "Valid", "Invalid")</f>
        <v>Invalid</v>
      </c>
      <c r="I771" t="s">
        <v>38</v>
      </c>
      <c r="J771" t="str">
        <f>PROPER(TRIM(I771))</f>
        <v>Ph</v>
      </c>
      <c r="K771" t="s">
        <v>87</v>
      </c>
      <c r="L771" t="str">
        <f>PROPER(TRIM(K771))</f>
        <v>Groceris</v>
      </c>
      <c r="M771" t="s">
        <v>49</v>
      </c>
      <c r="N771" t="str">
        <f>PROPER(TRIM(M771))</f>
        <v>Rice</v>
      </c>
      <c r="O771">
        <v>388.77</v>
      </c>
      <c r="P771">
        <v>-2</v>
      </c>
      <c r="Q771">
        <f>IF(P771&lt;1, 1, P771)</f>
        <v>1</v>
      </c>
      <c r="R771">
        <v>15</v>
      </c>
      <c r="S771" t="str">
        <f>IF(OR(R771&lt;0,R771&gt;100),"invalid","Valid")</f>
        <v>Valid</v>
      </c>
      <c r="T771" t="s">
        <v>77</v>
      </c>
      <c r="U771" t="str">
        <f>PROPER(TRIM(T771))</f>
        <v>Cash</v>
      </c>
      <c r="V771" t="s">
        <v>91</v>
      </c>
      <c r="W771" t="str">
        <f t="shared" si="24"/>
        <v>Ben</v>
      </c>
      <c r="X771" t="s">
        <v>26</v>
      </c>
      <c r="Y771">
        <v>4</v>
      </c>
      <c r="Z771" t="str">
        <f>IF(D771="", "Missing", "ok")</f>
        <v>ok</v>
      </c>
      <c r="AA771">
        <f t="shared" ref="AA771:AA834" si="25">(O771*Q771)*(1-R771/100)</f>
        <v>330.4545</v>
      </c>
    </row>
    <row r="772" spans="1:27" x14ac:dyDescent="0.25">
      <c r="A772" t="s">
        <v>2044</v>
      </c>
      <c r="B772" s="1" t="s">
        <v>1432</v>
      </c>
      <c r="C772" t="s">
        <v>2045</v>
      </c>
      <c r="D772" t="s">
        <v>45</v>
      </c>
      <c r="E772" t="str">
        <f>PROPER(TRIM(D772))</f>
        <v>James</v>
      </c>
      <c r="F772" t="s">
        <v>20</v>
      </c>
      <c r="G772">
        <v>130</v>
      </c>
      <c r="H772" t="str">
        <f>IF(AND(G772&gt;18, G772&lt;65), "Valid", "Invalid")</f>
        <v>Invalid</v>
      </c>
      <c r="I772" t="s">
        <v>70</v>
      </c>
      <c r="J772" t="str">
        <f>PROPER(TRIM(I772))</f>
        <v>Abuja</v>
      </c>
      <c r="K772" t="s">
        <v>39</v>
      </c>
      <c r="L772" t="str">
        <f>PROPER(TRIM(K772))</f>
        <v>Electronics</v>
      </c>
      <c r="M772" t="s">
        <v>40</v>
      </c>
      <c r="N772" t="str">
        <f>PROPER(TRIM(M772))</f>
        <v>Phone</v>
      </c>
      <c r="O772">
        <v>61.34</v>
      </c>
      <c r="P772">
        <v>2</v>
      </c>
      <c r="Q772">
        <f>IF(P772&lt;1, 1, P772)</f>
        <v>2</v>
      </c>
      <c r="R772">
        <v>0</v>
      </c>
      <c r="S772" t="str">
        <f>IF(OR(R772&lt;0,R772&gt;100),"invalid","Valid")</f>
        <v>Valid</v>
      </c>
      <c r="T772" t="s">
        <v>59</v>
      </c>
      <c r="U772" t="str">
        <f>PROPER(TRIM(T772))</f>
        <v>Mobile Money</v>
      </c>
      <c r="V772" t="s">
        <v>81</v>
      </c>
      <c r="W772" t="str">
        <f t="shared" si="24"/>
        <v>Ada</v>
      </c>
      <c r="X772" t="s">
        <v>33</v>
      </c>
      <c r="Y772">
        <v>5</v>
      </c>
      <c r="Z772" t="str">
        <f>IF(D772="", "Missing", "ok")</f>
        <v>ok</v>
      </c>
      <c r="AA772">
        <f t="shared" si="25"/>
        <v>122.68</v>
      </c>
    </row>
    <row r="773" spans="1:27" x14ac:dyDescent="0.25">
      <c r="A773" t="s">
        <v>2046</v>
      </c>
      <c r="B773" s="1" t="s">
        <v>2047</v>
      </c>
      <c r="C773" t="s">
        <v>2048</v>
      </c>
      <c r="D773" t="s">
        <v>101</v>
      </c>
      <c r="E773" t="str">
        <f>PROPER(TRIM(D773))</f>
        <v>Grace</v>
      </c>
      <c r="F773" t="s">
        <v>20</v>
      </c>
      <c r="G773">
        <v>130</v>
      </c>
      <c r="H773" t="str">
        <f>IF(AND(G773&gt;18, G773&lt;65), "Valid", "Invalid")</f>
        <v>Invalid</v>
      </c>
      <c r="I773" t="s">
        <v>30</v>
      </c>
      <c r="J773" t="str">
        <f>PROPER(TRIM(I773))</f>
        <v>Lagos</v>
      </c>
      <c r="K773" t="s">
        <v>48</v>
      </c>
      <c r="L773" t="str">
        <f>PROPER(TRIM(K773))</f>
        <v>Groceries</v>
      </c>
      <c r="M773" t="s">
        <v>49</v>
      </c>
      <c r="N773" t="str">
        <f>PROPER(TRIM(M773))</f>
        <v>Rice</v>
      </c>
      <c r="O773">
        <v>380.18</v>
      </c>
      <c r="P773">
        <v>-2</v>
      </c>
      <c r="Q773">
        <f>IF(P773&lt;1, 1, P773)</f>
        <v>1</v>
      </c>
      <c r="R773">
        <v>15</v>
      </c>
      <c r="S773" t="str">
        <f>IF(OR(R773&lt;0,R773&gt;100),"invalid","Valid")</f>
        <v>Valid</v>
      </c>
      <c r="T773" t="s">
        <v>24</v>
      </c>
      <c r="U773" t="str">
        <f>PROPER(TRIM(T773))</f>
        <v>Pos</v>
      </c>
      <c r="V773" t="s">
        <v>91</v>
      </c>
      <c r="W773" t="str">
        <f t="shared" si="24"/>
        <v>Ben</v>
      </c>
      <c r="X773" t="s">
        <v>65</v>
      </c>
      <c r="Y773">
        <v>2</v>
      </c>
      <c r="Z773" t="str">
        <f>IF(D773="", "Missing", "ok")</f>
        <v>ok</v>
      </c>
      <c r="AA773">
        <f t="shared" si="25"/>
        <v>323.15300000000002</v>
      </c>
    </row>
    <row r="774" spans="1:27" x14ac:dyDescent="0.25">
      <c r="A774" t="s">
        <v>2049</v>
      </c>
      <c r="B774" s="1" t="s">
        <v>2050</v>
      </c>
      <c r="C774" t="s">
        <v>2051</v>
      </c>
      <c r="D774" t="s">
        <v>117</v>
      </c>
      <c r="E774" t="str">
        <f>PROPER(TRIM(D774))</f>
        <v>David</v>
      </c>
      <c r="F774" t="s">
        <v>20</v>
      </c>
      <c r="G774">
        <v>8</v>
      </c>
      <c r="H774" t="str">
        <f>IF(AND(G774&gt;18, G774&lt;65), "Valid", "Invalid")</f>
        <v>Invalid</v>
      </c>
      <c r="I774" t="s">
        <v>21</v>
      </c>
      <c r="J774" t="str">
        <f>PROPER(TRIM(I774))</f>
        <v>Lagos</v>
      </c>
      <c r="K774" t="s">
        <v>54</v>
      </c>
      <c r="L774" t="str">
        <f>PROPER(TRIM(K774))</f>
        <v>Home</v>
      </c>
      <c r="M774" t="s">
        <v>55</v>
      </c>
      <c r="N774" t="str">
        <f>PROPER(TRIM(M774))</f>
        <v>Chair</v>
      </c>
      <c r="O774">
        <v>467.53</v>
      </c>
      <c r="P774">
        <v>7</v>
      </c>
      <c r="Q774">
        <f>IF(P774&lt;1, 1, P774)</f>
        <v>7</v>
      </c>
      <c r="R774">
        <v>0</v>
      </c>
      <c r="S774" t="str">
        <f>IF(OR(R774&lt;0,R774&gt;100),"invalid","Valid")</f>
        <v>Valid</v>
      </c>
      <c r="T774" t="s">
        <v>77</v>
      </c>
      <c r="U774" t="str">
        <f>PROPER(TRIM(T774))</f>
        <v>Cash</v>
      </c>
      <c r="V774" t="s">
        <v>25</v>
      </c>
      <c r="W774" t="str">
        <f t="shared" si="24"/>
        <v>Dan</v>
      </c>
      <c r="X774" t="s">
        <v>33</v>
      </c>
      <c r="Y774">
        <v>4</v>
      </c>
      <c r="Z774" t="str">
        <f>IF(D774="", "Missing", "ok")</f>
        <v>ok</v>
      </c>
      <c r="AA774">
        <f t="shared" si="25"/>
        <v>3272.71</v>
      </c>
    </row>
    <row r="775" spans="1:27" x14ac:dyDescent="0.25">
      <c r="A775" t="s">
        <v>2052</v>
      </c>
      <c r="B775" s="1" t="s">
        <v>2053</v>
      </c>
      <c r="C775" t="s">
        <v>2054</v>
      </c>
      <c r="D775" t="s">
        <v>45</v>
      </c>
      <c r="E775" t="str">
        <f>PROPER(TRIM(D775))</f>
        <v>James</v>
      </c>
      <c r="F775" t="s">
        <v>46</v>
      </c>
      <c r="G775">
        <v>8</v>
      </c>
      <c r="H775" t="str">
        <f>IF(AND(G775&gt;18, G775&lt;65), "Valid", "Invalid")</f>
        <v>Invalid</v>
      </c>
      <c r="I775" t="s">
        <v>53</v>
      </c>
      <c r="J775" t="str">
        <f>PROPER(TRIM(I775))</f>
        <v>Lagos</v>
      </c>
      <c r="K775" t="s">
        <v>22</v>
      </c>
      <c r="L775" t="str">
        <f>PROPER(TRIM(K775))</f>
        <v>Fashion</v>
      </c>
      <c r="M775" t="s">
        <v>23</v>
      </c>
      <c r="N775" t="str">
        <f>PROPER(TRIM(M775))</f>
        <v>Shirt</v>
      </c>
      <c r="O775">
        <v>176.66</v>
      </c>
      <c r="P775">
        <v>-2</v>
      </c>
      <c r="Q775">
        <f>IF(P775&lt;1, 1, P775)</f>
        <v>1</v>
      </c>
      <c r="R775">
        <v>-10</v>
      </c>
      <c r="S775" t="str">
        <f>IF(OR(R775&lt;0,R775&gt;100),"invalid","Valid")</f>
        <v>invalid</v>
      </c>
      <c r="T775" t="s">
        <v>59</v>
      </c>
      <c r="U775" t="str">
        <f>PROPER(TRIM(T775))</f>
        <v>Mobile Money</v>
      </c>
      <c r="V775" t="s">
        <v>81</v>
      </c>
      <c r="W775" t="str">
        <f t="shared" si="24"/>
        <v>Ada</v>
      </c>
      <c r="X775" t="s">
        <v>65</v>
      </c>
      <c r="Y775">
        <v>3</v>
      </c>
      <c r="Z775" t="str">
        <f>IF(D775="", "Missing", "ok")</f>
        <v>ok</v>
      </c>
      <c r="AA775">
        <f t="shared" si="25"/>
        <v>194.32600000000002</v>
      </c>
    </row>
    <row r="776" spans="1:27" x14ac:dyDescent="0.25">
      <c r="A776" t="s">
        <v>2055</v>
      </c>
      <c r="B776" s="1" t="s">
        <v>2056</v>
      </c>
      <c r="C776" t="s">
        <v>1492</v>
      </c>
      <c r="D776" t="s">
        <v>69</v>
      </c>
      <c r="E776" t="str">
        <f>PROPER(TRIM(D776))</f>
        <v>Mary</v>
      </c>
      <c r="F776" t="s">
        <v>20</v>
      </c>
      <c r="G776">
        <v>8</v>
      </c>
      <c r="H776" t="str">
        <f>IF(AND(G776&gt;18, G776&lt;65), "Valid", "Invalid")</f>
        <v>Invalid</v>
      </c>
      <c r="I776" t="s">
        <v>70</v>
      </c>
      <c r="J776" t="str">
        <f>PROPER(TRIM(I776))</f>
        <v>Abuja</v>
      </c>
      <c r="K776" t="s">
        <v>54</v>
      </c>
      <c r="L776" t="str">
        <f>PROPER(TRIM(K776))</f>
        <v>Home</v>
      </c>
      <c r="M776" t="s">
        <v>55</v>
      </c>
      <c r="N776" t="str">
        <f>PROPER(TRIM(M776))</f>
        <v>Chair</v>
      </c>
      <c r="O776">
        <v>422.34</v>
      </c>
      <c r="P776">
        <v>-2</v>
      </c>
      <c r="Q776">
        <f>IF(P776&lt;1, 1, P776)</f>
        <v>1</v>
      </c>
      <c r="R776">
        <v>5</v>
      </c>
      <c r="S776" t="str">
        <f>IF(OR(R776&lt;0,R776&gt;100),"invalid","Valid")</f>
        <v>Valid</v>
      </c>
      <c r="U776" t="str">
        <f>PROPER(TRIM(T776))</f>
        <v/>
      </c>
      <c r="V776" t="s">
        <v>81</v>
      </c>
      <c r="W776" t="str">
        <f t="shared" si="24"/>
        <v>Ada</v>
      </c>
      <c r="X776" t="s">
        <v>65</v>
      </c>
      <c r="Y776">
        <v>2</v>
      </c>
      <c r="Z776" t="str">
        <f>IF(D776="", "Missing", "ok")</f>
        <v>ok</v>
      </c>
      <c r="AA776">
        <f t="shared" si="25"/>
        <v>401.22299999999996</v>
      </c>
    </row>
    <row r="777" spans="1:27" x14ac:dyDescent="0.25">
      <c r="A777" t="s">
        <v>2057</v>
      </c>
      <c r="B777" s="1" t="s">
        <v>2058</v>
      </c>
      <c r="C777" t="s">
        <v>2059</v>
      </c>
      <c r="E777" t="str">
        <f>PROPER(TRIM(D777))</f>
        <v/>
      </c>
      <c r="F777" t="s">
        <v>20</v>
      </c>
      <c r="G777">
        <v>130</v>
      </c>
      <c r="H777" t="str">
        <f>IF(AND(G777&gt;18, G777&lt;65), "Valid", "Invalid")</f>
        <v>Invalid</v>
      </c>
      <c r="I777" t="s">
        <v>86</v>
      </c>
      <c r="J777" t="str">
        <f>PROPER(TRIM(I777))</f>
        <v>Kano</v>
      </c>
      <c r="K777" t="s">
        <v>22</v>
      </c>
      <c r="L777" t="str">
        <f>PROPER(TRIM(K777))</f>
        <v>Fashion</v>
      </c>
      <c r="M777" t="s">
        <v>23</v>
      </c>
      <c r="N777" t="str">
        <f>PROPER(TRIM(M777))</f>
        <v>Shirt</v>
      </c>
      <c r="O777">
        <v>16.28</v>
      </c>
      <c r="P777">
        <v>5</v>
      </c>
      <c r="Q777">
        <f>IF(P777&lt;1, 1, P777)</f>
        <v>5</v>
      </c>
      <c r="R777">
        <v>10</v>
      </c>
      <c r="S777" t="str">
        <f>IF(OR(R777&lt;0,R777&gt;100),"invalid","Valid")</f>
        <v>Valid</v>
      </c>
      <c r="T777" t="s">
        <v>64</v>
      </c>
      <c r="U777" t="str">
        <f>PROPER(TRIM(T777))</f>
        <v>Transfer</v>
      </c>
      <c r="V777" t="s">
        <v>91</v>
      </c>
      <c r="W777" t="str">
        <f t="shared" si="24"/>
        <v>Ben</v>
      </c>
      <c r="X777" t="s">
        <v>65</v>
      </c>
      <c r="Y777">
        <v>3</v>
      </c>
      <c r="Z777" t="str">
        <f>IF(D777="", "Missing", "ok")</f>
        <v>Missing</v>
      </c>
      <c r="AA777">
        <f t="shared" si="25"/>
        <v>73.260000000000005</v>
      </c>
    </row>
    <row r="778" spans="1:27" x14ac:dyDescent="0.25">
      <c r="A778" t="s">
        <v>2060</v>
      </c>
      <c r="B778" s="1" t="s">
        <v>896</v>
      </c>
      <c r="C778" t="s">
        <v>2061</v>
      </c>
      <c r="D778" t="s">
        <v>45</v>
      </c>
      <c r="E778" t="str">
        <f>PROPER(TRIM(D778))</f>
        <v>James</v>
      </c>
      <c r="F778" t="s">
        <v>20</v>
      </c>
      <c r="G778">
        <v>130</v>
      </c>
      <c r="H778" t="str">
        <f>IF(AND(G778&gt;18, G778&lt;65), "Valid", "Invalid")</f>
        <v>Invalid</v>
      </c>
      <c r="I778" t="s">
        <v>70</v>
      </c>
      <c r="J778" t="str">
        <f>PROPER(TRIM(I778))</f>
        <v>Abuja</v>
      </c>
      <c r="K778" t="s">
        <v>22</v>
      </c>
      <c r="L778" t="str">
        <f>PROPER(TRIM(K778))</f>
        <v>Fashion</v>
      </c>
      <c r="M778" t="s">
        <v>23</v>
      </c>
      <c r="N778" t="str">
        <f>PROPER(TRIM(M778))</f>
        <v>Shirt</v>
      </c>
      <c r="O778">
        <v>79.88</v>
      </c>
      <c r="P778">
        <v>6</v>
      </c>
      <c r="Q778">
        <f>IF(P778&lt;1, 1, P778)</f>
        <v>6</v>
      </c>
      <c r="R778">
        <v>5</v>
      </c>
      <c r="S778" t="str">
        <f>IF(OR(R778&lt;0,R778&gt;100),"invalid","Valid")</f>
        <v>Valid</v>
      </c>
      <c r="T778" t="s">
        <v>64</v>
      </c>
      <c r="U778" t="str">
        <f>PROPER(TRIM(T778))</f>
        <v>Transfer</v>
      </c>
      <c r="V778" t="s">
        <v>25</v>
      </c>
      <c r="W778" t="str">
        <f t="shared" si="24"/>
        <v>Dan</v>
      </c>
      <c r="X778" t="s">
        <v>26</v>
      </c>
      <c r="Y778">
        <v>4</v>
      </c>
      <c r="Z778" t="str">
        <f>IF(D778="", "Missing", "ok")</f>
        <v>ok</v>
      </c>
      <c r="AA778">
        <f t="shared" si="25"/>
        <v>455.31599999999997</v>
      </c>
    </row>
    <row r="779" spans="1:27" x14ac:dyDescent="0.25">
      <c r="A779" t="s">
        <v>2062</v>
      </c>
      <c r="B779" s="1" t="s">
        <v>1064</v>
      </c>
      <c r="C779" t="s">
        <v>2063</v>
      </c>
      <c r="E779" t="str">
        <f>PROPER(TRIM(D779))</f>
        <v/>
      </c>
      <c r="F779" t="s">
        <v>46</v>
      </c>
      <c r="G779">
        <v>8</v>
      </c>
      <c r="H779" t="str">
        <f>IF(AND(G779&gt;18, G779&lt;65), "Valid", "Invalid")</f>
        <v>Invalid</v>
      </c>
      <c r="I779" t="s">
        <v>70</v>
      </c>
      <c r="J779" t="str">
        <f>PROPER(TRIM(I779))</f>
        <v>Abuja</v>
      </c>
      <c r="K779" t="s">
        <v>48</v>
      </c>
      <c r="L779" t="str">
        <f>PROPER(TRIM(K779))</f>
        <v>Groceries</v>
      </c>
      <c r="M779" t="s">
        <v>49</v>
      </c>
      <c r="N779" t="str">
        <f>PROPER(TRIM(M779))</f>
        <v>Rice</v>
      </c>
      <c r="O779">
        <v>159.82</v>
      </c>
      <c r="P779">
        <v>8</v>
      </c>
      <c r="Q779">
        <f>IF(P779&lt;1, 1, P779)</f>
        <v>8</v>
      </c>
      <c r="R779">
        <v>15</v>
      </c>
      <c r="S779" t="str">
        <f>IF(OR(R779&lt;0,R779&gt;100),"invalid","Valid")</f>
        <v>Valid</v>
      </c>
      <c r="T779" t="s">
        <v>59</v>
      </c>
      <c r="U779" t="str">
        <f>PROPER(TRIM(T779))</f>
        <v>Mobile Money</v>
      </c>
      <c r="V779" t="s">
        <v>81</v>
      </c>
      <c r="W779" t="str">
        <f t="shared" si="24"/>
        <v>Ada</v>
      </c>
      <c r="X779" t="s">
        <v>82</v>
      </c>
      <c r="Y779">
        <v>5</v>
      </c>
      <c r="Z779" t="str">
        <f>IF(D779="", "Missing", "ok")</f>
        <v>Missing</v>
      </c>
      <c r="AA779">
        <f t="shared" si="25"/>
        <v>1086.7759999999998</v>
      </c>
    </row>
    <row r="780" spans="1:27" x14ac:dyDescent="0.25">
      <c r="A780" t="s">
        <v>2064</v>
      </c>
      <c r="B780" s="1" t="s">
        <v>961</v>
      </c>
      <c r="C780" t="s">
        <v>2065</v>
      </c>
      <c r="D780" t="s">
        <v>101</v>
      </c>
      <c r="E780" t="str">
        <f>PROPER(TRIM(D780))</f>
        <v>Grace</v>
      </c>
      <c r="F780" t="s">
        <v>20</v>
      </c>
      <c r="G780">
        <v>56</v>
      </c>
      <c r="H780" t="str">
        <f>IF(AND(G780&gt;18, G780&lt;65), "Valid", "Invalid")</f>
        <v>Valid</v>
      </c>
      <c r="I780" t="s">
        <v>38</v>
      </c>
      <c r="J780" t="str">
        <f>PROPER(TRIM(I780))</f>
        <v>Ph</v>
      </c>
      <c r="K780" t="s">
        <v>87</v>
      </c>
      <c r="L780" t="str">
        <f>PROPER(TRIM(K780))</f>
        <v>Groceris</v>
      </c>
      <c r="M780" t="s">
        <v>49</v>
      </c>
      <c r="N780" t="str">
        <f>PROPER(TRIM(M780))</f>
        <v>Rice</v>
      </c>
      <c r="O780">
        <v>465.6</v>
      </c>
      <c r="P780">
        <v>-2</v>
      </c>
      <c r="Q780">
        <f>IF(P780&lt;1, 1, P780)</f>
        <v>1</v>
      </c>
      <c r="R780">
        <v>120</v>
      </c>
      <c r="S780" t="str">
        <f>IF(OR(R780&lt;0,R780&gt;100),"invalid","Valid")</f>
        <v>invalid</v>
      </c>
      <c r="T780" t="s">
        <v>59</v>
      </c>
      <c r="U780" t="str">
        <f>PROPER(TRIM(T780))</f>
        <v>Mobile Money</v>
      </c>
      <c r="V780" t="s">
        <v>81</v>
      </c>
      <c r="W780" t="str">
        <f t="shared" si="24"/>
        <v>Ada</v>
      </c>
      <c r="X780" t="s">
        <v>65</v>
      </c>
      <c r="Y780">
        <v>4</v>
      </c>
      <c r="Z780" t="str">
        <f>IF(D780="", "Missing", "ok")</f>
        <v>ok</v>
      </c>
      <c r="AA780">
        <f t="shared" si="25"/>
        <v>-93.11999999999999</v>
      </c>
    </row>
    <row r="781" spans="1:27" x14ac:dyDescent="0.25">
      <c r="A781" t="s">
        <v>2066</v>
      </c>
      <c r="B781" s="1" t="s">
        <v>2067</v>
      </c>
      <c r="C781" t="s">
        <v>2068</v>
      </c>
      <c r="D781" t="s">
        <v>117</v>
      </c>
      <c r="E781" t="str">
        <f>PROPER(TRIM(D781))</f>
        <v>David</v>
      </c>
      <c r="F781" t="s">
        <v>20</v>
      </c>
      <c r="G781">
        <v>36</v>
      </c>
      <c r="H781" t="str">
        <f>IF(AND(G781&gt;18, G781&lt;65), "Valid", "Invalid")</f>
        <v>Valid</v>
      </c>
      <c r="I781" t="s">
        <v>38</v>
      </c>
      <c r="J781" t="str">
        <f>PROPER(TRIM(I781))</f>
        <v>Ph</v>
      </c>
      <c r="K781" t="s">
        <v>48</v>
      </c>
      <c r="L781" t="str">
        <f>PROPER(TRIM(K781))</f>
        <v>Groceries</v>
      </c>
      <c r="M781" t="s">
        <v>49</v>
      </c>
      <c r="N781" t="str">
        <f>PROPER(TRIM(M781))</f>
        <v>Rice</v>
      </c>
      <c r="O781">
        <v>211.77</v>
      </c>
      <c r="P781">
        <v>1</v>
      </c>
      <c r="Q781">
        <f>IF(P781&lt;1, 1, P781)</f>
        <v>1</v>
      </c>
      <c r="R781">
        <v>-10</v>
      </c>
      <c r="S781" t="str">
        <f>IF(OR(R781&lt;0,R781&gt;100),"invalid","Valid")</f>
        <v>invalid</v>
      </c>
      <c r="T781" t="s">
        <v>59</v>
      </c>
      <c r="U781" t="str">
        <f>PROPER(TRIM(T781))</f>
        <v>Mobile Money</v>
      </c>
      <c r="V781" t="s">
        <v>25</v>
      </c>
      <c r="W781" t="str">
        <f t="shared" si="24"/>
        <v>Dan</v>
      </c>
      <c r="X781" t="s">
        <v>65</v>
      </c>
      <c r="Y781">
        <v>4</v>
      </c>
      <c r="Z781" t="str">
        <f>IF(D781="", "Missing", "ok")</f>
        <v>ok</v>
      </c>
      <c r="AA781">
        <f t="shared" si="25"/>
        <v>232.94700000000003</v>
      </c>
    </row>
    <row r="782" spans="1:27" x14ac:dyDescent="0.25">
      <c r="A782" t="s">
        <v>2069</v>
      </c>
      <c r="B782" s="1" t="s">
        <v>2070</v>
      </c>
      <c r="C782" t="s">
        <v>2071</v>
      </c>
      <c r="D782" t="s">
        <v>101</v>
      </c>
      <c r="E782" t="str">
        <f>PROPER(TRIM(D782))</f>
        <v>Grace</v>
      </c>
      <c r="F782" t="s">
        <v>20</v>
      </c>
      <c r="G782">
        <v>130</v>
      </c>
      <c r="H782" t="str">
        <f>IF(AND(G782&gt;18, G782&lt;65), "Valid", "Invalid")</f>
        <v>Invalid</v>
      </c>
      <c r="I782" t="s">
        <v>86</v>
      </c>
      <c r="J782" t="str">
        <f>PROPER(TRIM(I782))</f>
        <v>Kano</v>
      </c>
      <c r="K782" t="s">
        <v>31</v>
      </c>
      <c r="L782" t="str">
        <f>PROPER(TRIM(K782))</f>
        <v>Sports</v>
      </c>
      <c r="M782" t="s">
        <v>32</v>
      </c>
      <c r="N782" t="str">
        <f>PROPER(TRIM(M782))</f>
        <v>Ball</v>
      </c>
      <c r="O782">
        <v>141.4</v>
      </c>
      <c r="P782">
        <v>-2</v>
      </c>
      <c r="Q782">
        <f>IF(P782&lt;1, 1, P782)</f>
        <v>1</v>
      </c>
      <c r="R782">
        <v>15</v>
      </c>
      <c r="S782" t="str">
        <f>IF(OR(R782&lt;0,R782&gt;100),"invalid","Valid")</f>
        <v>Valid</v>
      </c>
      <c r="T782" t="s">
        <v>24</v>
      </c>
      <c r="U782" t="str">
        <f>PROPER(TRIM(T782))</f>
        <v>Pos</v>
      </c>
      <c r="V782" t="s">
        <v>41</v>
      </c>
      <c r="W782" t="str">
        <f t="shared" si="24"/>
        <v>Chi</v>
      </c>
      <c r="X782" t="s">
        <v>33</v>
      </c>
      <c r="Y782">
        <v>3</v>
      </c>
      <c r="Z782" t="str">
        <f>IF(D782="", "Missing", "ok")</f>
        <v>ok</v>
      </c>
      <c r="AA782">
        <f t="shared" si="25"/>
        <v>120.19</v>
      </c>
    </row>
    <row r="783" spans="1:27" x14ac:dyDescent="0.25">
      <c r="A783" t="s">
        <v>2072</v>
      </c>
      <c r="B783" s="1" t="s">
        <v>2073</v>
      </c>
      <c r="C783" t="s">
        <v>2074</v>
      </c>
      <c r="D783" t="s">
        <v>69</v>
      </c>
      <c r="E783" t="str">
        <f>PROPER(TRIM(D783))</f>
        <v>Mary</v>
      </c>
      <c r="F783" t="s">
        <v>20</v>
      </c>
      <c r="G783">
        <v>8</v>
      </c>
      <c r="H783" t="str">
        <f>IF(AND(G783&gt;18, G783&lt;65), "Valid", "Invalid")</f>
        <v>Invalid</v>
      </c>
      <c r="I783" t="s">
        <v>47</v>
      </c>
      <c r="J783" t="str">
        <f>PROPER(TRIM(I783))</f>
        <v>Enugu</v>
      </c>
      <c r="K783" t="s">
        <v>39</v>
      </c>
      <c r="L783" t="str">
        <f>PROPER(TRIM(K783))</f>
        <v>Electronics</v>
      </c>
      <c r="M783" t="s">
        <v>40</v>
      </c>
      <c r="N783" t="str">
        <f>PROPER(TRIM(M783))</f>
        <v>Phone</v>
      </c>
      <c r="O783">
        <v>432.47</v>
      </c>
      <c r="P783">
        <v>-2</v>
      </c>
      <c r="Q783">
        <f>IF(P783&lt;1, 1, P783)</f>
        <v>1</v>
      </c>
      <c r="R783">
        <v>0</v>
      </c>
      <c r="S783" t="str">
        <f>IF(OR(R783&lt;0,R783&gt;100),"invalid","Valid")</f>
        <v>Valid</v>
      </c>
      <c r="T783" t="s">
        <v>24</v>
      </c>
      <c r="U783" t="str">
        <f>PROPER(TRIM(T783))</f>
        <v>Pos</v>
      </c>
      <c r="V783" t="s">
        <v>91</v>
      </c>
      <c r="W783" t="str">
        <f t="shared" si="24"/>
        <v>Ben</v>
      </c>
      <c r="X783" t="s">
        <v>33</v>
      </c>
      <c r="Y783">
        <v>4</v>
      </c>
      <c r="Z783" t="str">
        <f>IF(D783="", "Missing", "ok")</f>
        <v>ok</v>
      </c>
      <c r="AA783">
        <f t="shared" si="25"/>
        <v>432.47</v>
      </c>
    </row>
    <row r="784" spans="1:27" x14ac:dyDescent="0.25">
      <c r="A784" t="s">
        <v>2075</v>
      </c>
      <c r="B784" s="1" t="s">
        <v>150</v>
      </c>
      <c r="C784" t="s">
        <v>2076</v>
      </c>
      <c r="D784" t="s">
        <v>19</v>
      </c>
      <c r="E784" t="str">
        <f>PROPER(TRIM(D784))</f>
        <v>Peter</v>
      </c>
      <c r="F784" t="s">
        <v>46</v>
      </c>
      <c r="G784">
        <v>58</v>
      </c>
      <c r="H784" t="str">
        <f>IF(AND(G784&gt;18, G784&lt;65), "Valid", "Invalid")</f>
        <v>Valid</v>
      </c>
      <c r="I784" t="s">
        <v>30</v>
      </c>
      <c r="J784" t="str">
        <f>PROPER(TRIM(I784))</f>
        <v>Lagos</v>
      </c>
      <c r="K784" t="s">
        <v>87</v>
      </c>
      <c r="L784" t="str">
        <f>PROPER(TRIM(K784))</f>
        <v>Groceris</v>
      </c>
      <c r="M784" t="s">
        <v>49</v>
      </c>
      <c r="N784" t="str">
        <f>PROPER(TRIM(M784))</f>
        <v>Rice</v>
      </c>
      <c r="O784">
        <v>170.81</v>
      </c>
      <c r="P784">
        <v>-2</v>
      </c>
      <c r="Q784">
        <f>IF(P784&lt;1, 1, P784)</f>
        <v>1</v>
      </c>
      <c r="R784">
        <v>15</v>
      </c>
      <c r="S784" t="str">
        <f>IF(OR(R784&lt;0,R784&gt;100),"invalid","Valid")</f>
        <v>Valid</v>
      </c>
      <c r="U784" t="str">
        <f>PROPER(TRIM(T784))</f>
        <v/>
      </c>
      <c r="V784" t="s">
        <v>91</v>
      </c>
      <c r="W784" t="str">
        <f t="shared" si="24"/>
        <v>Ben</v>
      </c>
      <c r="X784" t="s">
        <v>26</v>
      </c>
      <c r="Y784">
        <v>5</v>
      </c>
      <c r="Z784" t="str">
        <f>IF(D784="", "Missing", "ok")</f>
        <v>ok</v>
      </c>
      <c r="AA784">
        <f t="shared" si="25"/>
        <v>145.1885</v>
      </c>
    </row>
    <row r="785" spans="1:27" x14ac:dyDescent="0.25">
      <c r="A785" t="s">
        <v>2077</v>
      </c>
      <c r="B785" s="1" t="s">
        <v>1324</v>
      </c>
      <c r="C785" t="s">
        <v>2078</v>
      </c>
      <c r="D785" t="s">
        <v>63</v>
      </c>
      <c r="E785" t="str">
        <f>PROPER(TRIM(D785))</f>
        <v>John</v>
      </c>
      <c r="F785" t="s">
        <v>46</v>
      </c>
      <c r="G785">
        <v>8</v>
      </c>
      <c r="H785" t="str">
        <f>IF(AND(G785&gt;18, G785&lt;65), "Valid", "Invalid")</f>
        <v>Invalid</v>
      </c>
      <c r="I785" t="s">
        <v>47</v>
      </c>
      <c r="J785" t="str">
        <f>PROPER(TRIM(I785))</f>
        <v>Enugu</v>
      </c>
      <c r="K785" t="s">
        <v>22</v>
      </c>
      <c r="L785" t="str">
        <f>PROPER(TRIM(K785))</f>
        <v>Fashion</v>
      </c>
      <c r="M785" t="s">
        <v>23</v>
      </c>
      <c r="N785" t="str">
        <f>PROPER(TRIM(M785))</f>
        <v>Shirt</v>
      </c>
      <c r="O785">
        <v>131.66</v>
      </c>
      <c r="P785">
        <v>-2</v>
      </c>
      <c r="Q785">
        <f>IF(P785&lt;1, 1, P785)</f>
        <v>1</v>
      </c>
      <c r="R785">
        <v>0</v>
      </c>
      <c r="S785" t="str">
        <f>IF(OR(R785&lt;0,R785&gt;100),"invalid","Valid")</f>
        <v>Valid</v>
      </c>
      <c r="T785" t="s">
        <v>24</v>
      </c>
      <c r="U785" t="str">
        <f>PROPER(TRIM(T785))</f>
        <v>Pos</v>
      </c>
      <c r="V785" t="s">
        <v>25</v>
      </c>
      <c r="W785" t="str">
        <f t="shared" si="24"/>
        <v>Dan</v>
      </c>
      <c r="X785" t="s">
        <v>33</v>
      </c>
      <c r="Y785">
        <v>3</v>
      </c>
      <c r="Z785" t="str">
        <f>IF(D785="", "Missing", "ok")</f>
        <v>ok</v>
      </c>
      <c r="AA785">
        <f t="shared" si="25"/>
        <v>131.66</v>
      </c>
    </row>
    <row r="786" spans="1:27" x14ac:dyDescent="0.25">
      <c r="A786" t="s">
        <v>2079</v>
      </c>
      <c r="B786" s="1" t="s">
        <v>2080</v>
      </c>
      <c r="C786" t="s">
        <v>2081</v>
      </c>
      <c r="E786" t="str">
        <f>PROPER(TRIM(D786))</f>
        <v/>
      </c>
      <c r="F786" t="s">
        <v>20</v>
      </c>
      <c r="G786">
        <v>130</v>
      </c>
      <c r="H786" t="str">
        <f>IF(AND(G786&gt;18, G786&lt;65), "Valid", "Invalid")</f>
        <v>Invalid</v>
      </c>
      <c r="I786" t="s">
        <v>86</v>
      </c>
      <c r="J786" t="str">
        <f>PROPER(TRIM(I786))</f>
        <v>Kano</v>
      </c>
      <c r="K786" t="s">
        <v>31</v>
      </c>
      <c r="L786" t="str">
        <f>PROPER(TRIM(K786))</f>
        <v>Sports</v>
      </c>
      <c r="M786" t="s">
        <v>32</v>
      </c>
      <c r="N786" t="str">
        <f>PROPER(TRIM(M786))</f>
        <v>Ball</v>
      </c>
      <c r="O786">
        <v>226.38</v>
      </c>
      <c r="P786">
        <v>9</v>
      </c>
      <c r="Q786">
        <f>IF(P786&lt;1, 1, P786)</f>
        <v>9</v>
      </c>
      <c r="R786">
        <v>120</v>
      </c>
      <c r="S786" t="str">
        <f>IF(OR(R786&lt;0,R786&gt;100),"invalid","Valid")</f>
        <v>invalid</v>
      </c>
      <c r="T786" t="s">
        <v>64</v>
      </c>
      <c r="U786" t="str">
        <f>PROPER(TRIM(T786))</f>
        <v>Transfer</v>
      </c>
      <c r="V786" t="s">
        <v>41</v>
      </c>
      <c r="W786" t="str">
        <f t="shared" si="24"/>
        <v>Chi</v>
      </c>
      <c r="X786" t="s">
        <v>26</v>
      </c>
      <c r="Y786">
        <v>2</v>
      </c>
      <c r="Z786" t="str">
        <f>IF(D786="", "Missing", "ok")</f>
        <v>Missing</v>
      </c>
      <c r="AA786">
        <f t="shared" si="25"/>
        <v>-407.48399999999992</v>
      </c>
    </row>
    <row r="787" spans="1:27" x14ac:dyDescent="0.25">
      <c r="A787" t="s">
        <v>2082</v>
      </c>
      <c r="B787" s="1" t="s">
        <v>235</v>
      </c>
      <c r="C787" t="s">
        <v>2083</v>
      </c>
      <c r="D787" t="s">
        <v>19</v>
      </c>
      <c r="E787" t="str">
        <f>PROPER(TRIM(D787))</f>
        <v>Peter</v>
      </c>
      <c r="F787" t="s">
        <v>46</v>
      </c>
      <c r="G787">
        <v>63</v>
      </c>
      <c r="H787" t="str">
        <f>IF(AND(G787&gt;18, G787&lt;65), "Valid", "Invalid")</f>
        <v>Valid</v>
      </c>
      <c r="I787" t="s">
        <v>70</v>
      </c>
      <c r="J787" t="str">
        <f>PROPER(TRIM(I787))</f>
        <v>Abuja</v>
      </c>
      <c r="K787" t="s">
        <v>39</v>
      </c>
      <c r="L787" t="str">
        <f>PROPER(TRIM(K787))</f>
        <v>Electronics</v>
      </c>
      <c r="M787" t="s">
        <v>40</v>
      </c>
      <c r="N787" t="str">
        <f>PROPER(TRIM(M787))</f>
        <v>Phone</v>
      </c>
      <c r="O787">
        <v>403.36</v>
      </c>
      <c r="P787">
        <v>1</v>
      </c>
      <c r="Q787">
        <f>IF(P787&lt;1, 1, P787)</f>
        <v>1</v>
      </c>
      <c r="R787">
        <v>5</v>
      </c>
      <c r="S787" t="str">
        <f>IF(OR(R787&lt;0,R787&gt;100),"invalid","Valid")</f>
        <v>Valid</v>
      </c>
      <c r="T787" t="s">
        <v>64</v>
      </c>
      <c r="U787" t="str">
        <f>PROPER(TRIM(T787))</f>
        <v>Transfer</v>
      </c>
      <c r="V787" t="s">
        <v>25</v>
      </c>
      <c r="W787" t="str">
        <f t="shared" si="24"/>
        <v>Dan</v>
      </c>
      <c r="X787" t="s">
        <v>26</v>
      </c>
      <c r="Y787">
        <v>4</v>
      </c>
      <c r="Z787" t="str">
        <f>IF(D787="", "Missing", "ok")</f>
        <v>ok</v>
      </c>
      <c r="AA787">
        <f t="shared" si="25"/>
        <v>383.19200000000001</v>
      </c>
    </row>
    <row r="788" spans="1:27" x14ac:dyDescent="0.25">
      <c r="A788" t="s">
        <v>2084</v>
      </c>
      <c r="B788" s="1" t="s">
        <v>2085</v>
      </c>
      <c r="C788" t="s">
        <v>2086</v>
      </c>
      <c r="D788" t="s">
        <v>19</v>
      </c>
      <c r="E788" t="str">
        <f>PROPER(TRIM(D788))</f>
        <v>Peter</v>
      </c>
      <c r="F788" t="s">
        <v>20</v>
      </c>
      <c r="G788">
        <v>8</v>
      </c>
      <c r="H788" t="str">
        <f>IF(AND(G788&gt;18, G788&lt;65), "Valid", "Invalid")</f>
        <v>Invalid</v>
      </c>
      <c r="I788" t="s">
        <v>53</v>
      </c>
      <c r="J788" t="str">
        <f>PROPER(TRIM(I788))</f>
        <v>Lagos</v>
      </c>
      <c r="K788" t="s">
        <v>39</v>
      </c>
      <c r="L788" t="str">
        <f>PROPER(TRIM(K788))</f>
        <v>Electronics</v>
      </c>
      <c r="M788" t="s">
        <v>40</v>
      </c>
      <c r="N788" t="str">
        <f>PROPER(TRIM(M788))</f>
        <v>Phone</v>
      </c>
      <c r="O788">
        <v>117.03</v>
      </c>
      <c r="P788">
        <v>-2</v>
      </c>
      <c r="Q788">
        <f>IF(P788&lt;1, 1, P788)</f>
        <v>1</v>
      </c>
      <c r="R788">
        <v>120</v>
      </c>
      <c r="S788" t="str">
        <f>IF(OR(R788&lt;0,R788&gt;100),"invalid","Valid")</f>
        <v>invalid</v>
      </c>
      <c r="T788" t="s">
        <v>59</v>
      </c>
      <c r="U788" t="str">
        <f>PROPER(TRIM(T788))</f>
        <v>Mobile Money</v>
      </c>
      <c r="V788" t="s">
        <v>81</v>
      </c>
      <c r="W788" t="str">
        <f t="shared" si="24"/>
        <v>Ada</v>
      </c>
      <c r="X788" t="s">
        <v>65</v>
      </c>
      <c r="Y788">
        <v>3</v>
      </c>
      <c r="Z788" t="str">
        <f>IF(D788="", "Missing", "ok")</f>
        <v>ok</v>
      </c>
      <c r="AA788">
        <f t="shared" si="25"/>
        <v>-23.405999999999995</v>
      </c>
    </row>
    <row r="789" spans="1:27" x14ac:dyDescent="0.25">
      <c r="A789" t="s">
        <v>2087</v>
      </c>
      <c r="B789" s="1" t="s">
        <v>2088</v>
      </c>
      <c r="C789" t="s">
        <v>2089</v>
      </c>
      <c r="D789" t="s">
        <v>19</v>
      </c>
      <c r="E789" t="str">
        <f>PROPER(TRIM(D789))</f>
        <v>Peter</v>
      </c>
      <c r="F789" t="s">
        <v>20</v>
      </c>
      <c r="G789">
        <v>130</v>
      </c>
      <c r="H789" t="str">
        <f>IF(AND(G789&gt;18, G789&lt;65), "Valid", "Invalid")</f>
        <v>Invalid</v>
      </c>
      <c r="I789" t="s">
        <v>21</v>
      </c>
      <c r="J789" t="str">
        <f>PROPER(TRIM(I789))</f>
        <v>Lagos</v>
      </c>
      <c r="K789" t="s">
        <v>54</v>
      </c>
      <c r="L789" t="str">
        <f>PROPER(TRIM(K789))</f>
        <v>Home</v>
      </c>
      <c r="M789" t="s">
        <v>55</v>
      </c>
      <c r="N789" t="str">
        <f>PROPER(TRIM(M789))</f>
        <v>Chair</v>
      </c>
      <c r="O789">
        <v>220.48</v>
      </c>
      <c r="P789">
        <v>-2</v>
      </c>
      <c r="Q789">
        <f>IF(P789&lt;1, 1, P789)</f>
        <v>1</v>
      </c>
      <c r="R789">
        <v>-10</v>
      </c>
      <c r="S789" t="str">
        <f>IF(OR(R789&lt;0,R789&gt;100),"invalid","Valid")</f>
        <v>invalid</v>
      </c>
      <c r="T789" t="s">
        <v>64</v>
      </c>
      <c r="U789" t="str">
        <f>PROPER(TRIM(T789))</f>
        <v>Transfer</v>
      </c>
      <c r="V789" t="s">
        <v>41</v>
      </c>
      <c r="W789" t="str">
        <f t="shared" si="24"/>
        <v>Chi</v>
      </c>
      <c r="X789" t="s">
        <v>65</v>
      </c>
      <c r="Z789" t="str">
        <f>IF(D789="", "Missing", "ok")</f>
        <v>ok</v>
      </c>
      <c r="AA789">
        <f t="shared" si="25"/>
        <v>242.52800000000002</v>
      </c>
    </row>
    <row r="790" spans="1:27" x14ac:dyDescent="0.25">
      <c r="A790" t="s">
        <v>2090</v>
      </c>
      <c r="B790" s="1" t="s">
        <v>249</v>
      </c>
      <c r="C790" t="s">
        <v>2091</v>
      </c>
      <c r="D790" t="s">
        <v>37</v>
      </c>
      <c r="E790" t="str">
        <f>PROPER(TRIM(D790))</f>
        <v>Aisha</v>
      </c>
      <c r="F790" t="s">
        <v>46</v>
      </c>
      <c r="G790">
        <v>130</v>
      </c>
      <c r="H790" t="str">
        <f>IF(AND(G790&gt;18, G790&lt;65), "Valid", "Invalid")</f>
        <v>Invalid</v>
      </c>
      <c r="I790" t="s">
        <v>86</v>
      </c>
      <c r="J790" t="str">
        <f>PROPER(TRIM(I790))</f>
        <v>Kano</v>
      </c>
      <c r="K790" t="s">
        <v>121</v>
      </c>
      <c r="L790" t="str">
        <f>PROPER(TRIM(K790))</f>
        <v>Beauty</v>
      </c>
      <c r="M790" t="s">
        <v>122</v>
      </c>
      <c r="N790" t="str">
        <f>PROPER(TRIM(M790))</f>
        <v>Cream</v>
      </c>
      <c r="O790">
        <v>477.78</v>
      </c>
      <c r="P790">
        <v>9</v>
      </c>
      <c r="Q790">
        <f>IF(P790&lt;1, 1, P790)</f>
        <v>9</v>
      </c>
      <c r="R790">
        <v>10</v>
      </c>
      <c r="S790" t="str">
        <f>IF(OR(R790&lt;0,R790&gt;100),"invalid","Valid")</f>
        <v>Valid</v>
      </c>
      <c r="T790" t="s">
        <v>24</v>
      </c>
      <c r="U790" t="str">
        <f>PROPER(TRIM(T790))</f>
        <v>Pos</v>
      </c>
      <c r="V790" t="s">
        <v>41</v>
      </c>
      <c r="W790" t="str">
        <f t="shared" si="24"/>
        <v>Chi</v>
      </c>
      <c r="X790" t="s">
        <v>26</v>
      </c>
      <c r="Y790">
        <v>5</v>
      </c>
      <c r="Z790" t="str">
        <f>IF(D790="", "Missing", "ok")</f>
        <v>ok</v>
      </c>
      <c r="AA790">
        <f t="shared" si="25"/>
        <v>3870.0179999999996</v>
      </c>
    </row>
    <row r="791" spans="1:27" x14ac:dyDescent="0.25">
      <c r="A791" t="s">
        <v>2092</v>
      </c>
      <c r="B791" s="1" t="s">
        <v>51</v>
      </c>
      <c r="C791" t="s">
        <v>2093</v>
      </c>
      <c r="D791" t="s">
        <v>45</v>
      </c>
      <c r="E791" t="str">
        <f>PROPER(TRIM(D791))</f>
        <v>James</v>
      </c>
      <c r="F791" t="s">
        <v>20</v>
      </c>
      <c r="G791">
        <v>30</v>
      </c>
      <c r="H791" t="str">
        <f>IF(AND(G791&gt;18, G791&lt;65), "Valid", "Invalid")</f>
        <v>Valid</v>
      </c>
      <c r="I791" t="s">
        <v>86</v>
      </c>
      <c r="J791" t="str">
        <f>PROPER(TRIM(I791))</f>
        <v>Kano</v>
      </c>
      <c r="K791" t="s">
        <v>31</v>
      </c>
      <c r="L791" t="str">
        <f>PROPER(TRIM(K791))</f>
        <v>Sports</v>
      </c>
      <c r="M791" t="s">
        <v>32</v>
      </c>
      <c r="N791" t="str">
        <f>PROPER(TRIM(M791))</f>
        <v>Ball</v>
      </c>
      <c r="O791">
        <v>154.04</v>
      </c>
      <c r="P791">
        <v>-2</v>
      </c>
      <c r="Q791">
        <f>IF(P791&lt;1, 1, P791)</f>
        <v>1</v>
      </c>
      <c r="R791">
        <v>120</v>
      </c>
      <c r="S791" t="str">
        <f>IF(OR(R791&lt;0,R791&gt;100),"invalid","Valid")</f>
        <v>invalid</v>
      </c>
      <c r="T791" t="s">
        <v>64</v>
      </c>
      <c r="U791" t="str">
        <f>PROPER(TRIM(T791))</f>
        <v>Transfer</v>
      </c>
      <c r="V791" t="s">
        <v>41</v>
      </c>
      <c r="W791" t="str">
        <f t="shared" si="24"/>
        <v>Chi</v>
      </c>
      <c r="X791" t="s">
        <v>65</v>
      </c>
      <c r="Y791">
        <v>2</v>
      </c>
      <c r="Z791" t="str">
        <f>IF(D791="", "Missing", "ok")</f>
        <v>ok</v>
      </c>
      <c r="AA791">
        <f t="shared" si="25"/>
        <v>-30.807999999999993</v>
      </c>
    </row>
    <row r="792" spans="1:27" x14ac:dyDescent="0.25">
      <c r="A792" t="s">
        <v>2094</v>
      </c>
      <c r="B792" s="1" t="s">
        <v>323</v>
      </c>
      <c r="C792" t="s">
        <v>2095</v>
      </c>
      <c r="D792" t="s">
        <v>37</v>
      </c>
      <c r="E792" t="str">
        <f>PROPER(TRIM(D792))</f>
        <v>Aisha</v>
      </c>
      <c r="F792" t="s">
        <v>20</v>
      </c>
      <c r="G792">
        <v>21</v>
      </c>
      <c r="H792" t="str">
        <f>IF(AND(G792&gt;18, G792&lt;65), "Valid", "Invalid")</f>
        <v>Valid</v>
      </c>
      <c r="I792" t="s">
        <v>70</v>
      </c>
      <c r="J792" t="str">
        <f>PROPER(TRIM(I792))</f>
        <v>Abuja</v>
      </c>
      <c r="K792" t="s">
        <v>48</v>
      </c>
      <c r="L792" t="str">
        <f>PROPER(TRIM(K792))</f>
        <v>Groceries</v>
      </c>
      <c r="M792" t="s">
        <v>49</v>
      </c>
      <c r="N792" t="str">
        <f>PROPER(TRIM(M792))</f>
        <v>Rice</v>
      </c>
      <c r="O792">
        <v>444.53</v>
      </c>
      <c r="P792">
        <v>-2</v>
      </c>
      <c r="Q792">
        <f>IF(P792&lt;1, 1, P792)</f>
        <v>1</v>
      </c>
      <c r="R792">
        <v>10</v>
      </c>
      <c r="S792" t="str">
        <f>IF(OR(R792&lt;0,R792&gt;100),"invalid","Valid")</f>
        <v>Valid</v>
      </c>
      <c r="T792" t="s">
        <v>59</v>
      </c>
      <c r="U792" t="str">
        <f>PROPER(TRIM(T792))</f>
        <v>Mobile Money</v>
      </c>
      <c r="V792" t="s">
        <v>25</v>
      </c>
      <c r="W792" t="str">
        <f t="shared" si="24"/>
        <v>Dan</v>
      </c>
      <c r="X792" t="s">
        <v>26</v>
      </c>
      <c r="Y792">
        <v>3</v>
      </c>
      <c r="Z792" t="str">
        <f>IF(D792="", "Missing", "ok")</f>
        <v>ok</v>
      </c>
      <c r="AA792">
        <f t="shared" si="25"/>
        <v>400.077</v>
      </c>
    </row>
    <row r="793" spans="1:27" x14ac:dyDescent="0.25">
      <c r="A793" t="s">
        <v>2096</v>
      </c>
      <c r="B793" s="1" t="s">
        <v>938</v>
      </c>
      <c r="C793" t="s">
        <v>2097</v>
      </c>
      <c r="D793" t="s">
        <v>69</v>
      </c>
      <c r="E793" t="str">
        <f>PROPER(TRIM(D793))</f>
        <v>Mary</v>
      </c>
      <c r="F793" t="s">
        <v>46</v>
      </c>
      <c r="G793">
        <v>130</v>
      </c>
      <c r="H793" t="str">
        <f>IF(AND(G793&gt;18, G793&lt;65), "Valid", "Invalid")</f>
        <v>Invalid</v>
      </c>
      <c r="I793" t="s">
        <v>30</v>
      </c>
      <c r="J793" t="str">
        <f>PROPER(TRIM(I793))</f>
        <v>Lagos</v>
      </c>
      <c r="K793" t="s">
        <v>54</v>
      </c>
      <c r="L793" t="str">
        <f>PROPER(TRIM(K793))</f>
        <v>Home</v>
      </c>
      <c r="M793" t="s">
        <v>55</v>
      </c>
      <c r="N793" t="str">
        <f>PROPER(TRIM(M793))</f>
        <v>Chair</v>
      </c>
      <c r="O793">
        <v>6.65</v>
      </c>
      <c r="P793">
        <v>-2</v>
      </c>
      <c r="Q793">
        <f>IF(P793&lt;1, 1, P793)</f>
        <v>1</v>
      </c>
      <c r="R793">
        <v>5</v>
      </c>
      <c r="S793" t="str">
        <f>IF(OR(R793&lt;0,R793&gt;100),"invalid","Valid")</f>
        <v>Valid</v>
      </c>
      <c r="T793" t="s">
        <v>59</v>
      </c>
      <c r="U793" t="str">
        <f>PROPER(TRIM(T793))</f>
        <v>Mobile Money</v>
      </c>
      <c r="V793" t="s">
        <v>81</v>
      </c>
      <c r="W793" t="str">
        <f t="shared" si="24"/>
        <v>Ada</v>
      </c>
      <c r="X793" t="s">
        <v>26</v>
      </c>
      <c r="Y793">
        <v>1</v>
      </c>
      <c r="Z793" t="str">
        <f>IF(D793="", "Missing", "ok")</f>
        <v>ok</v>
      </c>
      <c r="AA793">
        <f t="shared" si="25"/>
        <v>6.3174999999999999</v>
      </c>
    </row>
    <row r="794" spans="1:27" x14ac:dyDescent="0.25">
      <c r="A794" t="s">
        <v>2098</v>
      </c>
      <c r="B794" s="1" t="s">
        <v>2099</v>
      </c>
      <c r="C794" t="s">
        <v>2100</v>
      </c>
      <c r="D794" t="s">
        <v>69</v>
      </c>
      <c r="E794" t="str">
        <f>PROPER(TRIM(D794))</f>
        <v>Mary</v>
      </c>
      <c r="F794" t="s">
        <v>46</v>
      </c>
      <c r="G794">
        <v>130</v>
      </c>
      <c r="H794" t="str">
        <f>IF(AND(G794&gt;18, G794&lt;65), "Valid", "Invalid")</f>
        <v>Invalid</v>
      </c>
      <c r="I794" t="s">
        <v>86</v>
      </c>
      <c r="J794" t="str">
        <f>PROPER(TRIM(I794))</f>
        <v>Kano</v>
      </c>
      <c r="K794" t="s">
        <v>48</v>
      </c>
      <c r="L794" t="str">
        <f>PROPER(TRIM(K794))</f>
        <v>Groceries</v>
      </c>
      <c r="M794" t="s">
        <v>49</v>
      </c>
      <c r="N794" t="str">
        <f>PROPER(TRIM(M794))</f>
        <v>Rice</v>
      </c>
      <c r="O794">
        <v>260.77</v>
      </c>
      <c r="P794">
        <v>-2</v>
      </c>
      <c r="Q794">
        <f>IF(P794&lt;1, 1, P794)</f>
        <v>1</v>
      </c>
      <c r="R794">
        <v>5</v>
      </c>
      <c r="S794" t="str">
        <f>IF(OR(R794&lt;0,R794&gt;100),"invalid","Valid")</f>
        <v>Valid</v>
      </c>
      <c r="T794" t="s">
        <v>24</v>
      </c>
      <c r="U794" t="str">
        <f>PROPER(TRIM(T794))</f>
        <v>Pos</v>
      </c>
      <c r="V794" t="s">
        <v>91</v>
      </c>
      <c r="W794" t="str">
        <f t="shared" si="24"/>
        <v>Ben</v>
      </c>
      <c r="X794" t="s">
        <v>82</v>
      </c>
      <c r="Y794">
        <v>4</v>
      </c>
      <c r="Z794" t="str">
        <f>IF(D794="", "Missing", "ok")</f>
        <v>ok</v>
      </c>
      <c r="AA794">
        <f t="shared" si="25"/>
        <v>247.73149999999998</v>
      </c>
    </row>
    <row r="795" spans="1:27" x14ac:dyDescent="0.25">
      <c r="A795" t="s">
        <v>2101</v>
      </c>
      <c r="B795" s="1" t="s">
        <v>2102</v>
      </c>
      <c r="C795" t="s">
        <v>1062</v>
      </c>
      <c r="D795" t="s">
        <v>117</v>
      </c>
      <c r="E795" t="str">
        <f>PROPER(TRIM(D795))</f>
        <v>David</v>
      </c>
      <c r="F795" t="s">
        <v>20</v>
      </c>
      <c r="G795">
        <v>8</v>
      </c>
      <c r="H795" t="str">
        <f>IF(AND(G795&gt;18, G795&lt;65), "Valid", "Invalid")</f>
        <v>Invalid</v>
      </c>
      <c r="I795" t="s">
        <v>21</v>
      </c>
      <c r="J795" t="str">
        <f>PROPER(TRIM(I795))</f>
        <v>Lagos</v>
      </c>
      <c r="K795" t="s">
        <v>31</v>
      </c>
      <c r="L795" t="str">
        <f>PROPER(TRIM(K795))</f>
        <v>Sports</v>
      </c>
      <c r="M795" t="s">
        <v>32</v>
      </c>
      <c r="N795" t="str">
        <f>PROPER(TRIM(M795))</f>
        <v>Ball</v>
      </c>
      <c r="O795">
        <v>373.19</v>
      </c>
      <c r="P795">
        <v>2</v>
      </c>
      <c r="Q795">
        <f>IF(P795&lt;1, 1, P795)</f>
        <v>2</v>
      </c>
      <c r="R795">
        <v>0</v>
      </c>
      <c r="S795" t="str">
        <f>IF(OR(R795&lt;0,R795&gt;100),"invalid","Valid")</f>
        <v>Valid</v>
      </c>
      <c r="T795" t="s">
        <v>64</v>
      </c>
      <c r="U795" t="str">
        <f>PROPER(TRIM(T795))</f>
        <v>Transfer</v>
      </c>
      <c r="V795" t="s">
        <v>41</v>
      </c>
      <c r="W795" t="str">
        <f t="shared" si="24"/>
        <v>Chi</v>
      </c>
      <c r="X795" t="s">
        <v>26</v>
      </c>
      <c r="Y795">
        <v>5</v>
      </c>
      <c r="Z795" t="str">
        <f>IF(D795="", "Missing", "ok")</f>
        <v>ok</v>
      </c>
      <c r="AA795">
        <f t="shared" si="25"/>
        <v>746.38</v>
      </c>
    </row>
    <row r="796" spans="1:27" x14ac:dyDescent="0.25">
      <c r="A796" t="s">
        <v>2103</v>
      </c>
      <c r="B796" s="1" t="s">
        <v>2104</v>
      </c>
      <c r="C796" t="s">
        <v>1007</v>
      </c>
      <c r="D796" t="s">
        <v>19</v>
      </c>
      <c r="E796" t="str">
        <f>PROPER(TRIM(D796))</f>
        <v>Peter</v>
      </c>
      <c r="F796" t="s">
        <v>46</v>
      </c>
      <c r="G796">
        <v>23</v>
      </c>
      <c r="H796" t="str">
        <f>IF(AND(G796&gt;18, G796&lt;65), "Valid", "Invalid")</f>
        <v>Valid</v>
      </c>
      <c r="I796" t="s">
        <v>70</v>
      </c>
      <c r="J796" t="str">
        <f>PROPER(TRIM(I796))</f>
        <v>Abuja</v>
      </c>
      <c r="K796" t="s">
        <v>39</v>
      </c>
      <c r="L796" t="str">
        <f>PROPER(TRIM(K796))</f>
        <v>Electronics</v>
      </c>
      <c r="M796" t="s">
        <v>40</v>
      </c>
      <c r="N796" t="str">
        <f>PROPER(TRIM(M796))</f>
        <v>Phone</v>
      </c>
      <c r="O796">
        <v>130.62</v>
      </c>
      <c r="P796">
        <v>4</v>
      </c>
      <c r="Q796">
        <f>IF(P796&lt;1, 1, P796)</f>
        <v>4</v>
      </c>
      <c r="R796">
        <v>120</v>
      </c>
      <c r="S796" t="str">
        <f>IF(OR(R796&lt;0,R796&gt;100),"invalid","Valid")</f>
        <v>invalid</v>
      </c>
      <c r="U796" t="str">
        <f>PROPER(TRIM(T796))</f>
        <v/>
      </c>
      <c r="V796" t="s">
        <v>25</v>
      </c>
      <c r="W796" t="str">
        <f t="shared" si="24"/>
        <v>Dan</v>
      </c>
      <c r="X796" t="s">
        <v>82</v>
      </c>
      <c r="Y796">
        <v>2</v>
      </c>
      <c r="Z796" t="str">
        <f>IF(D796="", "Missing", "ok")</f>
        <v>ok</v>
      </c>
      <c r="AA796">
        <f t="shared" si="25"/>
        <v>-104.49599999999998</v>
      </c>
    </row>
    <row r="797" spans="1:27" x14ac:dyDescent="0.25">
      <c r="A797" t="s">
        <v>2105</v>
      </c>
      <c r="B797" s="1" t="s">
        <v>1729</v>
      </c>
      <c r="C797" t="s">
        <v>2106</v>
      </c>
      <c r="D797" t="s">
        <v>37</v>
      </c>
      <c r="E797" t="str">
        <f>PROPER(TRIM(D797))</f>
        <v>Aisha</v>
      </c>
      <c r="F797" t="s">
        <v>20</v>
      </c>
      <c r="G797">
        <v>8</v>
      </c>
      <c r="H797" t="str">
        <f>IF(AND(G797&gt;18, G797&lt;65), "Valid", "Invalid")</f>
        <v>Invalid</v>
      </c>
      <c r="I797" t="s">
        <v>70</v>
      </c>
      <c r="J797" t="str">
        <f>PROPER(TRIM(I797))</f>
        <v>Abuja</v>
      </c>
      <c r="K797" t="s">
        <v>48</v>
      </c>
      <c r="L797" t="str">
        <f>PROPER(TRIM(K797))</f>
        <v>Groceries</v>
      </c>
      <c r="M797" t="s">
        <v>49</v>
      </c>
      <c r="N797" t="str">
        <f>PROPER(TRIM(M797))</f>
        <v>Rice</v>
      </c>
      <c r="O797">
        <v>426.83</v>
      </c>
      <c r="P797">
        <v>-2</v>
      </c>
      <c r="Q797">
        <f>IF(P797&lt;1, 1, P797)</f>
        <v>1</v>
      </c>
      <c r="R797">
        <v>-10</v>
      </c>
      <c r="S797" t="str">
        <f>IF(OR(R797&lt;0,R797&gt;100),"invalid","Valid")</f>
        <v>invalid</v>
      </c>
      <c r="U797" t="str">
        <f>PROPER(TRIM(T797))</f>
        <v/>
      </c>
      <c r="V797" t="s">
        <v>81</v>
      </c>
      <c r="W797" t="str">
        <f t="shared" si="24"/>
        <v>Ada</v>
      </c>
      <c r="X797" t="s">
        <v>26</v>
      </c>
      <c r="Z797" t="str">
        <f>IF(D797="", "Missing", "ok")</f>
        <v>ok</v>
      </c>
      <c r="AA797">
        <f t="shared" si="25"/>
        <v>469.51300000000003</v>
      </c>
    </row>
    <row r="798" spans="1:27" x14ac:dyDescent="0.25">
      <c r="A798" t="s">
        <v>2107</v>
      </c>
      <c r="B798" s="1" t="s">
        <v>199</v>
      </c>
      <c r="C798" t="s">
        <v>2108</v>
      </c>
      <c r="D798" t="s">
        <v>45</v>
      </c>
      <c r="E798" t="str">
        <f>PROPER(TRIM(D798))</f>
        <v>James</v>
      </c>
      <c r="F798" t="s">
        <v>20</v>
      </c>
      <c r="G798">
        <v>8</v>
      </c>
      <c r="H798" t="str">
        <f>IF(AND(G798&gt;18, G798&lt;65), "Valid", "Invalid")</f>
        <v>Invalid</v>
      </c>
      <c r="I798" t="s">
        <v>70</v>
      </c>
      <c r="J798" t="str">
        <f>PROPER(TRIM(I798))</f>
        <v>Abuja</v>
      </c>
      <c r="K798" t="s">
        <v>54</v>
      </c>
      <c r="L798" t="str">
        <f>PROPER(TRIM(K798))</f>
        <v>Home</v>
      </c>
      <c r="M798" t="s">
        <v>55</v>
      </c>
      <c r="N798" t="str">
        <f>PROPER(TRIM(M798))</f>
        <v>Chair</v>
      </c>
      <c r="O798">
        <v>146.33000000000001</v>
      </c>
      <c r="P798">
        <v>-2</v>
      </c>
      <c r="Q798">
        <f>IF(P798&lt;1, 1, P798)</f>
        <v>1</v>
      </c>
      <c r="R798">
        <v>10</v>
      </c>
      <c r="S798" t="str">
        <f>IF(OR(R798&lt;0,R798&gt;100),"invalid","Valid")</f>
        <v>Valid</v>
      </c>
      <c r="T798" t="s">
        <v>77</v>
      </c>
      <c r="U798" t="str">
        <f>PROPER(TRIM(T798))</f>
        <v>Cash</v>
      </c>
      <c r="V798" t="s">
        <v>81</v>
      </c>
      <c r="W798" t="str">
        <f t="shared" si="24"/>
        <v>Ada</v>
      </c>
      <c r="X798" t="s">
        <v>26</v>
      </c>
      <c r="Y798">
        <v>2</v>
      </c>
      <c r="Z798" t="str">
        <f>IF(D798="", "Missing", "ok")</f>
        <v>ok</v>
      </c>
      <c r="AA798">
        <f t="shared" si="25"/>
        <v>131.697</v>
      </c>
    </row>
    <row r="799" spans="1:27" x14ac:dyDescent="0.25">
      <c r="A799" t="s">
        <v>2109</v>
      </c>
      <c r="B799" s="1" t="s">
        <v>249</v>
      </c>
      <c r="C799" t="s">
        <v>2110</v>
      </c>
      <c r="D799" t="s">
        <v>19</v>
      </c>
      <c r="E799" t="str">
        <f>PROPER(TRIM(D799))</f>
        <v>Peter</v>
      </c>
      <c r="F799" t="s">
        <v>20</v>
      </c>
      <c r="G799">
        <v>35</v>
      </c>
      <c r="H799" t="str">
        <f>IF(AND(G799&gt;18, G799&lt;65), "Valid", "Invalid")</f>
        <v>Valid</v>
      </c>
      <c r="I799" t="s">
        <v>47</v>
      </c>
      <c r="J799" t="str">
        <f>PROPER(TRIM(I799))</f>
        <v>Enugu</v>
      </c>
      <c r="K799" t="s">
        <v>54</v>
      </c>
      <c r="L799" t="str">
        <f>PROPER(TRIM(K799))</f>
        <v>Home</v>
      </c>
      <c r="M799" t="s">
        <v>55</v>
      </c>
      <c r="N799" t="str">
        <f>PROPER(TRIM(M799))</f>
        <v>Chair</v>
      </c>
      <c r="O799">
        <v>338.76</v>
      </c>
      <c r="P799">
        <v>5</v>
      </c>
      <c r="Q799">
        <f>IF(P799&lt;1, 1, P799)</f>
        <v>5</v>
      </c>
      <c r="R799">
        <v>10</v>
      </c>
      <c r="S799" t="str">
        <f>IF(OR(R799&lt;0,R799&gt;100),"invalid","Valid")</f>
        <v>Valid</v>
      </c>
      <c r="U799" t="str">
        <f>PROPER(TRIM(T799))</f>
        <v/>
      </c>
      <c r="V799" t="s">
        <v>81</v>
      </c>
      <c r="W799" t="str">
        <f t="shared" si="24"/>
        <v>Ada</v>
      </c>
      <c r="X799" t="s">
        <v>82</v>
      </c>
      <c r="Y799">
        <v>1</v>
      </c>
      <c r="Z799" t="str">
        <f>IF(D799="", "Missing", "ok")</f>
        <v>ok</v>
      </c>
      <c r="AA799">
        <f t="shared" si="25"/>
        <v>1524.42</v>
      </c>
    </row>
    <row r="800" spans="1:27" x14ac:dyDescent="0.25">
      <c r="A800" t="s">
        <v>2111</v>
      </c>
      <c r="B800" s="1" t="s">
        <v>1374</v>
      </c>
      <c r="C800" t="s">
        <v>2112</v>
      </c>
      <c r="D800" t="s">
        <v>45</v>
      </c>
      <c r="E800" t="str">
        <f>PROPER(TRIM(D800))</f>
        <v>James</v>
      </c>
      <c r="F800" t="s">
        <v>46</v>
      </c>
      <c r="G800">
        <v>51</v>
      </c>
      <c r="H800" t="str">
        <f>IF(AND(G800&gt;18, G800&lt;65), "Valid", "Invalid")</f>
        <v>Valid</v>
      </c>
      <c r="I800" t="s">
        <v>53</v>
      </c>
      <c r="J800" t="str">
        <f>PROPER(TRIM(I800))</f>
        <v>Lagos</v>
      </c>
      <c r="K800" t="s">
        <v>31</v>
      </c>
      <c r="L800" t="str">
        <f>PROPER(TRIM(K800))</f>
        <v>Sports</v>
      </c>
      <c r="M800" t="s">
        <v>32</v>
      </c>
      <c r="N800" t="str">
        <f>PROPER(TRIM(M800))</f>
        <v>Ball</v>
      </c>
      <c r="O800">
        <v>479.78</v>
      </c>
      <c r="P800">
        <v>5</v>
      </c>
      <c r="Q800">
        <f>IF(P800&lt;1, 1, P800)</f>
        <v>5</v>
      </c>
      <c r="R800">
        <v>-10</v>
      </c>
      <c r="S800" t="str">
        <f>IF(OR(R800&lt;0,R800&gt;100),"invalid","Valid")</f>
        <v>invalid</v>
      </c>
      <c r="T800" t="s">
        <v>64</v>
      </c>
      <c r="U800" t="str">
        <f>PROPER(TRIM(T800))</f>
        <v>Transfer</v>
      </c>
      <c r="V800" t="s">
        <v>25</v>
      </c>
      <c r="W800" t="str">
        <f t="shared" si="24"/>
        <v>Dan</v>
      </c>
      <c r="X800" t="s">
        <v>26</v>
      </c>
      <c r="Y800">
        <v>2</v>
      </c>
      <c r="Z800" t="str">
        <f>IF(D800="", "Missing", "ok")</f>
        <v>ok</v>
      </c>
      <c r="AA800">
        <f t="shared" si="25"/>
        <v>2638.79</v>
      </c>
    </row>
    <row r="801" spans="1:27" x14ac:dyDescent="0.25">
      <c r="A801" t="s">
        <v>2113</v>
      </c>
      <c r="B801" s="1" t="s">
        <v>1226</v>
      </c>
      <c r="C801" t="s">
        <v>2114</v>
      </c>
      <c r="D801" t="s">
        <v>19</v>
      </c>
      <c r="E801" t="str">
        <f>PROPER(TRIM(D801))</f>
        <v>Peter</v>
      </c>
      <c r="F801" t="s">
        <v>46</v>
      </c>
      <c r="G801">
        <v>130</v>
      </c>
      <c r="H801" t="str">
        <f>IF(AND(G801&gt;18, G801&lt;65), "Valid", "Invalid")</f>
        <v>Invalid</v>
      </c>
      <c r="I801" t="s">
        <v>21</v>
      </c>
      <c r="J801" t="str">
        <f>PROPER(TRIM(I801))</f>
        <v>Lagos</v>
      </c>
      <c r="K801" t="s">
        <v>39</v>
      </c>
      <c r="L801" t="str">
        <f>PROPER(TRIM(K801))</f>
        <v>Electronics</v>
      </c>
      <c r="M801" t="s">
        <v>40</v>
      </c>
      <c r="N801" t="str">
        <f>PROPER(TRIM(M801))</f>
        <v>Phone</v>
      </c>
      <c r="O801">
        <v>140.81</v>
      </c>
      <c r="P801">
        <v>-2</v>
      </c>
      <c r="Q801">
        <f>IF(P801&lt;1, 1, P801)</f>
        <v>1</v>
      </c>
      <c r="R801">
        <v>10</v>
      </c>
      <c r="S801" t="str">
        <f>IF(OR(R801&lt;0,R801&gt;100),"invalid","Valid")</f>
        <v>Valid</v>
      </c>
      <c r="T801" t="s">
        <v>24</v>
      </c>
      <c r="U801" t="str">
        <f>PROPER(TRIM(T801))</f>
        <v>Pos</v>
      </c>
      <c r="V801" t="s">
        <v>41</v>
      </c>
      <c r="W801" t="str">
        <f t="shared" si="24"/>
        <v>Chi</v>
      </c>
      <c r="X801" t="s">
        <v>82</v>
      </c>
      <c r="Y801">
        <v>4</v>
      </c>
      <c r="Z801" t="str">
        <f>IF(D801="", "Missing", "ok")</f>
        <v>ok</v>
      </c>
      <c r="AA801">
        <f t="shared" si="25"/>
        <v>126.729</v>
      </c>
    </row>
    <row r="802" spans="1:27" x14ac:dyDescent="0.25">
      <c r="A802" t="s">
        <v>2115</v>
      </c>
      <c r="B802" s="1" t="s">
        <v>2116</v>
      </c>
      <c r="C802" t="s">
        <v>2117</v>
      </c>
      <c r="D802" t="s">
        <v>117</v>
      </c>
      <c r="E802" t="str">
        <f>PROPER(TRIM(D802))</f>
        <v>David</v>
      </c>
      <c r="F802" t="s">
        <v>20</v>
      </c>
      <c r="G802">
        <v>55</v>
      </c>
      <c r="H802" t="str">
        <f>IF(AND(G802&gt;18, G802&lt;65), "Valid", "Invalid")</f>
        <v>Valid</v>
      </c>
      <c r="I802" t="s">
        <v>70</v>
      </c>
      <c r="J802" t="str">
        <f>PROPER(TRIM(I802))</f>
        <v>Abuja</v>
      </c>
      <c r="K802" t="s">
        <v>87</v>
      </c>
      <c r="L802" t="str">
        <f>PROPER(TRIM(K802))</f>
        <v>Groceris</v>
      </c>
      <c r="M802" t="s">
        <v>49</v>
      </c>
      <c r="N802" t="str">
        <f>PROPER(TRIM(M802))</f>
        <v>Rice</v>
      </c>
      <c r="O802">
        <v>339.31</v>
      </c>
      <c r="P802">
        <v>10</v>
      </c>
      <c r="Q802">
        <f>IF(P802&lt;1, 1, P802)</f>
        <v>10</v>
      </c>
      <c r="R802">
        <v>5</v>
      </c>
      <c r="S802" t="str">
        <f>IF(OR(R802&lt;0,R802&gt;100),"invalid","Valid")</f>
        <v>Valid</v>
      </c>
      <c r="T802" t="s">
        <v>77</v>
      </c>
      <c r="U802" t="str">
        <f>PROPER(TRIM(T802))</f>
        <v>Cash</v>
      </c>
      <c r="V802" t="s">
        <v>41</v>
      </c>
      <c r="W802" t="str">
        <f t="shared" si="24"/>
        <v>Chi</v>
      </c>
      <c r="X802" t="s">
        <v>33</v>
      </c>
      <c r="Y802">
        <v>4</v>
      </c>
      <c r="Z802" t="str">
        <f>IF(D802="", "Missing", "ok")</f>
        <v>ok</v>
      </c>
      <c r="AA802">
        <f t="shared" si="25"/>
        <v>3223.4449999999997</v>
      </c>
    </row>
    <row r="803" spans="1:27" x14ac:dyDescent="0.25">
      <c r="A803" t="s">
        <v>2118</v>
      </c>
      <c r="B803" s="1" t="s">
        <v>2119</v>
      </c>
      <c r="C803" t="s">
        <v>2120</v>
      </c>
      <c r="D803" t="s">
        <v>63</v>
      </c>
      <c r="E803" t="str">
        <f>PROPER(TRIM(D803))</f>
        <v>John</v>
      </c>
      <c r="F803" t="s">
        <v>20</v>
      </c>
      <c r="G803">
        <v>8</v>
      </c>
      <c r="H803" t="str">
        <f>IF(AND(G803&gt;18, G803&lt;65), "Valid", "Invalid")</f>
        <v>Invalid</v>
      </c>
      <c r="I803" t="s">
        <v>53</v>
      </c>
      <c r="J803" t="str">
        <f>PROPER(TRIM(I803))</f>
        <v>Lagos</v>
      </c>
      <c r="K803" t="s">
        <v>87</v>
      </c>
      <c r="L803" t="str">
        <f>PROPER(TRIM(K803))</f>
        <v>Groceris</v>
      </c>
      <c r="M803" t="s">
        <v>49</v>
      </c>
      <c r="N803" t="str">
        <f>PROPER(TRIM(M803))</f>
        <v>Rice</v>
      </c>
      <c r="O803">
        <v>377.01</v>
      </c>
      <c r="P803">
        <v>4</v>
      </c>
      <c r="Q803">
        <f>IF(P803&lt;1, 1, P803)</f>
        <v>4</v>
      </c>
      <c r="R803">
        <v>-10</v>
      </c>
      <c r="S803" t="str">
        <f>IF(OR(R803&lt;0,R803&gt;100),"invalid","Valid")</f>
        <v>invalid</v>
      </c>
      <c r="T803" t="s">
        <v>24</v>
      </c>
      <c r="U803" t="str">
        <f>PROPER(TRIM(T803))</f>
        <v>Pos</v>
      </c>
      <c r="V803" t="s">
        <v>41</v>
      </c>
      <c r="W803" t="str">
        <f t="shared" si="24"/>
        <v>Chi</v>
      </c>
      <c r="X803" t="s">
        <v>26</v>
      </c>
      <c r="Y803">
        <v>4</v>
      </c>
      <c r="Z803" t="str">
        <f>IF(D803="", "Missing", "ok")</f>
        <v>ok</v>
      </c>
      <c r="AA803">
        <f t="shared" si="25"/>
        <v>1658.8440000000001</v>
      </c>
    </row>
    <row r="804" spans="1:27" x14ac:dyDescent="0.25">
      <c r="A804" t="s">
        <v>2121</v>
      </c>
      <c r="B804" s="1" t="s">
        <v>1226</v>
      </c>
      <c r="C804" t="s">
        <v>2122</v>
      </c>
      <c r="D804" t="s">
        <v>63</v>
      </c>
      <c r="E804" t="str">
        <f>PROPER(TRIM(D804))</f>
        <v>John</v>
      </c>
      <c r="F804" t="s">
        <v>46</v>
      </c>
      <c r="G804">
        <v>51</v>
      </c>
      <c r="H804" t="str">
        <f>IF(AND(G804&gt;18, G804&lt;65), "Valid", "Invalid")</f>
        <v>Valid</v>
      </c>
      <c r="I804" t="s">
        <v>86</v>
      </c>
      <c r="J804" t="str">
        <f>PROPER(TRIM(I804))</f>
        <v>Kano</v>
      </c>
      <c r="K804" t="s">
        <v>22</v>
      </c>
      <c r="L804" t="str">
        <f>PROPER(TRIM(K804))</f>
        <v>Fashion</v>
      </c>
      <c r="M804" t="s">
        <v>23</v>
      </c>
      <c r="N804" t="str">
        <f>PROPER(TRIM(M804))</f>
        <v>Shirt</v>
      </c>
      <c r="O804">
        <v>326.77</v>
      </c>
      <c r="P804">
        <v>2</v>
      </c>
      <c r="Q804">
        <f>IF(P804&lt;1, 1, P804)</f>
        <v>2</v>
      </c>
      <c r="R804">
        <v>5</v>
      </c>
      <c r="S804" t="str">
        <f>IF(OR(R804&lt;0,R804&gt;100),"invalid","Valid")</f>
        <v>Valid</v>
      </c>
      <c r="T804" t="s">
        <v>59</v>
      </c>
      <c r="U804" t="str">
        <f>PROPER(TRIM(T804))</f>
        <v>Mobile Money</v>
      </c>
      <c r="V804" t="s">
        <v>41</v>
      </c>
      <c r="W804" t="str">
        <f t="shared" si="24"/>
        <v>Chi</v>
      </c>
      <c r="X804" t="s">
        <v>82</v>
      </c>
      <c r="Y804">
        <v>4</v>
      </c>
      <c r="Z804" t="str">
        <f>IF(D804="", "Missing", "ok")</f>
        <v>ok</v>
      </c>
      <c r="AA804">
        <f t="shared" si="25"/>
        <v>620.86299999999994</v>
      </c>
    </row>
    <row r="805" spans="1:27" x14ac:dyDescent="0.25">
      <c r="A805" t="s">
        <v>2123</v>
      </c>
      <c r="B805" s="1" t="s">
        <v>1324</v>
      </c>
      <c r="C805" t="s">
        <v>2124</v>
      </c>
      <c r="D805" t="s">
        <v>63</v>
      </c>
      <c r="E805" t="str">
        <f>PROPER(TRIM(D805))</f>
        <v>John</v>
      </c>
      <c r="F805" t="s">
        <v>46</v>
      </c>
      <c r="G805">
        <v>8</v>
      </c>
      <c r="H805" t="str">
        <f>IF(AND(G805&gt;18, G805&lt;65), "Valid", "Invalid")</f>
        <v>Invalid</v>
      </c>
      <c r="I805" t="s">
        <v>38</v>
      </c>
      <c r="J805" t="str">
        <f>PROPER(TRIM(I805))</f>
        <v>Ph</v>
      </c>
      <c r="K805" t="s">
        <v>39</v>
      </c>
      <c r="L805" t="str">
        <f>PROPER(TRIM(K805))</f>
        <v>Electronics</v>
      </c>
      <c r="M805" t="s">
        <v>40</v>
      </c>
      <c r="N805" t="str">
        <f>PROPER(TRIM(M805))</f>
        <v>Phone</v>
      </c>
      <c r="O805">
        <v>292.8</v>
      </c>
      <c r="P805">
        <v>6</v>
      </c>
      <c r="Q805">
        <f>IF(P805&lt;1, 1, P805)</f>
        <v>6</v>
      </c>
      <c r="R805">
        <v>5</v>
      </c>
      <c r="S805" t="str">
        <f>IF(OR(R805&lt;0,R805&gt;100),"invalid","Valid")</f>
        <v>Valid</v>
      </c>
      <c r="T805" t="s">
        <v>77</v>
      </c>
      <c r="U805" t="str">
        <f>PROPER(TRIM(T805))</f>
        <v>Cash</v>
      </c>
      <c r="V805" t="s">
        <v>81</v>
      </c>
      <c r="W805" t="str">
        <f t="shared" si="24"/>
        <v>Ada</v>
      </c>
      <c r="X805" t="s">
        <v>26</v>
      </c>
      <c r="Y805">
        <v>2</v>
      </c>
      <c r="Z805" t="str">
        <f>IF(D805="", "Missing", "ok")</f>
        <v>ok</v>
      </c>
      <c r="AA805">
        <f t="shared" si="25"/>
        <v>1668.96</v>
      </c>
    </row>
    <row r="806" spans="1:27" x14ac:dyDescent="0.25">
      <c r="A806" t="s">
        <v>2125</v>
      </c>
      <c r="B806" s="1" t="s">
        <v>476</v>
      </c>
      <c r="C806" t="s">
        <v>2126</v>
      </c>
      <c r="D806" t="s">
        <v>19</v>
      </c>
      <c r="E806" t="str">
        <f>PROPER(TRIM(D806))</f>
        <v>Peter</v>
      </c>
      <c r="F806" t="s">
        <v>20</v>
      </c>
      <c r="G806">
        <v>130</v>
      </c>
      <c r="H806" t="str">
        <f>IF(AND(G806&gt;18, G806&lt;65), "Valid", "Invalid")</f>
        <v>Invalid</v>
      </c>
      <c r="I806" t="s">
        <v>70</v>
      </c>
      <c r="J806" t="str">
        <f>PROPER(TRIM(I806))</f>
        <v>Abuja</v>
      </c>
      <c r="K806" t="s">
        <v>54</v>
      </c>
      <c r="L806" t="str">
        <f>PROPER(TRIM(K806))</f>
        <v>Home</v>
      </c>
      <c r="M806" t="s">
        <v>55</v>
      </c>
      <c r="N806" t="str">
        <f>PROPER(TRIM(M806))</f>
        <v>Chair</v>
      </c>
      <c r="O806">
        <v>244.71</v>
      </c>
      <c r="P806">
        <v>-2</v>
      </c>
      <c r="Q806">
        <f>IF(P806&lt;1, 1, P806)</f>
        <v>1</v>
      </c>
      <c r="R806">
        <v>-10</v>
      </c>
      <c r="S806" t="str">
        <f>IF(OR(R806&lt;0,R806&gt;100),"invalid","Valid")</f>
        <v>invalid</v>
      </c>
      <c r="T806" t="s">
        <v>59</v>
      </c>
      <c r="U806" t="str">
        <f>PROPER(TRIM(T806))</f>
        <v>Mobile Money</v>
      </c>
      <c r="V806" t="s">
        <v>81</v>
      </c>
      <c r="W806" t="str">
        <f t="shared" si="24"/>
        <v>Ada</v>
      </c>
      <c r="X806" t="s">
        <v>33</v>
      </c>
      <c r="Y806">
        <v>4</v>
      </c>
      <c r="Z806" t="str">
        <f>IF(D806="", "Missing", "ok")</f>
        <v>ok</v>
      </c>
      <c r="AA806">
        <f t="shared" si="25"/>
        <v>269.18100000000004</v>
      </c>
    </row>
    <row r="807" spans="1:27" x14ac:dyDescent="0.25">
      <c r="A807" t="s">
        <v>2127</v>
      </c>
      <c r="B807" s="1" t="s">
        <v>682</v>
      </c>
      <c r="C807" t="s">
        <v>2128</v>
      </c>
      <c r="D807" t="s">
        <v>19</v>
      </c>
      <c r="E807" t="str">
        <f>PROPER(TRIM(D807))</f>
        <v>Peter</v>
      </c>
      <c r="F807" t="s">
        <v>46</v>
      </c>
      <c r="G807">
        <v>49</v>
      </c>
      <c r="H807" t="str">
        <f>IF(AND(G807&gt;18, G807&lt;65), "Valid", "Invalid")</f>
        <v>Valid</v>
      </c>
      <c r="I807" t="s">
        <v>86</v>
      </c>
      <c r="J807" t="str">
        <f>PROPER(TRIM(I807))</f>
        <v>Kano</v>
      </c>
      <c r="K807" t="s">
        <v>121</v>
      </c>
      <c r="L807" t="str">
        <f>PROPER(TRIM(K807))</f>
        <v>Beauty</v>
      </c>
      <c r="M807" t="s">
        <v>122</v>
      </c>
      <c r="N807" t="str">
        <f>PROPER(TRIM(M807))</f>
        <v>Cream</v>
      </c>
      <c r="O807">
        <v>228.51</v>
      </c>
      <c r="P807">
        <v>-2</v>
      </c>
      <c r="Q807">
        <f>IF(P807&lt;1, 1, P807)</f>
        <v>1</v>
      </c>
      <c r="R807">
        <v>0</v>
      </c>
      <c r="S807" t="str">
        <f>IF(OR(R807&lt;0,R807&gt;100),"invalid","Valid")</f>
        <v>Valid</v>
      </c>
      <c r="T807" t="s">
        <v>59</v>
      </c>
      <c r="U807" t="str">
        <f>PROPER(TRIM(T807))</f>
        <v>Mobile Money</v>
      </c>
      <c r="V807" t="s">
        <v>25</v>
      </c>
      <c r="W807" t="str">
        <f t="shared" si="24"/>
        <v>Dan</v>
      </c>
      <c r="X807" t="s">
        <v>26</v>
      </c>
      <c r="Z807" t="str">
        <f>IF(D807="", "Missing", "ok")</f>
        <v>ok</v>
      </c>
      <c r="AA807">
        <f t="shared" si="25"/>
        <v>228.51</v>
      </c>
    </row>
    <row r="808" spans="1:27" x14ac:dyDescent="0.25">
      <c r="A808" t="s">
        <v>2129</v>
      </c>
      <c r="B808" s="1" t="s">
        <v>659</v>
      </c>
      <c r="C808" t="s">
        <v>1197</v>
      </c>
      <c r="D808" t="s">
        <v>63</v>
      </c>
      <c r="E808" t="str">
        <f>PROPER(TRIM(D808))</f>
        <v>John</v>
      </c>
      <c r="F808" t="s">
        <v>46</v>
      </c>
      <c r="G808">
        <v>8</v>
      </c>
      <c r="H808" t="str">
        <f>IF(AND(G808&gt;18, G808&lt;65), "Valid", "Invalid")</f>
        <v>Invalid</v>
      </c>
      <c r="I808" t="s">
        <v>47</v>
      </c>
      <c r="J808" t="str">
        <f>PROPER(TRIM(I808))</f>
        <v>Enugu</v>
      </c>
      <c r="K808" t="s">
        <v>31</v>
      </c>
      <c r="L808" t="str">
        <f>PROPER(TRIM(K808))</f>
        <v>Sports</v>
      </c>
      <c r="M808" t="s">
        <v>32</v>
      </c>
      <c r="N808" t="str">
        <f>PROPER(TRIM(M808))</f>
        <v>Ball</v>
      </c>
      <c r="O808">
        <v>41.23</v>
      </c>
      <c r="P808">
        <v>1</v>
      </c>
      <c r="Q808">
        <f>IF(P808&lt;1, 1, P808)</f>
        <v>1</v>
      </c>
      <c r="R808">
        <v>-10</v>
      </c>
      <c r="S808" t="str">
        <f>IF(OR(R808&lt;0,R808&gt;100),"invalid","Valid")</f>
        <v>invalid</v>
      </c>
      <c r="T808" t="s">
        <v>24</v>
      </c>
      <c r="U808" t="str">
        <f>PROPER(TRIM(T808))</f>
        <v>Pos</v>
      </c>
      <c r="V808" t="s">
        <v>25</v>
      </c>
      <c r="W808" t="str">
        <f t="shared" si="24"/>
        <v>Dan</v>
      </c>
      <c r="X808" t="s">
        <v>26</v>
      </c>
      <c r="Y808">
        <v>3</v>
      </c>
      <c r="Z808" t="str">
        <f>IF(D808="", "Missing", "ok")</f>
        <v>ok</v>
      </c>
      <c r="AA808">
        <f t="shared" si="25"/>
        <v>45.353000000000002</v>
      </c>
    </row>
    <row r="809" spans="1:27" x14ac:dyDescent="0.25">
      <c r="A809" t="s">
        <v>2130</v>
      </c>
      <c r="B809" s="1" t="s">
        <v>999</v>
      </c>
      <c r="C809" t="s">
        <v>2131</v>
      </c>
      <c r="D809" t="s">
        <v>63</v>
      </c>
      <c r="E809" t="str">
        <f>PROPER(TRIM(D809))</f>
        <v>John</v>
      </c>
      <c r="F809" t="s">
        <v>46</v>
      </c>
      <c r="G809">
        <v>23</v>
      </c>
      <c r="H809" t="str">
        <f>IF(AND(G809&gt;18, G809&lt;65), "Valid", "Invalid")</f>
        <v>Valid</v>
      </c>
      <c r="I809" t="s">
        <v>47</v>
      </c>
      <c r="J809" t="str">
        <f>PROPER(TRIM(I809))</f>
        <v>Enugu</v>
      </c>
      <c r="K809" t="s">
        <v>87</v>
      </c>
      <c r="L809" t="str">
        <f>PROPER(TRIM(K809))</f>
        <v>Groceris</v>
      </c>
      <c r="M809" t="s">
        <v>49</v>
      </c>
      <c r="N809" t="str">
        <f>PROPER(TRIM(M809))</f>
        <v>Rice</v>
      </c>
      <c r="O809">
        <v>439.81</v>
      </c>
      <c r="P809">
        <v>5</v>
      </c>
      <c r="Q809">
        <f>IF(P809&lt;1, 1, P809)</f>
        <v>5</v>
      </c>
      <c r="R809">
        <v>0</v>
      </c>
      <c r="S809" t="str">
        <f>IF(OR(R809&lt;0,R809&gt;100),"invalid","Valid")</f>
        <v>Valid</v>
      </c>
      <c r="U809" t="str">
        <f>PROPER(TRIM(T809))</f>
        <v/>
      </c>
      <c r="V809" t="s">
        <v>25</v>
      </c>
      <c r="W809" t="str">
        <f t="shared" si="24"/>
        <v>Dan</v>
      </c>
      <c r="X809" t="s">
        <v>82</v>
      </c>
      <c r="Y809">
        <v>2</v>
      </c>
      <c r="Z809" t="str">
        <f>IF(D809="", "Missing", "ok")</f>
        <v>ok</v>
      </c>
      <c r="AA809">
        <f t="shared" si="25"/>
        <v>2199.0500000000002</v>
      </c>
    </row>
    <row r="810" spans="1:27" x14ac:dyDescent="0.25">
      <c r="A810" t="s">
        <v>2132</v>
      </c>
      <c r="B810" s="1" t="s">
        <v>2133</v>
      </c>
      <c r="C810" t="s">
        <v>2134</v>
      </c>
      <c r="D810" t="s">
        <v>63</v>
      </c>
      <c r="E810" t="str">
        <f>PROPER(TRIM(D810))</f>
        <v>John</v>
      </c>
      <c r="F810" t="s">
        <v>20</v>
      </c>
      <c r="G810">
        <v>8</v>
      </c>
      <c r="H810" t="str">
        <f>IF(AND(G810&gt;18, G810&lt;65), "Valid", "Invalid")</f>
        <v>Invalid</v>
      </c>
      <c r="I810" t="s">
        <v>70</v>
      </c>
      <c r="J810" t="str">
        <f>PROPER(TRIM(I810))</f>
        <v>Abuja</v>
      </c>
      <c r="K810" t="s">
        <v>48</v>
      </c>
      <c r="L810" t="str">
        <f>PROPER(TRIM(K810))</f>
        <v>Groceries</v>
      </c>
      <c r="M810" t="s">
        <v>49</v>
      </c>
      <c r="N810" t="str">
        <f>PROPER(TRIM(M810))</f>
        <v>Rice</v>
      </c>
      <c r="O810">
        <v>156.19999999999999</v>
      </c>
      <c r="P810">
        <v>10</v>
      </c>
      <c r="Q810">
        <f>IF(P810&lt;1, 1, P810)</f>
        <v>10</v>
      </c>
      <c r="R810">
        <v>120</v>
      </c>
      <c r="S810" t="str">
        <f>IF(OR(R810&lt;0,R810&gt;100),"invalid","Valid")</f>
        <v>invalid</v>
      </c>
      <c r="T810" t="s">
        <v>64</v>
      </c>
      <c r="U810" t="str">
        <f>PROPER(TRIM(T810))</f>
        <v>Transfer</v>
      </c>
      <c r="V810" t="s">
        <v>41</v>
      </c>
      <c r="W810" t="str">
        <f t="shared" si="24"/>
        <v>Chi</v>
      </c>
      <c r="X810" t="s">
        <v>65</v>
      </c>
      <c r="Y810">
        <v>5</v>
      </c>
      <c r="Z810" t="str">
        <f>IF(D810="", "Missing", "ok")</f>
        <v>ok</v>
      </c>
      <c r="AA810">
        <f t="shared" si="25"/>
        <v>-312.39999999999992</v>
      </c>
    </row>
    <row r="811" spans="1:27" x14ac:dyDescent="0.25">
      <c r="A811" t="s">
        <v>2135</v>
      </c>
      <c r="B811" s="1" t="s">
        <v>2136</v>
      </c>
      <c r="C811" t="s">
        <v>2137</v>
      </c>
      <c r="D811" t="s">
        <v>63</v>
      </c>
      <c r="E811" t="str">
        <f>PROPER(TRIM(D811))</f>
        <v>John</v>
      </c>
      <c r="F811" t="s">
        <v>20</v>
      </c>
      <c r="G811">
        <v>130</v>
      </c>
      <c r="H811" t="str">
        <f>IF(AND(G811&gt;18, G811&lt;65), "Valid", "Invalid")</f>
        <v>Invalid</v>
      </c>
      <c r="I811" t="s">
        <v>30</v>
      </c>
      <c r="J811" t="str">
        <f>PROPER(TRIM(I811))</f>
        <v>Lagos</v>
      </c>
      <c r="K811" t="s">
        <v>31</v>
      </c>
      <c r="L811" t="str">
        <f>PROPER(TRIM(K811))</f>
        <v>Sports</v>
      </c>
      <c r="M811" t="s">
        <v>32</v>
      </c>
      <c r="N811" t="str">
        <f>PROPER(TRIM(M811))</f>
        <v>Ball</v>
      </c>
      <c r="O811">
        <v>269.33999999999997</v>
      </c>
      <c r="P811">
        <v>4</v>
      </c>
      <c r="Q811">
        <f>IF(P811&lt;1, 1, P811)</f>
        <v>4</v>
      </c>
      <c r="R811">
        <v>5</v>
      </c>
      <c r="S811" t="str">
        <f>IF(OR(R811&lt;0,R811&gt;100),"invalid","Valid")</f>
        <v>Valid</v>
      </c>
      <c r="U811" t="str">
        <f>PROPER(TRIM(T811))</f>
        <v/>
      </c>
      <c r="V811" t="s">
        <v>81</v>
      </c>
      <c r="W811" t="str">
        <f t="shared" si="24"/>
        <v>Ada</v>
      </c>
      <c r="X811" t="s">
        <v>65</v>
      </c>
      <c r="Z811" t="str">
        <f>IF(D811="", "Missing", "ok")</f>
        <v>ok</v>
      </c>
      <c r="AA811">
        <f t="shared" si="25"/>
        <v>1023.4919999999998</v>
      </c>
    </row>
    <row r="812" spans="1:27" x14ac:dyDescent="0.25">
      <c r="A812" t="s">
        <v>2138</v>
      </c>
      <c r="B812" s="1" t="s">
        <v>1982</v>
      </c>
      <c r="C812" t="s">
        <v>2139</v>
      </c>
      <c r="D812" t="s">
        <v>63</v>
      </c>
      <c r="E812" t="str">
        <f>PROPER(TRIM(D812))</f>
        <v>John</v>
      </c>
      <c r="F812" t="s">
        <v>20</v>
      </c>
      <c r="G812">
        <v>63</v>
      </c>
      <c r="H812" t="str">
        <f>IF(AND(G812&gt;18, G812&lt;65), "Valid", "Invalid")</f>
        <v>Valid</v>
      </c>
      <c r="I812" t="s">
        <v>21</v>
      </c>
      <c r="J812" t="str">
        <f>PROPER(TRIM(I812))</f>
        <v>Lagos</v>
      </c>
      <c r="K812" t="s">
        <v>121</v>
      </c>
      <c r="L812" t="str">
        <f>PROPER(TRIM(K812))</f>
        <v>Beauty</v>
      </c>
      <c r="M812" t="s">
        <v>122</v>
      </c>
      <c r="N812" t="str">
        <f>PROPER(TRIM(M812))</f>
        <v>Cream</v>
      </c>
      <c r="O812">
        <v>278.3</v>
      </c>
      <c r="P812">
        <v>4</v>
      </c>
      <c r="Q812">
        <f>IF(P812&lt;1, 1, P812)</f>
        <v>4</v>
      </c>
      <c r="R812">
        <v>-10</v>
      </c>
      <c r="S812" t="str">
        <f>IF(OR(R812&lt;0,R812&gt;100),"invalid","Valid")</f>
        <v>invalid</v>
      </c>
      <c r="T812" t="s">
        <v>64</v>
      </c>
      <c r="U812" t="str">
        <f>PROPER(TRIM(T812))</f>
        <v>Transfer</v>
      </c>
      <c r="V812" t="s">
        <v>25</v>
      </c>
      <c r="W812" t="str">
        <f t="shared" si="24"/>
        <v>Dan</v>
      </c>
      <c r="X812" t="s">
        <v>33</v>
      </c>
      <c r="Z812" t="str">
        <f>IF(D812="", "Missing", "ok")</f>
        <v>ok</v>
      </c>
      <c r="AA812">
        <f t="shared" si="25"/>
        <v>1224.5200000000002</v>
      </c>
    </row>
    <row r="813" spans="1:27" x14ac:dyDescent="0.25">
      <c r="A813" t="s">
        <v>2140</v>
      </c>
      <c r="B813" s="1" t="s">
        <v>226</v>
      </c>
      <c r="C813" t="s">
        <v>2141</v>
      </c>
      <c r="E813" t="str">
        <f>PROPER(TRIM(D813))</f>
        <v/>
      </c>
      <c r="F813" t="s">
        <v>46</v>
      </c>
      <c r="G813">
        <v>130</v>
      </c>
      <c r="H813" t="str">
        <f>IF(AND(G813&gt;18, G813&lt;65), "Valid", "Invalid")</f>
        <v>Invalid</v>
      </c>
      <c r="I813" t="s">
        <v>86</v>
      </c>
      <c r="J813" t="str">
        <f>PROPER(TRIM(I813))</f>
        <v>Kano</v>
      </c>
      <c r="K813" t="s">
        <v>31</v>
      </c>
      <c r="L813" t="str">
        <f>PROPER(TRIM(K813))</f>
        <v>Sports</v>
      </c>
      <c r="M813" t="s">
        <v>32</v>
      </c>
      <c r="N813" t="str">
        <f>PROPER(TRIM(M813))</f>
        <v>Ball</v>
      </c>
      <c r="O813">
        <v>492.42</v>
      </c>
      <c r="P813">
        <v>-2</v>
      </c>
      <c r="Q813">
        <f>IF(P813&lt;1, 1, P813)</f>
        <v>1</v>
      </c>
      <c r="R813">
        <v>120</v>
      </c>
      <c r="S813" t="str">
        <f>IF(OR(R813&lt;0,R813&gt;100),"invalid","Valid")</f>
        <v>invalid</v>
      </c>
      <c r="U813" t="str">
        <f>PROPER(TRIM(T813))</f>
        <v/>
      </c>
      <c r="V813" t="s">
        <v>25</v>
      </c>
      <c r="W813" t="str">
        <f t="shared" si="24"/>
        <v>Dan</v>
      </c>
      <c r="X813" t="s">
        <v>26</v>
      </c>
      <c r="Y813">
        <v>1</v>
      </c>
      <c r="Z813" t="str">
        <f>IF(D813="", "Missing", "ok")</f>
        <v>Missing</v>
      </c>
      <c r="AA813">
        <f t="shared" si="25"/>
        <v>-98.48399999999998</v>
      </c>
    </row>
    <row r="814" spans="1:27" x14ac:dyDescent="0.25">
      <c r="A814" t="s">
        <v>2142</v>
      </c>
      <c r="B814" s="1" t="s">
        <v>695</v>
      </c>
      <c r="C814" t="s">
        <v>2143</v>
      </c>
      <c r="D814" t="s">
        <v>69</v>
      </c>
      <c r="E814" t="str">
        <f>PROPER(TRIM(D814))</f>
        <v>Mary</v>
      </c>
      <c r="F814" t="s">
        <v>20</v>
      </c>
      <c r="G814">
        <v>59</v>
      </c>
      <c r="H814" t="str">
        <f>IF(AND(G814&gt;18, G814&lt;65), "Valid", "Invalid")</f>
        <v>Valid</v>
      </c>
      <c r="I814" t="s">
        <v>38</v>
      </c>
      <c r="J814" t="str">
        <f>PROPER(TRIM(I814))</f>
        <v>Ph</v>
      </c>
      <c r="K814" t="s">
        <v>54</v>
      </c>
      <c r="L814" t="str">
        <f>PROPER(TRIM(K814))</f>
        <v>Home</v>
      </c>
      <c r="M814" t="s">
        <v>55</v>
      </c>
      <c r="N814" t="str">
        <f>PROPER(TRIM(M814))</f>
        <v>Chair</v>
      </c>
      <c r="O814">
        <v>284.29000000000002</v>
      </c>
      <c r="P814">
        <v>3</v>
      </c>
      <c r="Q814">
        <f>IF(P814&lt;1, 1, P814)</f>
        <v>3</v>
      </c>
      <c r="R814">
        <v>0</v>
      </c>
      <c r="S814" t="str">
        <f>IF(OR(R814&lt;0,R814&gt;100),"invalid","Valid")</f>
        <v>Valid</v>
      </c>
      <c r="U814" t="str">
        <f>PROPER(TRIM(T814))</f>
        <v/>
      </c>
      <c r="V814" t="s">
        <v>25</v>
      </c>
      <c r="W814" t="str">
        <f t="shared" si="24"/>
        <v>Dan</v>
      </c>
      <c r="X814" t="s">
        <v>82</v>
      </c>
      <c r="Y814">
        <v>2</v>
      </c>
      <c r="Z814" t="str">
        <f>IF(D814="", "Missing", "ok")</f>
        <v>ok</v>
      </c>
      <c r="AA814">
        <f t="shared" si="25"/>
        <v>852.87000000000012</v>
      </c>
    </row>
    <row r="815" spans="1:27" x14ac:dyDescent="0.25">
      <c r="A815" t="s">
        <v>2144</v>
      </c>
      <c r="B815" s="1" t="s">
        <v>2145</v>
      </c>
      <c r="C815" t="s">
        <v>2146</v>
      </c>
      <c r="D815" t="s">
        <v>101</v>
      </c>
      <c r="E815" t="str">
        <f>PROPER(TRIM(D815))</f>
        <v>Grace</v>
      </c>
      <c r="F815" t="s">
        <v>46</v>
      </c>
      <c r="G815">
        <v>8</v>
      </c>
      <c r="H815" t="str">
        <f>IF(AND(G815&gt;18, G815&lt;65), "Valid", "Invalid")</f>
        <v>Invalid</v>
      </c>
      <c r="I815" t="s">
        <v>70</v>
      </c>
      <c r="J815" t="str">
        <f>PROPER(TRIM(I815))</f>
        <v>Abuja</v>
      </c>
      <c r="K815" t="s">
        <v>22</v>
      </c>
      <c r="L815" t="str">
        <f>PROPER(TRIM(K815))</f>
        <v>Fashion</v>
      </c>
      <c r="M815" t="s">
        <v>23</v>
      </c>
      <c r="N815" t="str">
        <f>PROPER(TRIM(M815))</f>
        <v>Shirt</v>
      </c>
      <c r="O815">
        <v>424.69</v>
      </c>
      <c r="P815">
        <v>8</v>
      </c>
      <c r="Q815">
        <f>IF(P815&lt;1, 1, P815)</f>
        <v>8</v>
      </c>
      <c r="R815">
        <v>5</v>
      </c>
      <c r="S815" t="str">
        <f>IF(OR(R815&lt;0,R815&gt;100),"invalid","Valid")</f>
        <v>Valid</v>
      </c>
      <c r="T815" t="s">
        <v>64</v>
      </c>
      <c r="U815" t="str">
        <f>PROPER(TRIM(T815))</f>
        <v>Transfer</v>
      </c>
      <c r="V815" t="s">
        <v>81</v>
      </c>
      <c r="W815" t="str">
        <f t="shared" si="24"/>
        <v>Ada</v>
      </c>
      <c r="X815" t="s">
        <v>26</v>
      </c>
      <c r="Y815">
        <v>4</v>
      </c>
      <c r="Z815" t="str">
        <f>IF(D815="", "Missing", "ok")</f>
        <v>ok</v>
      </c>
      <c r="AA815">
        <f t="shared" si="25"/>
        <v>3227.6439999999998</v>
      </c>
    </row>
    <row r="816" spans="1:27" x14ac:dyDescent="0.25">
      <c r="A816" t="s">
        <v>2147</v>
      </c>
      <c r="B816" s="1" t="s">
        <v>2148</v>
      </c>
      <c r="C816" t="s">
        <v>2149</v>
      </c>
      <c r="D816" t="s">
        <v>63</v>
      </c>
      <c r="E816" t="str">
        <f>PROPER(TRIM(D816))</f>
        <v>John</v>
      </c>
      <c r="F816" t="s">
        <v>20</v>
      </c>
      <c r="G816">
        <v>130</v>
      </c>
      <c r="H816" t="str">
        <f>IF(AND(G816&gt;18, G816&lt;65), "Valid", "Invalid")</f>
        <v>Invalid</v>
      </c>
      <c r="I816" t="s">
        <v>53</v>
      </c>
      <c r="J816" t="str">
        <f>PROPER(TRIM(I816))</f>
        <v>Lagos</v>
      </c>
      <c r="K816" t="s">
        <v>22</v>
      </c>
      <c r="L816" t="str">
        <f>PROPER(TRIM(K816))</f>
        <v>Fashion</v>
      </c>
      <c r="M816" t="s">
        <v>23</v>
      </c>
      <c r="N816" t="str">
        <f>PROPER(TRIM(M816))</f>
        <v>Shirt</v>
      </c>
      <c r="O816">
        <v>418.4</v>
      </c>
      <c r="P816">
        <v>-2</v>
      </c>
      <c r="Q816">
        <f>IF(P816&lt;1, 1, P816)</f>
        <v>1</v>
      </c>
      <c r="R816">
        <v>0</v>
      </c>
      <c r="S816" t="str">
        <f>IF(OR(R816&lt;0,R816&gt;100),"invalid","Valid")</f>
        <v>Valid</v>
      </c>
      <c r="T816" t="s">
        <v>64</v>
      </c>
      <c r="U816" t="str">
        <f>PROPER(TRIM(T816))</f>
        <v>Transfer</v>
      </c>
      <c r="V816" t="s">
        <v>25</v>
      </c>
      <c r="W816" t="str">
        <f t="shared" si="24"/>
        <v>Dan</v>
      </c>
      <c r="X816" t="s">
        <v>82</v>
      </c>
      <c r="Y816">
        <v>4</v>
      </c>
      <c r="Z816" t="str">
        <f>IF(D816="", "Missing", "ok")</f>
        <v>ok</v>
      </c>
      <c r="AA816">
        <f t="shared" si="25"/>
        <v>418.4</v>
      </c>
    </row>
    <row r="817" spans="1:27" x14ac:dyDescent="0.25">
      <c r="A817" t="s">
        <v>2150</v>
      </c>
      <c r="B817" s="1" t="s">
        <v>1285</v>
      </c>
      <c r="C817" t="s">
        <v>2151</v>
      </c>
      <c r="D817" t="s">
        <v>45</v>
      </c>
      <c r="E817" t="str">
        <f>PROPER(TRIM(D817))</f>
        <v>James</v>
      </c>
      <c r="F817" t="s">
        <v>20</v>
      </c>
      <c r="G817">
        <v>8</v>
      </c>
      <c r="H817" t="str">
        <f>IF(AND(G817&gt;18, G817&lt;65), "Valid", "Invalid")</f>
        <v>Invalid</v>
      </c>
      <c r="I817" t="s">
        <v>47</v>
      </c>
      <c r="J817" t="str">
        <f>PROPER(TRIM(I817))</f>
        <v>Enugu</v>
      </c>
      <c r="K817" t="s">
        <v>22</v>
      </c>
      <c r="L817" t="str">
        <f>PROPER(TRIM(K817))</f>
        <v>Fashion</v>
      </c>
      <c r="M817" t="s">
        <v>23</v>
      </c>
      <c r="N817" t="str">
        <f>PROPER(TRIM(M817))</f>
        <v>Shirt</v>
      </c>
      <c r="O817">
        <v>401.44</v>
      </c>
      <c r="P817">
        <v>-2</v>
      </c>
      <c r="Q817">
        <f>IF(P817&lt;1, 1, P817)</f>
        <v>1</v>
      </c>
      <c r="R817">
        <v>-10</v>
      </c>
      <c r="S817" t="str">
        <f>IF(OR(R817&lt;0,R817&gt;100),"invalid","Valid")</f>
        <v>invalid</v>
      </c>
      <c r="T817" t="s">
        <v>64</v>
      </c>
      <c r="U817" t="str">
        <f>PROPER(TRIM(T817))</f>
        <v>Transfer</v>
      </c>
      <c r="V817" t="s">
        <v>91</v>
      </c>
      <c r="W817" t="str">
        <f t="shared" si="24"/>
        <v>Ben</v>
      </c>
      <c r="X817" t="s">
        <v>26</v>
      </c>
      <c r="Y817">
        <v>5</v>
      </c>
      <c r="Z817" t="str">
        <f>IF(D817="", "Missing", "ok")</f>
        <v>ok</v>
      </c>
      <c r="AA817">
        <f t="shared" si="25"/>
        <v>441.58400000000006</v>
      </c>
    </row>
    <row r="818" spans="1:27" x14ac:dyDescent="0.25">
      <c r="A818" t="s">
        <v>2152</v>
      </c>
      <c r="B818" s="1" t="s">
        <v>1779</v>
      </c>
      <c r="C818" t="s">
        <v>2153</v>
      </c>
      <c r="D818" t="s">
        <v>63</v>
      </c>
      <c r="E818" t="str">
        <f>PROPER(TRIM(D818))</f>
        <v>John</v>
      </c>
      <c r="F818" t="s">
        <v>20</v>
      </c>
      <c r="G818">
        <v>8</v>
      </c>
      <c r="H818" t="str">
        <f>IF(AND(G818&gt;18, G818&lt;65), "Valid", "Invalid")</f>
        <v>Invalid</v>
      </c>
      <c r="I818" t="s">
        <v>86</v>
      </c>
      <c r="J818" t="str">
        <f>PROPER(TRIM(I818))</f>
        <v>Kano</v>
      </c>
      <c r="K818" t="s">
        <v>31</v>
      </c>
      <c r="L818" t="str">
        <f>PROPER(TRIM(K818))</f>
        <v>Sports</v>
      </c>
      <c r="M818" t="s">
        <v>32</v>
      </c>
      <c r="N818" t="str">
        <f>PROPER(TRIM(M818))</f>
        <v>Ball</v>
      </c>
      <c r="O818">
        <v>492.9</v>
      </c>
      <c r="P818">
        <v>10</v>
      </c>
      <c r="Q818">
        <f>IF(P818&lt;1, 1, P818)</f>
        <v>10</v>
      </c>
      <c r="R818">
        <v>10</v>
      </c>
      <c r="S818" t="str">
        <f>IF(OR(R818&lt;0,R818&gt;100),"invalid","Valid")</f>
        <v>Valid</v>
      </c>
      <c r="U818" t="str">
        <f>PROPER(TRIM(T818))</f>
        <v/>
      </c>
      <c r="V818" t="s">
        <v>25</v>
      </c>
      <c r="W818" t="str">
        <f t="shared" si="24"/>
        <v>Dan</v>
      </c>
      <c r="X818" t="s">
        <v>26</v>
      </c>
      <c r="Y818">
        <v>2</v>
      </c>
      <c r="Z818" t="str">
        <f>IF(D818="", "Missing", "ok")</f>
        <v>ok</v>
      </c>
      <c r="AA818">
        <f t="shared" si="25"/>
        <v>4436.1000000000004</v>
      </c>
    </row>
    <row r="819" spans="1:27" x14ac:dyDescent="0.25">
      <c r="A819" t="s">
        <v>2154</v>
      </c>
      <c r="B819" s="1" t="s">
        <v>167</v>
      </c>
      <c r="C819" t="s">
        <v>2155</v>
      </c>
      <c r="D819" t="s">
        <v>19</v>
      </c>
      <c r="E819" t="str">
        <f>PROPER(TRIM(D819))</f>
        <v>Peter</v>
      </c>
      <c r="F819" t="s">
        <v>46</v>
      </c>
      <c r="G819">
        <v>38</v>
      </c>
      <c r="H819" t="str">
        <f>IF(AND(G819&gt;18, G819&lt;65), "Valid", "Invalid")</f>
        <v>Valid</v>
      </c>
      <c r="I819" t="s">
        <v>86</v>
      </c>
      <c r="J819" t="str">
        <f>PROPER(TRIM(I819))</f>
        <v>Kano</v>
      </c>
      <c r="K819" t="s">
        <v>22</v>
      </c>
      <c r="L819" t="str">
        <f>PROPER(TRIM(K819))</f>
        <v>Fashion</v>
      </c>
      <c r="M819" t="s">
        <v>23</v>
      </c>
      <c r="N819" t="str">
        <f>PROPER(TRIM(M819))</f>
        <v>Shirt</v>
      </c>
      <c r="O819">
        <v>116.66</v>
      </c>
      <c r="P819">
        <v>1</v>
      </c>
      <c r="Q819">
        <f>IF(P819&lt;1, 1, P819)</f>
        <v>1</v>
      </c>
      <c r="R819">
        <v>10</v>
      </c>
      <c r="S819" t="str">
        <f>IF(OR(R819&lt;0,R819&gt;100),"invalid","Valid")</f>
        <v>Valid</v>
      </c>
      <c r="T819" t="s">
        <v>77</v>
      </c>
      <c r="U819" t="str">
        <f>PROPER(TRIM(T819))</f>
        <v>Cash</v>
      </c>
      <c r="V819" t="s">
        <v>81</v>
      </c>
      <c r="W819" t="str">
        <f t="shared" si="24"/>
        <v>Ada</v>
      </c>
      <c r="X819" t="s">
        <v>65</v>
      </c>
      <c r="Y819">
        <v>1</v>
      </c>
      <c r="Z819" t="str">
        <f>IF(D819="", "Missing", "ok")</f>
        <v>ok</v>
      </c>
      <c r="AA819">
        <f t="shared" si="25"/>
        <v>104.994</v>
      </c>
    </row>
    <row r="820" spans="1:27" x14ac:dyDescent="0.25">
      <c r="A820" t="s">
        <v>2156</v>
      </c>
      <c r="B820" s="1" t="s">
        <v>170</v>
      </c>
      <c r="C820" t="s">
        <v>2157</v>
      </c>
      <c r="E820" t="str">
        <f>PROPER(TRIM(D820))</f>
        <v/>
      </c>
      <c r="F820" t="s">
        <v>46</v>
      </c>
      <c r="G820">
        <v>41</v>
      </c>
      <c r="H820" t="str">
        <f>IF(AND(G820&gt;18, G820&lt;65), "Valid", "Invalid")</f>
        <v>Valid</v>
      </c>
      <c r="I820" t="s">
        <v>70</v>
      </c>
      <c r="J820" t="str">
        <f>PROPER(TRIM(I820))</f>
        <v>Abuja</v>
      </c>
      <c r="K820" t="s">
        <v>31</v>
      </c>
      <c r="L820" t="str">
        <f>PROPER(TRIM(K820))</f>
        <v>Sports</v>
      </c>
      <c r="M820" t="s">
        <v>32</v>
      </c>
      <c r="N820" t="str">
        <f>PROPER(TRIM(M820))</f>
        <v>Ball</v>
      </c>
      <c r="O820">
        <v>461.59</v>
      </c>
      <c r="P820">
        <v>-2</v>
      </c>
      <c r="Q820">
        <f>IF(P820&lt;1, 1, P820)</f>
        <v>1</v>
      </c>
      <c r="R820">
        <v>10</v>
      </c>
      <c r="S820" t="str">
        <f>IF(OR(R820&lt;0,R820&gt;100),"invalid","Valid")</f>
        <v>Valid</v>
      </c>
      <c r="T820" t="s">
        <v>59</v>
      </c>
      <c r="U820" t="str">
        <f>PROPER(TRIM(T820))</f>
        <v>Mobile Money</v>
      </c>
      <c r="V820" t="s">
        <v>81</v>
      </c>
      <c r="W820" t="str">
        <f t="shared" si="24"/>
        <v>Ada</v>
      </c>
      <c r="X820" t="s">
        <v>33</v>
      </c>
      <c r="Z820" t="str">
        <f>IF(D820="", "Missing", "ok")</f>
        <v>Missing</v>
      </c>
      <c r="AA820">
        <f t="shared" si="25"/>
        <v>415.43099999999998</v>
      </c>
    </row>
    <row r="821" spans="1:27" x14ac:dyDescent="0.25">
      <c r="A821" t="s">
        <v>2158</v>
      </c>
      <c r="B821" s="1" t="s">
        <v>1996</v>
      </c>
      <c r="C821" t="s">
        <v>2159</v>
      </c>
      <c r="D821" t="s">
        <v>63</v>
      </c>
      <c r="E821" t="str">
        <f>PROPER(TRIM(D821))</f>
        <v>John</v>
      </c>
      <c r="F821" t="s">
        <v>20</v>
      </c>
      <c r="G821">
        <v>8</v>
      </c>
      <c r="H821" t="str">
        <f>IF(AND(G821&gt;18, G821&lt;65), "Valid", "Invalid")</f>
        <v>Invalid</v>
      </c>
      <c r="I821" t="s">
        <v>21</v>
      </c>
      <c r="J821" t="str">
        <f>PROPER(TRIM(I821))</f>
        <v>Lagos</v>
      </c>
      <c r="K821" t="s">
        <v>54</v>
      </c>
      <c r="L821" t="str">
        <f>PROPER(TRIM(K821))</f>
        <v>Home</v>
      </c>
      <c r="M821" t="s">
        <v>55</v>
      </c>
      <c r="N821" t="str">
        <f>PROPER(TRIM(M821))</f>
        <v>Chair</v>
      </c>
      <c r="O821">
        <v>320.07</v>
      </c>
      <c r="P821">
        <v>6</v>
      </c>
      <c r="Q821">
        <f>IF(P821&lt;1, 1, P821)</f>
        <v>6</v>
      </c>
      <c r="R821">
        <v>5</v>
      </c>
      <c r="S821" t="str">
        <f>IF(OR(R821&lt;0,R821&gt;100),"invalid","Valid")</f>
        <v>Valid</v>
      </c>
      <c r="T821" t="s">
        <v>77</v>
      </c>
      <c r="U821" t="str">
        <f>PROPER(TRIM(T821))</f>
        <v>Cash</v>
      </c>
      <c r="V821" t="s">
        <v>25</v>
      </c>
      <c r="W821" t="str">
        <f t="shared" si="24"/>
        <v>Dan</v>
      </c>
      <c r="X821" t="s">
        <v>26</v>
      </c>
      <c r="Y821">
        <v>3</v>
      </c>
      <c r="Z821" t="str">
        <f>IF(D821="", "Missing", "ok")</f>
        <v>ok</v>
      </c>
      <c r="AA821">
        <f t="shared" si="25"/>
        <v>1824.3989999999999</v>
      </c>
    </row>
    <row r="822" spans="1:27" x14ac:dyDescent="0.25">
      <c r="A822" t="s">
        <v>2160</v>
      </c>
      <c r="B822" s="1" t="s">
        <v>2161</v>
      </c>
      <c r="C822" t="s">
        <v>2162</v>
      </c>
      <c r="D822" t="s">
        <v>101</v>
      </c>
      <c r="E822" t="str">
        <f>PROPER(TRIM(D822))</f>
        <v>Grace</v>
      </c>
      <c r="F822" t="s">
        <v>46</v>
      </c>
      <c r="G822">
        <v>8</v>
      </c>
      <c r="H822" t="str">
        <f>IF(AND(G822&gt;18, G822&lt;65), "Valid", "Invalid")</f>
        <v>Invalid</v>
      </c>
      <c r="I822" t="s">
        <v>47</v>
      </c>
      <c r="J822" t="str">
        <f>PROPER(TRIM(I822))</f>
        <v>Enugu</v>
      </c>
      <c r="K822" t="s">
        <v>54</v>
      </c>
      <c r="L822" t="str">
        <f>PROPER(TRIM(K822))</f>
        <v>Home</v>
      </c>
      <c r="M822" t="s">
        <v>55</v>
      </c>
      <c r="N822" t="str">
        <f>PROPER(TRIM(M822))</f>
        <v>Chair</v>
      </c>
      <c r="O822">
        <v>251.33</v>
      </c>
      <c r="P822">
        <v>-2</v>
      </c>
      <c r="Q822">
        <f>IF(P822&lt;1, 1, P822)</f>
        <v>1</v>
      </c>
      <c r="R822">
        <v>120</v>
      </c>
      <c r="S822" t="str">
        <f>IF(OR(R822&lt;0,R822&gt;100),"invalid","Valid")</f>
        <v>invalid</v>
      </c>
      <c r="U822" t="str">
        <f>PROPER(TRIM(T822))</f>
        <v/>
      </c>
      <c r="V822" t="s">
        <v>25</v>
      </c>
      <c r="W822" t="str">
        <f t="shared" si="24"/>
        <v>Dan</v>
      </c>
      <c r="X822" t="s">
        <v>82</v>
      </c>
      <c r="Y822">
        <v>1</v>
      </c>
      <c r="Z822" t="str">
        <f>IF(D822="", "Missing", "ok")</f>
        <v>ok</v>
      </c>
      <c r="AA822">
        <f t="shared" si="25"/>
        <v>-50.265999999999991</v>
      </c>
    </row>
    <row r="823" spans="1:27" x14ac:dyDescent="0.25">
      <c r="A823" t="s">
        <v>2163</v>
      </c>
      <c r="B823" s="1" t="s">
        <v>2164</v>
      </c>
      <c r="C823" t="s">
        <v>2165</v>
      </c>
      <c r="E823" t="str">
        <f>PROPER(TRIM(D823))</f>
        <v/>
      </c>
      <c r="F823" t="s">
        <v>46</v>
      </c>
      <c r="G823">
        <v>35</v>
      </c>
      <c r="H823" t="str">
        <f>IF(AND(G823&gt;18, G823&lt;65), "Valid", "Invalid")</f>
        <v>Valid</v>
      </c>
      <c r="I823" t="s">
        <v>38</v>
      </c>
      <c r="J823" t="str">
        <f>PROPER(TRIM(I823))</f>
        <v>Ph</v>
      </c>
      <c r="K823" t="s">
        <v>31</v>
      </c>
      <c r="L823" t="str">
        <f>PROPER(TRIM(K823))</f>
        <v>Sports</v>
      </c>
      <c r="M823" t="s">
        <v>32</v>
      </c>
      <c r="N823" t="str">
        <f>PROPER(TRIM(M823))</f>
        <v>Ball</v>
      </c>
      <c r="O823">
        <v>301.43</v>
      </c>
      <c r="P823">
        <v>2</v>
      </c>
      <c r="Q823">
        <f>IF(P823&lt;1, 1, P823)</f>
        <v>2</v>
      </c>
      <c r="R823">
        <v>5</v>
      </c>
      <c r="S823" t="str">
        <f>IF(OR(R823&lt;0,R823&gt;100),"invalid","Valid")</f>
        <v>Valid</v>
      </c>
      <c r="T823" t="s">
        <v>64</v>
      </c>
      <c r="U823" t="str">
        <f>PROPER(TRIM(T823))</f>
        <v>Transfer</v>
      </c>
      <c r="V823" t="s">
        <v>25</v>
      </c>
      <c r="W823" t="str">
        <f t="shared" si="24"/>
        <v>Dan</v>
      </c>
      <c r="X823" t="s">
        <v>65</v>
      </c>
      <c r="Y823">
        <v>5</v>
      </c>
      <c r="Z823" t="str">
        <f>IF(D823="", "Missing", "ok")</f>
        <v>Missing</v>
      </c>
      <c r="AA823">
        <f t="shared" si="25"/>
        <v>572.71699999999998</v>
      </c>
    </row>
    <row r="824" spans="1:27" x14ac:dyDescent="0.25">
      <c r="A824" t="s">
        <v>2166</v>
      </c>
      <c r="B824" s="1" t="s">
        <v>1547</v>
      </c>
      <c r="C824" t="s">
        <v>678</v>
      </c>
      <c r="E824" t="str">
        <f>PROPER(TRIM(D824))</f>
        <v/>
      </c>
      <c r="F824" t="s">
        <v>20</v>
      </c>
      <c r="G824">
        <v>8</v>
      </c>
      <c r="H824" t="str">
        <f>IF(AND(G824&gt;18, G824&lt;65), "Valid", "Invalid")</f>
        <v>Invalid</v>
      </c>
      <c r="I824" t="s">
        <v>86</v>
      </c>
      <c r="J824" t="str">
        <f>PROPER(TRIM(I824))</f>
        <v>Kano</v>
      </c>
      <c r="K824" t="s">
        <v>39</v>
      </c>
      <c r="L824" t="str">
        <f>PROPER(TRIM(K824))</f>
        <v>Electronics</v>
      </c>
      <c r="M824" t="s">
        <v>40</v>
      </c>
      <c r="N824" t="str">
        <f>PROPER(TRIM(M824))</f>
        <v>Phone</v>
      </c>
      <c r="O824">
        <v>336.98</v>
      </c>
      <c r="P824">
        <v>-2</v>
      </c>
      <c r="Q824">
        <f>IF(P824&lt;1, 1, P824)</f>
        <v>1</v>
      </c>
      <c r="R824">
        <v>0</v>
      </c>
      <c r="S824" t="str">
        <f>IF(OR(R824&lt;0,R824&gt;100),"invalid","Valid")</f>
        <v>Valid</v>
      </c>
      <c r="U824" t="str">
        <f>PROPER(TRIM(T824))</f>
        <v/>
      </c>
      <c r="V824" t="s">
        <v>41</v>
      </c>
      <c r="W824" t="str">
        <f t="shared" si="24"/>
        <v>Chi</v>
      </c>
      <c r="X824" t="s">
        <v>33</v>
      </c>
      <c r="Z824" t="str">
        <f>IF(D824="", "Missing", "ok")</f>
        <v>Missing</v>
      </c>
      <c r="AA824">
        <f t="shared" si="25"/>
        <v>336.98</v>
      </c>
    </row>
    <row r="825" spans="1:27" x14ac:dyDescent="0.25">
      <c r="A825" t="s">
        <v>2167</v>
      </c>
      <c r="B825" s="1" t="s">
        <v>1346</v>
      </c>
      <c r="C825" t="s">
        <v>2168</v>
      </c>
      <c r="E825" t="str">
        <f>PROPER(TRIM(D825))</f>
        <v/>
      </c>
      <c r="F825" t="s">
        <v>46</v>
      </c>
      <c r="G825">
        <v>18</v>
      </c>
      <c r="H825" t="str">
        <f>IF(AND(G825&gt;18, G825&lt;65), "Valid", "Invalid")</f>
        <v>Invalid</v>
      </c>
      <c r="I825" t="s">
        <v>38</v>
      </c>
      <c r="J825" t="str">
        <f>PROPER(TRIM(I825))</f>
        <v>Ph</v>
      </c>
      <c r="K825" t="s">
        <v>87</v>
      </c>
      <c r="L825" t="str">
        <f>PROPER(TRIM(K825))</f>
        <v>Groceris</v>
      </c>
      <c r="M825" t="s">
        <v>49</v>
      </c>
      <c r="N825" t="str">
        <f>PROPER(TRIM(M825))</f>
        <v>Rice</v>
      </c>
      <c r="O825">
        <v>112.64</v>
      </c>
      <c r="P825">
        <v>5</v>
      </c>
      <c r="Q825">
        <f>IF(P825&lt;1, 1, P825)</f>
        <v>5</v>
      </c>
      <c r="R825">
        <v>10</v>
      </c>
      <c r="S825" t="str">
        <f>IF(OR(R825&lt;0,R825&gt;100),"invalid","Valid")</f>
        <v>Valid</v>
      </c>
      <c r="T825" t="s">
        <v>64</v>
      </c>
      <c r="U825" t="str">
        <f>PROPER(TRIM(T825))</f>
        <v>Transfer</v>
      </c>
      <c r="V825" t="s">
        <v>41</v>
      </c>
      <c r="W825" t="str">
        <f t="shared" si="24"/>
        <v>Chi</v>
      </c>
      <c r="X825" t="s">
        <v>26</v>
      </c>
      <c r="Y825">
        <v>3</v>
      </c>
      <c r="Z825" t="str">
        <f>IF(D825="", "Missing", "ok")</f>
        <v>Missing</v>
      </c>
      <c r="AA825">
        <f t="shared" si="25"/>
        <v>506.88000000000005</v>
      </c>
    </row>
    <row r="826" spans="1:27" x14ac:dyDescent="0.25">
      <c r="A826" t="s">
        <v>2169</v>
      </c>
      <c r="B826" s="1" t="s">
        <v>492</v>
      </c>
      <c r="C826" t="s">
        <v>2170</v>
      </c>
      <c r="D826" t="s">
        <v>37</v>
      </c>
      <c r="E826" t="str">
        <f>PROPER(TRIM(D826))</f>
        <v>Aisha</v>
      </c>
      <c r="F826" t="s">
        <v>46</v>
      </c>
      <c r="G826">
        <v>130</v>
      </c>
      <c r="H826" t="str">
        <f>IF(AND(G826&gt;18, G826&lt;65), "Valid", "Invalid")</f>
        <v>Invalid</v>
      </c>
      <c r="I826" t="s">
        <v>21</v>
      </c>
      <c r="J826" t="str">
        <f>PROPER(TRIM(I826))</f>
        <v>Lagos</v>
      </c>
      <c r="K826" t="s">
        <v>39</v>
      </c>
      <c r="L826" t="str">
        <f>PROPER(TRIM(K826))</f>
        <v>Electronics</v>
      </c>
      <c r="M826" t="s">
        <v>40</v>
      </c>
      <c r="N826" t="str">
        <f>PROPER(TRIM(M826))</f>
        <v>Phone</v>
      </c>
      <c r="O826">
        <v>135.58000000000001</v>
      </c>
      <c r="P826">
        <v>-2</v>
      </c>
      <c r="Q826">
        <f>IF(P826&lt;1, 1, P826)</f>
        <v>1</v>
      </c>
      <c r="R826">
        <v>120</v>
      </c>
      <c r="S826" t="str">
        <f>IF(OR(R826&lt;0,R826&gt;100),"invalid","Valid")</f>
        <v>invalid</v>
      </c>
      <c r="U826" t="str">
        <f>PROPER(TRIM(T826))</f>
        <v/>
      </c>
      <c r="V826" t="s">
        <v>25</v>
      </c>
      <c r="W826" t="str">
        <f t="shared" si="24"/>
        <v>Dan</v>
      </c>
      <c r="X826" t="s">
        <v>26</v>
      </c>
      <c r="Y826">
        <v>4</v>
      </c>
      <c r="Z826" t="str">
        <f>IF(D826="", "Missing", "ok")</f>
        <v>ok</v>
      </c>
      <c r="AA826">
        <f t="shared" si="25"/>
        <v>-27.115999999999996</v>
      </c>
    </row>
    <row r="827" spans="1:27" x14ac:dyDescent="0.25">
      <c r="A827" t="s">
        <v>2171</v>
      </c>
      <c r="B827" s="1" t="s">
        <v>2172</v>
      </c>
      <c r="C827" t="s">
        <v>2173</v>
      </c>
      <c r="D827" t="s">
        <v>101</v>
      </c>
      <c r="E827" t="str">
        <f>PROPER(TRIM(D827))</f>
        <v>Grace</v>
      </c>
      <c r="F827" t="s">
        <v>46</v>
      </c>
      <c r="G827">
        <v>130</v>
      </c>
      <c r="H827" t="str">
        <f>IF(AND(G827&gt;18, G827&lt;65), "Valid", "Invalid")</f>
        <v>Invalid</v>
      </c>
      <c r="I827" t="s">
        <v>86</v>
      </c>
      <c r="J827" t="str">
        <f>PROPER(TRIM(I827))</f>
        <v>Kano</v>
      </c>
      <c r="K827" t="s">
        <v>48</v>
      </c>
      <c r="L827" t="str">
        <f>PROPER(TRIM(K827))</f>
        <v>Groceries</v>
      </c>
      <c r="M827" t="s">
        <v>49</v>
      </c>
      <c r="N827" t="str">
        <f>PROPER(TRIM(M827))</f>
        <v>Rice</v>
      </c>
      <c r="O827">
        <v>312.37</v>
      </c>
      <c r="P827">
        <v>-2</v>
      </c>
      <c r="Q827">
        <f>IF(P827&lt;1, 1, P827)</f>
        <v>1</v>
      </c>
      <c r="R827">
        <v>10</v>
      </c>
      <c r="S827" t="str">
        <f>IF(OR(R827&lt;0,R827&gt;100),"invalid","Valid")</f>
        <v>Valid</v>
      </c>
      <c r="T827" t="s">
        <v>24</v>
      </c>
      <c r="U827" t="str">
        <f>PROPER(TRIM(T827))</f>
        <v>Pos</v>
      </c>
      <c r="V827" t="s">
        <v>25</v>
      </c>
      <c r="W827" t="str">
        <f t="shared" si="24"/>
        <v>Dan</v>
      </c>
      <c r="X827" t="s">
        <v>82</v>
      </c>
      <c r="Y827">
        <v>3</v>
      </c>
      <c r="Z827" t="str">
        <f>IF(D827="", "Missing", "ok")</f>
        <v>ok</v>
      </c>
      <c r="AA827">
        <f t="shared" si="25"/>
        <v>281.13300000000004</v>
      </c>
    </row>
    <row r="828" spans="1:27" x14ac:dyDescent="0.25">
      <c r="A828" t="s">
        <v>2174</v>
      </c>
      <c r="B828" s="1" t="s">
        <v>2175</v>
      </c>
      <c r="C828" t="s">
        <v>2176</v>
      </c>
      <c r="D828" t="s">
        <v>63</v>
      </c>
      <c r="E828" t="str">
        <f>PROPER(TRIM(D828))</f>
        <v>John</v>
      </c>
      <c r="F828" t="s">
        <v>20</v>
      </c>
      <c r="G828">
        <v>56</v>
      </c>
      <c r="H828" t="str">
        <f>IF(AND(G828&gt;18, G828&lt;65), "Valid", "Invalid")</f>
        <v>Valid</v>
      </c>
      <c r="I828" t="s">
        <v>38</v>
      </c>
      <c r="J828" t="str">
        <f>PROPER(TRIM(I828))</f>
        <v>Ph</v>
      </c>
      <c r="K828" t="s">
        <v>22</v>
      </c>
      <c r="L828" t="str">
        <f>PROPER(TRIM(K828))</f>
        <v>Fashion</v>
      </c>
      <c r="M828" t="s">
        <v>23</v>
      </c>
      <c r="N828" t="str">
        <f>PROPER(TRIM(M828))</f>
        <v>Shirt</v>
      </c>
      <c r="O828">
        <v>287.23</v>
      </c>
      <c r="P828">
        <v>-2</v>
      </c>
      <c r="Q828">
        <f>IF(P828&lt;1, 1, P828)</f>
        <v>1</v>
      </c>
      <c r="R828">
        <v>10</v>
      </c>
      <c r="S828" t="str">
        <f>IF(OR(R828&lt;0,R828&gt;100),"invalid","Valid")</f>
        <v>Valid</v>
      </c>
      <c r="U828" t="str">
        <f>PROPER(TRIM(T828))</f>
        <v/>
      </c>
      <c r="V828" t="s">
        <v>81</v>
      </c>
      <c r="W828" t="str">
        <f t="shared" si="24"/>
        <v>Ada</v>
      </c>
      <c r="X828" t="s">
        <v>65</v>
      </c>
      <c r="Y828">
        <v>2</v>
      </c>
      <c r="Z828" t="str">
        <f>IF(D828="", "Missing", "ok")</f>
        <v>ok</v>
      </c>
      <c r="AA828">
        <f t="shared" si="25"/>
        <v>258.50700000000001</v>
      </c>
    </row>
    <row r="829" spans="1:27" x14ac:dyDescent="0.25">
      <c r="A829" t="s">
        <v>2177</v>
      </c>
      <c r="B829" s="1" t="s">
        <v>2178</v>
      </c>
      <c r="C829" t="s">
        <v>2179</v>
      </c>
      <c r="D829" t="s">
        <v>19</v>
      </c>
      <c r="E829" t="str">
        <f>PROPER(TRIM(D829))</f>
        <v>Peter</v>
      </c>
      <c r="F829" t="s">
        <v>46</v>
      </c>
      <c r="G829">
        <v>130</v>
      </c>
      <c r="H829" t="str">
        <f>IF(AND(G829&gt;18, G829&lt;65), "Valid", "Invalid")</f>
        <v>Invalid</v>
      </c>
      <c r="I829" t="s">
        <v>30</v>
      </c>
      <c r="J829" t="str">
        <f>PROPER(TRIM(I829))</f>
        <v>Lagos</v>
      </c>
      <c r="K829" t="s">
        <v>54</v>
      </c>
      <c r="L829" t="str">
        <f>PROPER(TRIM(K829))</f>
        <v>Home</v>
      </c>
      <c r="M829" t="s">
        <v>55</v>
      </c>
      <c r="N829" t="str">
        <f>PROPER(TRIM(M829))</f>
        <v>Chair</v>
      </c>
      <c r="O829">
        <v>189.29</v>
      </c>
      <c r="P829">
        <v>-2</v>
      </c>
      <c r="Q829">
        <f>IF(P829&lt;1, 1, P829)</f>
        <v>1</v>
      </c>
      <c r="R829">
        <v>10</v>
      </c>
      <c r="S829" t="str">
        <f>IF(OR(R829&lt;0,R829&gt;100),"invalid","Valid")</f>
        <v>Valid</v>
      </c>
      <c r="U829" t="str">
        <f>PROPER(TRIM(T829))</f>
        <v/>
      </c>
      <c r="V829" t="s">
        <v>81</v>
      </c>
      <c r="W829" t="str">
        <f t="shared" si="24"/>
        <v>Ada</v>
      </c>
      <c r="X829" t="s">
        <v>33</v>
      </c>
      <c r="Y829">
        <v>5</v>
      </c>
      <c r="Z829" t="str">
        <f>IF(D829="", "Missing", "ok")</f>
        <v>ok</v>
      </c>
      <c r="AA829">
        <f t="shared" si="25"/>
        <v>170.36099999999999</v>
      </c>
    </row>
    <row r="830" spans="1:27" x14ac:dyDescent="0.25">
      <c r="A830" t="s">
        <v>2180</v>
      </c>
      <c r="B830" s="1" t="s">
        <v>2181</v>
      </c>
      <c r="C830" t="s">
        <v>2182</v>
      </c>
      <c r="D830" t="s">
        <v>101</v>
      </c>
      <c r="E830" t="str">
        <f>PROPER(TRIM(D830))</f>
        <v>Grace</v>
      </c>
      <c r="F830" t="s">
        <v>20</v>
      </c>
      <c r="G830">
        <v>48</v>
      </c>
      <c r="H830" t="str">
        <f>IF(AND(G830&gt;18, G830&lt;65), "Valid", "Invalid")</f>
        <v>Valid</v>
      </c>
      <c r="I830" t="s">
        <v>86</v>
      </c>
      <c r="J830" t="str">
        <f>PROPER(TRIM(I830))</f>
        <v>Kano</v>
      </c>
      <c r="K830" t="s">
        <v>39</v>
      </c>
      <c r="L830" t="str">
        <f>PROPER(TRIM(K830))</f>
        <v>Electronics</v>
      </c>
      <c r="M830" t="s">
        <v>40</v>
      </c>
      <c r="N830" t="str">
        <f>PROPER(TRIM(M830))</f>
        <v>Phone</v>
      </c>
      <c r="O830">
        <v>367.15</v>
      </c>
      <c r="P830">
        <v>2</v>
      </c>
      <c r="Q830">
        <f>IF(P830&lt;1, 1, P830)</f>
        <v>2</v>
      </c>
      <c r="R830">
        <v>120</v>
      </c>
      <c r="S830" t="str">
        <f>IF(OR(R830&lt;0,R830&gt;100),"invalid","Valid")</f>
        <v>invalid</v>
      </c>
      <c r="T830" t="s">
        <v>59</v>
      </c>
      <c r="U830" t="str">
        <f>PROPER(TRIM(T830))</f>
        <v>Mobile Money</v>
      </c>
      <c r="V830" t="s">
        <v>41</v>
      </c>
      <c r="W830" t="str">
        <f t="shared" si="24"/>
        <v>Chi</v>
      </c>
      <c r="X830" t="s">
        <v>65</v>
      </c>
      <c r="Y830">
        <v>4</v>
      </c>
      <c r="Z830" t="str">
        <f>IF(D830="", "Missing", "ok")</f>
        <v>ok</v>
      </c>
      <c r="AA830">
        <f t="shared" si="25"/>
        <v>-146.85999999999996</v>
      </c>
    </row>
    <row r="831" spans="1:27" x14ac:dyDescent="0.25">
      <c r="A831" t="s">
        <v>2183</v>
      </c>
      <c r="B831" s="1" t="s">
        <v>1191</v>
      </c>
      <c r="C831" t="s">
        <v>2184</v>
      </c>
      <c r="D831" t="s">
        <v>117</v>
      </c>
      <c r="E831" t="str">
        <f>PROPER(TRIM(D831))</f>
        <v>David</v>
      </c>
      <c r="F831" t="s">
        <v>46</v>
      </c>
      <c r="G831">
        <v>130</v>
      </c>
      <c r="H831" t="str">
        <f>IF(AND(G831&gt;18, G831&lt;65), "Valid", "Invalid")</f>
        <v>Invalid</v>
      </c>
      <c r="I831" t="s">
        <v>70</v>
      </c>
      <c r="J831" t="str">
        <f>PROPER(TRIM(I831))</f>
        <v>Abuja</v>
      </c>
      <c r="K831" t="s">
        <v>54</v>
      </c>
      <c r="L831" t="str">
        <f>PROPER(TRIM(K831))</f>
        <v>Home</v>
      </c>
      <c r="M831" t="s">
        <v>55</v>
      </c>
      <c r="N831" t="str">
        <f>PROPER(TRIM(M831))</f>
        <v>Chair</v>
      </c>
      <c r="O831">
        <v>109.53</v>
      </c>
      <c r="P831">
        <v>-2</v>
      </c>
      <c r="Q831">
        <f>IF(P831&lt;1, 1, P831)</f>
        <v>1</v>
      </c>
      <c r="R831">
        <v>120</v>
      </c>
      <c r="S831" t="str">
        <f>IF(OR(R831&lt;0,R831&gt;100),"invalid","Valid")</f>
        <v>invalid</v>
      </c>
      <c r="T831" t="s">
        <v>59</v>
      </c>
      <c r="U831" t="str">
        <f>PROPER(TRIM(T831))</f>
        <v>Mobile Money</v>
      </c>
      <c r="V831" t="s">
        <v>91</v>
      </c>
      <c r="W831" t="str">
        <f t="shared" si="24"/>
        <v>Ben</v>
      </c>
      <c r="X831" t="s">
        <v>82</v>
      </c>
      <c r="Y831">
        <v>4</v>
      </c>
      <c r="Z831" t="str">
        <f>IF(D831="", "Missing", "ok")</f>
        <v>ok</v>
      </c>
      <c r="AA831">
        <f t="shared" si="25"/>
        <v>-21.905999999999995</v>
      </c>
    </row>
    <row r="832" spans="1:27" x14ac:dyDescent="0.25">
      <c r="A832" t="s">
        <v>2185</v>
      </c>
      <c r="B832" s="1" t="s">
        <v>1327</v>
      </c>
      <c r="C832" t="s">
        <v>2186</v>
      </c>
      <c r="D832" t="s">
        <v>117</v>
      </c>
      <c r="E832" t="str">
        <f>PROPER(TRIM(D832))</f>
        <v>David</v>
      </c>
      <c r="F832" t="s">
        <v>20</v>
      </c>
      <c r="G832">
        <v>28</v>
      </c>
      <c r="H832" t="str">
        <f>IF(AND(G832&gt;18, G832&lt;65), "Valid", "Invalid")</f>
        <v>Valid</v>
      </c>
      <c r="I832" t="s">
        <v>21</v>
      </c>
      <c r="J832" t="str">
        <f>PROPER(TRIM(I832))</f>
        <v>Lagos</v>
      </c>
      <c r="K832" t="s">
        <v>22</v>
      </c>
      <c r="L832" t="str">
        <f>PROPER(TRIM(K832))</f>
        <v>Fashion</v>
      </c>
      <c r="M832" t="s">
        <v>23</v>
      </c>
      <c r="N832" t="str">
        <f>PROPER(TRIM(M832))</f>
        <v>Shirt</v>
      </c>
      <c r="O832">
        <v>76</v>
      </c>
      <c r="P832">
        <v>-2</v>
      </c>
      <c r="Q832">
        <f>IF(P832&lt;1, 1, P832)</f>
        <v>1</v>
      </c>
      <c r="R832">
        <v>15</v>
      </c>
      <c r="S832" t="str">
        <f>IF(OR(R832&lt;0,R832&gt;100),"invalid","Valid")</f>
        <v>Valid</v>
      </c>
      <c r="T832" t="s">
        <v>59</v>
      </c>
      <c r="U832" t="str">
        <f>PROPER(TRIM(T832))</f>
        <v>Mobile Money</v>
      </c>
      <c r="V832" t="s">
        <v>41</v>
      </c>
      <c r="W832" t="str">
        <f t="shared" si="24"/>
        <v>Chi</v>
      </c>
      <c r="X832" t="s">
        <v>33</v>
      </c>
      <c r="Y832">
        <v>2</v>
      </c>
      <c r="Z832" t="str">
        <f>IF(D832="", "Missing", "ok")</f>
        <v>ok</v>
      </c>
      <c r="AA832">
        <f t="shared" si="25"/>
        <v>64.599999999999994</v>
      </c>
    </row>
    <row r="833" spans="1:27" x14ac:dyDescent="0.25">
      <c r="A833" t="s">
        <v>2187</v>
      </c>
      <c r="B833" s="1" t="s">
        <v>2188</v>
      </c>
      <c r="C833" t="s">
        <v>2189</v>
      </c>
      <c r="D833" t="s">
        <v>117</v>
      </c>
      <c r="E833" t="str">
        <f>PROPER(TRIM(D833))</f>
        <v>David</v>
      </c>
      <c r="F833" t="s">
        <v>20</v>
      </c>
      <c r="G833">
        <v>60</v>
      </c>
      <c r="H833" t="str">
        <f>IF(AND(G833&gt;18, G833&lt;65), "Valid", "Invalid")</f>
        <v>Valid</v>
      </c>
      <c r="I833" t="s">
        <v>70</v>
      </c>
      <c r="J833" t="str">
        <f>PROPER(TRIM(I833))</f>
        <v>Abuja</v>
      </c>
      <c r="K833" t="s">
        <v>31</v>
      </c>
      <c r="L833" t="str">
        <f>PROPER(TRIM(K833))</f>
        <v>Sports</v>
      </c>
      <c r="M833" t="s">
        <v>32</v>
      </c>
      <c r="N833" t="str">
        <f>PROPER(TRIM(M833))</f>
        <v>Ball</v>
      </c>
      <c r="O833">
        <v>100.02</v>
      </c>
      <c r="P833">
        <v>-2</v>
      </c>
      <c r="Q833">
        <f>IF(P833&lt;1, 1, P833)</f>
        <v>1</v>
      </c>
      <c r="R833">
        <v>120</v>
      </c>
      <c r="S833" t="str">
        <f>IF(OR(R833&lt;0,R833&gt;100),"invalid","Valid")</f>
        <v>invalid</v>
      </c>
      <c r="T833" t="s">
        <v>59</v>
      </c>
      <c r="U833" t="str">
        <f>PROPER(TRIM(T833))</f>
        <v>Mobile Money</v>
      </c>
      <c r="V833" t="s">
        <v>25</v>
      </c>
      <c r="W833" t="str">
        <f t="shared" si="24"/>
        <v>Dan</v>
      </c>
      <c r="X833" t="s">
        <v>33</v>
      </c>
      <c r="Y833">
        <v>5</v>
      </c>
      <c r="Z833" t="str">
        <f>IF(D833="", "Missing", "ok")</f>
        <v>ok</v>
      </c>
      <c r="AA833">
        <f t="shared" si="25"/>
        <v>-20.003999999999994</v>
      </c>
    </row>
    <row r="834" spans="1:27" x14ac:dyDescent="0.25">
      <c r="A834" t="s">
        <v>2190</v>
      </c>
      <c r="B834" s="1" t="s">
        <v>1427</v>
      </c>
      <c r="C834" t="s">
        <v>2191</v>
      </c>
      <c r="E834" t="str">
        <f>PROPER(TRIM(D834))</f>
        <v/>
      </c>
      <c r="F834" t="s">
        <v>46</v>
      </c>
      <c r="G834">
        <v>130</v>
      </c>
      <c r="H834" t="str">
        <f>IF(AND(G834&gt;18, G834&lt;65), "Valid", "Invalid")</f>
        <v>Invalid</v>
      </c>
      <c r="I834" t="s">
        <v>86</v>
      </c>
      <c r="J834" t="str">
        <f>PROPER(TRIM(I834))</f>
        <v>Kano</v>
      </c>
      <c r="K834" t="s">
        <v>121</v>
      </c>
      <c r="L834" t="str">
        <f>PROPER(TRIM(K834))</f>
        <v>Beauty</v>
      </c>
      <c r="M834" t="s">
        <v>122</v>
      </c>
      <c r="N834" t="str">
        <f>PROPER(TRIM(M834))</f>
        <v>Cream</v>
      </c>
      <c r="O834">
        <v>44.07</v>
      </c>
      <c r="P834">
        <v>-2</v>
      </c>
      <c r="Q834">
        <f>IF(P834&lt;1, 1, P834)</f>
        <v>1</v>
      </c>
      <c r="R834">
        <v>5</v>
      </c>
      <c r="S834" t="str">
        <f>IF(OR(R834&lt;0,R834&gt;100),"invalid","Valid")</f>
        <v>Valid</v>
      </c>
      <c r="T834" t="s">
        <v>24</v>
      </c>
      <c r="U834" t="str">
        <f>PROPER(TRIM(T834))</f>
        <v>Pos</v>
      </c>
      <c r="V834" t="s">
        <v>41</v>
      </c>
      <c r="W834" t="str">
        <f t="shared" ref="W834:W897" si="26">PROPER(TRIM(V834))</f>
        <v>Chi</v>
      </c>
      <c r="X834" t="s">
        <v>33</v>
      </c>
      <c r="Z834" t="str">
        <f>IF(D834="", "Missing", "ok")</f>
        <v>Missing</v>
      </c>
      <c r="AA834">
        <f t="shared" si="25"/>
        <v>41.866499999999995</v>
      </c>
    </row>
    <row r="835" spans="1:27" x14ac:dyDescent="0.25">
      <c r="A835" t="s">
        <v>2192</v>
      </c>
      <c r="B835" s="1" t="s">
        <v>79</v>
      </c>
      <c r="C835" t="s">
        <v>2193</v>
      </c>
      <c r="D835" t="s">
        <v>117</v>
      </c>
      <c r="E835" t="str">
        <f>PROPER(TRIM(D835))</f>
        <v>David</v>
      </c>
      <c r="F835" t="s">
        <v>46</v>
      </c>
      <c r="G835">
        <v>130</v>
      </c>
      <c r="H835" t="str">
        <f>IF(AND(G835&gt;18, G835&lt;65), "Valid", "Invalid")</f>
        <v>Invalid</v>
      </c>
      <c r="I835" t="s">
        <v>53</v>
      </c>
      <c r="J835" t="str">
        <f>PROPER(TRIM(I835))</f>
        <v>Lagos</v>
      </c>
      <c r="K835" t="s">
        <v>22</v>
      </c>
      <c r="L835" t="str">
        <f>PROPER(TRIM(K835))</f>
        <v>Fashion</v>
      </c>
      <c r="M835" t="s">
        <v>23</v>
      </c>
      <c r="N835" t="str">
        <f>PROPER(TRIM(M835))</f>
        <v>Shirt</v>
      </c>
      <c r="O835">
        <v>203.4</v>
      </c>
      <c r="P835">
        <v>-2</v>
      </c>
      <c r="Q835">
        <f>IF(P835&lt;1, 1, P835)</f>
        <v>1</v>
      </c>
      <c r="R835">
        <v>15</v>
      </c>
      <c r="S835" t="str">
        <f>IF(OR(R835&lt;0,R835&gt;100),"invalid","Valid")</f>
        <v>Valid</v>
      </c>
      <c r="T835" t="s">
        <v>77</v>
      </c>
      <c r="U835" t="str">
        <f>PROPER(TRIM(T835))</f>
        <v>Cash</v>
      </c>
      <c r="V835" t="s">
        <v>91</v>
      </c>
      <c r="W835" t="str">
        <f t="shared" si="26"/>
        <v>Ben</v>
      </c>
      <c r="X835" t="s">
        <v>33</v>
      </c>
      <c r="Y835">
        <v>5</v>
      </c>
      <c r="Z835" t="str">
        <f>IF(D835="", "Missing", "ok")</f>
        <v>ok</v>
      </c>
      <c r="AA835">
        <f t="shared" ref="AA835:AA898" si="27">(O835*Q835)*(1-R835/100)</f>
        <v>172.89</v>
      </c>
    </row>
    <row r="836" spans="1:27" x14ac:dyDescent="0.25">
      <c r="A836" t="s">
        <v>2194</v>
      </c>
      <c r="B836" s="1" t="s">
        <v>28</v>
      </c>
      <c r="C836" t="s">
        <v>2195</v>
      </c>
      <c r="D836" t="s">
        <v>69</v>
      </c>
      <c r="E836" t="str">
        <f>PROPER(TRIM(D836))</f>
        <v>Mary</v>
      </c>
      <c r="F836" t="s">
        <v>46</v>
      </c>
      <c r="G836">
        <v>8</v>
      </c>
      <c r="H836" t="str">
        <f>IF(AND(G836&gt;18, G836&lt;65), "Valid", "Invalid")</f>
        <v>Invalid</v>
      </c>
      <c r="I836" t="s">
        <v>86</v>
      </c>
      <c r="J836" t="str">
        <f>PROPER(TRIM(I836))</f>
        <v>Kano</v>
      </c>
      <c r="K836" t="s">
        <v>54</v>
      </c>
      <c r="L836" t="str">
        <f>PROPER(TRIM(K836))</f>
        <v>Home</v>
      </c>
      <c r="M836" t="s">
        <v>55</v>
      </c>
      <c r="N836" t="str">
        <f>PROPER(TRIM(M836))</f>
        <v>Chair</v>
      </c>
      <c r="O836">
        <v>424.75</v>
      </c>
      <c r="P836">
        <v>7</v>
      </c>
      <c r="Q836">
        <f>IF(P836&lt;1, 1, P836)</f>
        <v>7</v>
      </c>
      <c r="R836">
        <v>5</v>
      </c>
      <c r="S836" t="str">
        <f>IF(OR(R836&lt;0,R836&gt;100),"invalid","Valid")</f>
        <v>Valid</v>
      </c>
      <c r="T836" t="s">
        <v>59</v>
      </c>
      <c r="U836" t="str">
        <f>PROPER(TRIM(T836))</f>
        <v>Mobile Money</v>
      </c>
      <c r="V836" t="s">
        <v>41</v>
      </c>
      <c r="W836" t="str">
        <f t="shared" si="26"/>
        <v>Chi</v>
      </c>
      <c r="X836" t="s">
        <v>33</v>
      </c>
      <c r="Y836">
        <v>1</v>
      </c>
      <c r="Z836" t="str">
        <f>IF(D836="", "Missing", "ok")</f>
        <v>ok</v>
      </c>
      <c r="AA836">
        <f t="shared" si="27"/>
        <v>2824.5875000000001</v>
      </c>
    </row>
    <row r="837" spans="1:27" x14ac:dyDescent="0.25">
      <c r="A837" t="s">
        <v>2196</v>
      </c>
      <c r="B837" s="1" t="s">
        <v>2197</v>
      </c>
      <c r="C837" t="s">
        <v>1452</v>
      </c>
      <c r="D837" t="s">
        <v>63</v>
      </c>
      <c r="E837" t="str">
        <f>PROPER(TRIM(D837))</f>
        <v>John</v>
      </c>
      <c r="F837" t="s">
        <v>46</v>
      </c>
      <c r="G837">
        <v>50</v>
      </c>
      <c r="H837" t="str">
        <f>IF(AND(G837&gt;18, G837&lt;65), "Valid", "Invalid")</f>
        <v>Valid</v>
      </c>
      <c r="I837" t="s">
        <v>53</v>
      </c>
      <c r="J837" t="str">
        <f>PROPER(TRIM(I837))</f>
        <v>Lagos</v>
      </c>
      <c r="K837" t="s">
        <v>121</v>
      </c>
      <c r="L837" t="str">
        <f>PROPER(TRIM(K837))</f>
        <v>Beauty</v>
      </c>
      <c r="M837" t="s">
        <v>122</v>
      </c>
      <c r="N837" t="str">
        <f>PROPER(TRIM(M837))</f>
        <v>Cream</v>
      </c>
      <c r="O837">
        <v>428.7</v>
      </c>
      <c r="P837">
        <v>9</v>
      </c>
      <c r="Q837">
        <f>IF(P837&lt;1, 1, P837)</f>
        <v>9</v>
      </c>
      <c r="R837">
        <v>15</v>
      </c>
      <c r="S837" t="str">
        <f>IF(OR(R837&lt;0,R837&gt;100),"invalid","Valid")</f>
        <v>Valid</v>
      </c>
      <c r="T837" t="s">
        <v>64</v>
      </c>
      <c r="U837" t="str">
        <f>PROPER(TRIM(T837))</f>
        <v>Transfer</v>
      </c>
      <c r="V837" t="s">
        <v>81</v>
      </c>
      <c r="W837" t="str">
        <f t="shared" si="26"/>
        <v>Ada</v>
      </c>
      <c r="X837" t="s">
        <v>26</v>
      </c>
      <c r="Y837">
        <v>2</v>
      </c>
      <c r="Z837" t="str">
        <f>IF(D837="", "Missing", "ok")</f>
        <v>ok</v>
      </c>
      <c r="AA837">
        <f t="shared" si="27"/>
        <v>3279.5549999999998</v>
      </c>
    </row>
    <row r="838" spans="1:27" x14ac:dyDescent="0.25">
      <c r="A838" t="s">
        <v>2198</v>
      </c>
      <c r="B838" s="1" t="s">
        <v>752</v>
      </c>
      <c r="C838" t="s">
        <v>2199</v>
      </c>
      <c r="D838" t="s">
        <v>117</v>
      </c>
      <c r="E838" t="str">
        <f>PROPER(TRIM(D838))</f>
        <v>David</v>
      </c>
      <c r="F838" t="s">
        <v>20</v>
      </c>
      <c r="G838">
        <v>8</v>
      </c>
      <c r="H838" t="str">
        <f>IF(AND(G838&gt;18, G838&lt;65), "Valid", "Invalid")</f>
        <v>Invalid</v>
      </c>
      <c r="I838" t="s">
        <v>47</v>
      </c>
      <c r="J838" t="str">
        <f>PROPER(TRIM(I838))</f>
        <v>Enugu</v>
      </c>
      <c r="K838" t="s">
        <v>31</v>
      </c>
      <c r="L838" t="str">
        <f>PROPER(TRIM(K838))</f>
        <v>Sports</v>
      </c>
      <c r="M838" t="s">
        <v>32</v>
      </c>
      <c r="N838" t="str">
        <f>PROPER(TRIM(M838))</f>
        <v>Ball</v>
      </c>
      <c r="O838">
        <v>332.76</v>
      </c>
      <c r="P838">
        <v>-2</v>
      </c>
      <c r="Q838">
        <f>IF(P838&lt;1, 1, P838)</f>
        <v>1</v>
      </c>
      <c r="R838">
        <v>120</v>
      </c>
      <c r="S838" t="str">
        <f>IF(OR(R838&lt;0,R838&gt;100),"invalid","Valid")</f>
        <v>invalid</v>
      </c>
      <c r="U838" t="str">
        <f>PROPER(TRIM(T838))</f>
        <v/>
      </c>
      <c r="V838" t="s">
        <v>91</v>
      </c>
      <c r="W838" t="str">
        <f t="shared" si="26"/>
        <v>Ben</v>
      </c>
      <c r="X838" t="s">
        <v>26</v>
      </c>
      <c r="Y838">
        <v>3</v>
      </c>
      <c r="Z838" t="str">
        <f>IF(D838="", "Missing", "ok")</f>
        <v>ok</v>
      </c>
      <c r="AA838">
        <f t="shared" si="27"/>
        <v>-66.551999999999978</v>
      </c>
    </row>
    <row r="839" spans="1:27" x14ac:dyDescent="0.25">
      <c r="A839" t="s">
        <v>2200</v>
      </c>
      <c r="B839" s="1" t="s">
        <v>1846</v>
      </c>
      <c r="C839" t="s">
        <v>2201</v>
      </c>
      <c r="D839" t="s">
        <v>19</v>
      </c>
      <c r="E839" t="str">
        <f>PROPER(TRIM(D839))</f>
        <v>Peter</v>
      </c>
      <c r="F839" t="s">
        <v>20</v>
      </c>
      <c r="G839">
        <v>8</v>
      </c>
      <c r="H839" t="str">
        <f>IF(AND(G839&gt;18, G839&lt;65), "Valid", "Invalid")</f>
        <v>Invalid</v>
      </c>
      <c r="I839" t="s">
        <v>47</v>
      </c>
      <c r="J839" t="str">
        <f>PROPER(TRIM(I839))</f>
        <v>Enugu</v>
      </c>
      <c r="K839" t="s">
        <v>48</v>
      </c>
      <c r="L839" t="str">
        <f>PROPER(TRIM(K839))</f>
        <v>Groceries</v>
      </c>
      <c r="M839" t="s">
        <v>49</v>
      </c>
      <c r="N839" t="str">
        <f>PROPER(TRIM(M839))</f>
        <v>Rice</v>
      </c>
      <c r="O839">
        <v>63.46</v>
      </c>
      <c r="P839">
        <v>-2</v>
      </c>
      <c r="Q839">
        <f>IF(P839&lt;1, 1, P839)</f>
        <v>1</v>
      </c>
      <c r="R839">
        <v>-10</v>
      </c>
      <c r="S839" t="str">
        <f>IF(OR(R839&lt;0,R839&gt;100),"invalid","Valid")</f>
        <v>invalid</v>
      </c>
      <c r="T839" t="s">
        <v>24</v>
      </c>
      <c r="U839" t="str">
        <f>PROPER(TRIM(T839))</f>
        <v>Pos</v>
      </c>
      <c r="V839" t="s">
        <v>25</v>
      </c>
      <c r="W839" t="str">
        <f t="shared" si="26"/>
        <v>Dan</v>
      </c>
      <c r="X839" t="s">
        <v>33</v>
      </c>
      <c r="Z839" t="str">
        <f>IF(D839="", "Missing", "ok")</f>
        <v>ok</v>
      </c>
      <c r="AA839">
        <f t="shared" si="27"/>
        <v>69.806000000000012</v>
      </c>
    </row>
    <row r="840" spans="1:27" x14ac:dyDescent="0.25">
      <c r="A840" t="s">
        <v>2202</v>
      </c>
      <c r="B840" s="1" t="s">
        <v>2047</v>
      </c>
      <c r="C840" t="s">
        <v>2203</v>
      </c>
      <c r="D840" t="s">
        <v>19</v>
      </c>
      <c r="E840" t="str">
        <f>PROPER(TRIM(D840))</f>
        <v>Peter</v>
      </c>
      <c r="F840" t="s">
        <v>20</v>
      </c>
      <c r="G840">
        <v>130</v>
      </c>
      <c r="H840" t="str">
        <f>IF(AND(G840&gt;18, G840&lt;65), "Valid", "Invalid")</f>
        <v>Invalid</v>
      </c>
      <c r="I840" t="s">
        <v>30</v>
      </c>
      <c r="J840" t="str">
        <f>PROPER(TRIM(I840))</f>
        <v>Lagos</v>
      </c>
      <c r="K840" t="s">
        <v>39</v>
      </c>
      <c r="L840" t="str">
        <f>PROPER(TRIM(K840))</f>
        <v>Electronics</v>
      </c>
      <c r="M840" t="s">
        <v>40</v>
      </c>
      <c r="N840" t="str">
        <f>PROPER(TRIM(M840))</f>
        <v>Phone</v>
      </c>
      <c r="O840">
        <v>476.39</v>
      </c>
      <c r="P840">
        <v>2</v>
      </c>
      <c r="Q840">
        <f>IF(P840&lt;1, 1, P840)</f>
        <v>2</v>
      </c>
      <c r="R840">
        <v>-10</v>
      </c>
      <c r="S840" t="str">
        <f>IF(OR(R840&lt;0,R840&gt;100),"invalid","Valid")</f>
        <v>invalid</v>
      </c>
      <c r="U840" t="str">
        <f>PROPER(TRIM(T840))</f>
        <v/>
      </c>
      <c r="V840" t="s">
        <v>81</v>
      </c>
      <c r="W840" t="str">
        <f t="shared" si="26"/>
        <v>Ada</v>
      </c>
      <c r="X840" t="s">
        <v>65</v>
      </c>
      <c r="Y840">
        <v>4</v>
      </c>
      <c r="Z840" t="str">
        <f>IF(D840="", "Missing", "ok")</f>
        <v>ok</v>
      </c>
      <c r="AA840">
        <f t="shared" si="27"/>
        <v>1048.058</v>
      </c>
    </row>
    <row r="841" spans="1:27" x14ac:dyDescent="0.25">
      <c r="A841" t="s">
        <v>2204</v>
      </c>
      <c r="B841" s="1" t="s">
        <v>711</v>
      </c>
      <c r="C841" t="s">
        <v>2205</v>
      </c>
      <c r="E841" t="str">
        <f>PROPER(TRIM(D841))</f>
        <v/>
      </c>
      <c r="F841" t="s">
        <v>46</v>
      </c>
      <c r="G841">
        <v>33</v>
      </c>
      <c r="H841" t="str">
        <f>IF(AND(G841&gt;18, G841&lt;65), "Valid", "Invalid")</f>
        <v>Valid</v>
      </c>
      <c r="I841" t="s">
        <v>70</v>
      </c>
      <c r="J841" t="str">
        <f>PROPER(TRIM(I841))</f>
        <v>Abuja</v>
      </c>
      <c r="K841" t="s">
        <v>48</v>
      </c>
      <c r="L841" t="str">
        <f>PROPER(TRIM(K841))</f>
        <v>Groceries</v>
      </c>
      <c r="M841" t="s">
        <v>49</v>
      </c>
      <c r="N841" t="str">
        <f>PROPER(TRIM(M841))</f>
        <v>Rice</v>
      </c>
      <c r="O841">
        <v>343</v>
      </c>
      <c r="P841">
        <v>-2</v>
      </c>
      <c r="Q841">
        <f>IF(P841&lt;1, 1, P841)</f>
        <v>1</v>
      </c>
      <c r="R841">
        <v>120</v>
      </c>
      <c r="S841" t="str">
        <f>IF(OR(R841&lt;0,R841&gt;100),"invalid","Valid")</f>
        <v>invalid</v>
      </c>
      <c r="T841" t="s">
        <v>59</v>
      </c>
      <c r="U841" t="str">
        <f>PROPER(TRIM(T841))</f>
        <v>Mobile Money</v>
      </c>
      <c r="V841" t="s">
        <v>81</v>
      </c>
      <c r="W841" t="str">
        <f t="shared" si="26"/>
        <v>Ada</v>
      </c>
      <c r="X841" t="s">
        <v>26</v>
      </c>
      <c r="Y841">
        <v>1</v>
      </c>
      <c r="Z841" t="str">
        <f>IF(D841="", "Missing", "ok")</f>
        <v>Missing</v>
      </c>
      <c r="AA841">
        <f t="shared" si="27"/>
        <v>-68.59999999999998</v>
      </c>
    </row>
    <row r="842" spans="1:27" x14ac:dyDescent="0.25">
      <c r="A842" t="s">
        <v>2206</v>
      </c>
      <c r="B842" s="1" t="s">
        <v>896</v>
      </c>
      <c r="C842" t="s">
        <v>2207</v>
      </c>
      <c r="D842" t="s">
        <v>63</v>
      </c>
      <c r="E842" t="str">
        <f>PROPER(TRIM(D842))</f>
        <v>John</v>
      </c>
      <c r="F842" t="s">
        <v>46</v>
      </c>
      <c r="G842">
        <v>130</v>
      </c>
      <c r="H842" t="str">
        <f>IF(AND(G842&gt;18, G842&lt;65), "Valid", "Invalid")</f>
        <v>Invalid</v>
      </c>
      <c r="I842" t="s">
        <v>21</v>
      </c>
      <c r="J842" t="str">
        <f>PROPER(TRIM(I842))</f>
        <v>Lagos</v>
      </c>
      <c r="K842" t="s">
        <v>54</v>
      </c>
      <c r="L842" t="str">
        <f>PROPER(TRIM(K842))</f>
        <v>Home</v>
      </c>
      <c r="M842" t="s">
        <v>55</v>
      </c>
      <c r="N842" t="str">
        <f>PROPER(TRIM(M842))</f>
        <v>Chair</v>
      </c>
      <c r="O842">
        <v>31.5</v>
      </c>
      <c r="P842">
        <v>-2</v>
      </c>
      <c r="Q842">
        <f>IF(P842&lt;1, 1, P842)</f>
        <v>1</v>
      </c>
      <c r="R842">
        <v>120</v>
      </c>
      <c r="S842" t="str">
        <f>IF(OR(R842&lt;0,R842&gt;100),"invalid","Valid")</f>
        <v>invalid</v>
      </c>
      <c r="T842" t="s">
        <v>24</v>
      </c>
      <c r="U842" t="str">
        <f>PROPER(TRIM(T842))</f>
        <v>Pos</v>
      </c>
      <c r="V842" t="s">
        <v>41</v>
      </c>
      <c r="W842" t="str">
        <f t="shared" si="26"/>
        <v>Chi</v>
      </c>
      <c r="X842" t="s">
        <v>33</v>
      </c>
      <c r="Y842">
        <v>5</v>
      </c>
      <c r="Z842" t="str">
        <f>IF(D842="", "Missing", "ok")</f>
        <v>ok</v>
      </c>
      <c r="AA842">
        <f t="shared" si="27"/>
        <v>-6.2999999999999989</v>
      </c>
    </row>
    <row r="843" spans="1:27" x14ac:dyDescent="0.25">
      <c r="A843" t="s">
        <v>2208</v>
      </c>
      <c r="B843" s="1" t="s">
        <v>711</v>
      </c>
      <c r="C843" t="s">
        <v>2209</v>
      </c>
      <c r="D843" t="s">
        <v>63</v>
      </c>
      <c r="E843" t="str">
        <f>PROPER(TRIM(D843))</f>
        <v>John</v>
      </c>
      <c r="F843" t="s">
        <v>20</v>
      </c>
      <c r="G843">
        <v>8</v>
      </c>
      <c r="H843" t="str">
        <f>IF(AND(G843&gt;18, G843&lt;65), "Valid", "Invalid")</f>
        <v>Invalid</v>
      </c>
      <c r="I843" t="s">
        <v>38</v>
      </c>
      <c r="J843" t="str">
        <f>PROPER(TRIM(I843))</f>
        <v>Ph</v>
      </c>
      <c r="K843" t="s">
        <v>22</v>
      </c>
      <c r="L843" t="str">
        <f>PROPER(TRIM(K843))</f>
        <v>Fashion</v>
      </c>
      <c r="M843" t="s">
        <v>23</v>
      </c>
      <c r="N843" t="str">
        <f>PROPER(TRIM(M843))</f>
        <v>Shirt</v>
      </c>
      <c r="O843">
        <v>189.5</v>
      </c>
      <c r="P843">
        <v>-2</v>
      </c>
      <c r="Q843">
        <f>IF(P843&lt;1, 1, P843)</f>
        <v>1</v>
      </c>
      <c r="R843">
        <v>0</v>
      </c>
      <c r="S843" t="str">
        <f>IF(OR(R843&lt;0,R843&gt;100),"invalid","Valid")</f>
        <v>Valid</v>
      </c>
      <c r="U843" t="str">
        <f>PROPER(TRIM(T843))</f>
        <v/>
      </c>
      <c r="V843" t="s">
        <v>25</v>
      </c>
      <c r="W843" t="str">
        <f t="shared" si="26"/>
        <v>Dan</v>
      </c>
      <c r="X843" t="s">
        <v>82</v>
      </c>
      <c r="Y843">
        <v>4</v>
      </c>
      <c r="Z843" t="str">
        <f>IF(D843="", "Missing", "ok")</f>
        <v>ok</v>
      </c>
      <c r="AA843">
        <f t="shared" si="27"/>
        <v>189.5</v>
      </c>
    </row>
    <row r="844" spans="1:27" x14ac:dyDescent="0.25">
      <c r="A844" t="s">
        <v>2210</v>
      </c>
      <c r="B844" s="1" t="s">
        <v>1689</v>
      </c>
      <c r="C844" t="s">
        <v>1235</v>
      </c>
      <c r="E844" t="str">
        <f>PROPER(TRIM(D844))</f>
        <v/>
      </c>
      <c r="F844" t="s">
        <v>20</v>
      </c>
      <c r="G844">
        <v>50</v>
      </c>
      <c r="H844" t="str">
        <f>IF(AND(G844&gt;18, G844&lt;65), "Valid", "Invalid")</f>
        <v>Valid</v>
      </c>
      <c r="I844" t="s">
        <v>38</v>
      </c>
      <c r="J844" t="str">
        <f>PROPER(TRIM(I844))</f>
        <v>Ph</v>
      </c>
      <c r="K844" t="s">
        <v>54</v>
      </c>
      <c r="L844" t="str">
        <f>PROPER(TRIM(K844))</f>
        <v>Home</v>
      </c>
      <c r="M844" t="s">
        <v>55</v>
      </c>
      <c r="N844" t="str">
        <f>PROPER(TRIM(M844))</f>
        <v>Chair</v>
      </c>
      <c r="O844">
        <v>170.7</v>
      </c>
      <c r="P844">
        <v>-2</v>
      </c>
      <c r="Q844">
        <f>IF(P844&lt;1, 1, P844)</f>
        <v>1</v>
      </c>
      <c r="R844">
        <v>-10</v>
      </c>
      <c r="S844" t="str">
        <f>IF(OR(R844&lt;0,R844&gt;100),"invalid","Valid")</f>
        <v>invalid</v>
      </c>
      <c r="T844" t="s">
        <v>64</v>
      </c>
      <c r="U844" t="str">
        <f>PROPER(TRIM(T844))</f>
        <v>Transfer</v>
      </c>
      <c r="V844" t="s">
        <v>81</v>
      </c>
      <c r="W844" t="str">
        <f t="shared" si="26"/>
        <v>Ada</v>
      </c>
      <c r="X844" t="s">
        <v>26</v>
      </c>
      <c r="Y844">
        <v>1</v>
      </c>
      <c r="Z844" t="str">
        <f>IF(D844="", "Missing", "ok")</f>
        <v>Missing</v>
      </c>
      <c r="AA844">
        <f t="shared" si="27"/>
        <v>187.77</v>
      </c>
    </row>
    <row r="845" spans="1:27" x14ac:dyDescent="0.25">
      <c r="A845" t="s">
        <v>2211</v>
      </c>
      <c r="B845" s="1" t="s">
        <v>961</v>
      </c>
      <c r="C845" t="s">
        <v>2212</v>
      </c>
      <c r="D845" t="s">
        <v>69</v>
      </c>
      <c r="E845" t="str">
        <f>PROPER(TRIM(D845))</f>
        <v>Mary</v>
      </c>
      <c r="F845" t="s">
        <v>20</v>
      </c>
      <c r="G845">
        <v>130</v>
      </c>
      <c r="H845" t="str">
        <f>IF(AND(G845&gt;18, G845&lt;65), "Valid", "Invalid")</f>
        <v>Invalid</v>
      </c>
      <c r="I845" t="s">
        <v>47</v>
      </c>
      <c r="J845" t="str">
        <f>PROPER(TRIM(I845))</f>
        <v>Enugu</v>
      </c>
      <c r="K845" t="s">
        <v>22</v>
      </c>
      <c r="L845" t="str">
        <f>PROPER(TRIM(K845))</f>
        <v>Fashion</v>
      </c>
      <c r="M845" t="s">
        <v>23</v>
      </c>
      <c r="N845" t="str">
        <f>PROPER(TRIM(M845))</f>
        <v>Shirt</v>
      </c>
      <c r="O845">
        <v>66.75</v>
      </c>
      <c r="P845">
        <v>-2</v>
      </c>
      <c r="Q845">
        <f>IF(P845&lt;1, 1, P845)</f>
        <v>1</v>
      </c>
      <c r="R845">
        <v>-10</v>
      </c>
      <c r="S845" t="str">
        <f>IF(OR(R845&lt;0,R845&gt;100),"invalid","Valid")</f>
        <v>invalid</v>
      </c>
      <c r="T845" t="s">
        <v>77</v>
      </c>
      <c r="U845" t="str">
        <f>PROPER(TRIM(T845))</f>
        <v>Cash</v>
      </c>
      <c r="V845" t="s">
        <v>81</v>
      </c>
      <c r="W845" t="str">
        <f t="shared" si="26"/>
        <v>Ada</v>
      </c>
      <c r="X845" t="s">
        <v>26</v>
      </c>
      <c r="Z845" t="str">
        <f>IF(D845="", "Missing", "ok")</f>
        <v>ok</v>
      </c>
      <c r="AA845">
        <f t="shared" si="27"/>
        <v>73.425000000000011</v>
      </c>
    </row>
    <row r="846" spans="1:27" x14ac:dyDescent="0.25">
      <c r="A846" t="s">
        <v>2213</v>
      </c>
      <c r="B846" s="1" t="s">
        <v>2104</v>
      </c>
      <c r="C846" t="s">
        <v>2214</v>
      </c>
      <c r="D846" t="s">
        <v>19</v>
      </c>
      <c r="E846" t="str">
        <f>PROPER(TRIM(D846))</f>
        <v>Peter</v>
      </c>
      <c r="F846" t="s">
        <v>46</v>
      </c>
      <c r="G846">
        <v>26</v>
      </c>
      <c r="H846" t="str">
        <f>IF(AND(G846&gt;18, G846&lt;65), "Valid", "Invalid")</f>
        <v>Valid</v>
      </c>
      <c r="I846" t="s">
        <v>21</v>
      </c>
      <c r="J846" t="str">
        <f>PROPER(TRIM(I846))</f>
        <v>Lagos</v>
      </c>
      <c r="K846" t="s">
        <v>48</v>
      </c>
      <c r="L846" t="str">
        <f>PROPER(TRIM(K846))</f>
        <v>Groceries</v>
      </c>
      <c r="M846" t="s">
        <v>49</v>
      </c>
      <c r="N846" t="str">
        <f>PROPER(TRIM(M846))</f>
        <v>Rice</v>
      </c>
      <c r="O846">
        <v>304.24</v>
      </c>
      <c r="P846">
        <v>1</v>
      </c>
      <c r="Q846">
        <f>IF(P846&lt;1, 1, P846)</f>
        <v>1</v>
      </c>
      <c r="R846">
        <v>5</v>
      </c>
      <c r="S846" t="str">
        <f>IF(OR(R846&lt;0,R846&gt;100),"invalid","Valid")</f>
        <v>Valid</v>
      </c>
      <c r="T846" t="s">
        <v>64</v>
      </c>
      <c r="U846" t="str">
        <f>PROPER(TRIM(T846))</f>
        <v>Transfer</v>
      </c>
      <c r="V846" t="s">
        <v>81</v>
      </c>
      <c r="W846" t="str">
        <f t="shared" si="26"/>
        <v>Ada</v>
      </c>
      <c r="X846" t="s">
        <v>82</v>
      </c>
      <c r="Y846">
        <v>1</v>
      </c>
      <c r="Z846" t="str">
        <f>IF(D846="", "Missing", "ok")</f>
        <v>ok</v>
      </c>
      <c r="AA846">
        <f t="shared" si="27"/>
        <v>289.02800000000002</v>
      </c>
    </row>
    <row r="847" spans="1:27" x14ac:dyDescent="0.25">
      <c r="A847" t="s">
        <v>2215</v>
      </c>
      <c r="B847" s="1" t="s">
        <v>2161</v>
      </c>
      <c r="C847" t="s">
        <v>2216</v>
      </c>
      <c r="E847" t="str">
        <f>PROPER(TRIM(D847))</f>
        <v/>
      </c>
      <c r="F847" t="s">
        <v>20</v>
      </c>
      <c r="G847">
        <v>30</v>
      </c>
      <c r="H847" t="str">
        <f>IF(AND(G847&gt;18, G847&lt;65), "Valid", "Invalid")</f>
        <v>Valid</v>
      </c>
      <c r="I847" t="s">
        <v>70</v>
      </c>
      <c r="J847" t="str">
        <f>PROPER(TRIM(I847))</f>
        <v>Abuja</v>
      </c>
      <c r="K847" t="s">
        <v>31</v>
      </c>
      <c r="L847" t="str">
        <f>PROPER(TRIM(K847))</f>
        <v>Sports</v>
      </c>
      <c r="M847" t="s">
        <v>32</v>
      </c>
      <c r="N847" t="str">
        <f>PROPER(TRIM(M847))</f>
        <v>Ball</v>
      </c>
      <c r="O847">
        <v>377.56</v>
      </c>
      <c r="P847">
        <v>10</v>
      </c>
      <c r="Q847">
        <f>IF(P847&lt;1, 1, P847)</f>
        <v>10</v>
      </c>
      <c r="R847">
        <v>5</v>
      </c>
      <c r="S847" t="str">
        <f>IF(OR(R847&lt;0,R847&gt;100),"invalid","Valid")</f>
        <v>Valid</v>
      </c>
      <c r="U847" t="str">
        <f>PROPER(TRIM(T847))</f>
        <v/>
      </c>
      <c r="V847" t="s">
        <v>81</v>
      </c>
      <c r="W847" t="str">
        <f t="shared" si="26"/>
        <v>Ada</v>
      </c>
      <c r="X847" t="s">
        <v>26</v>
      </c>
      <c r="Y847">
        <v>5</v>
      </c>
      <c r="Z847" t="str">
        <f>IF(D847="", "Missing", "ok")</f>
        <v>Missing</v>
      </c>
      <c r="AA847">
        <f t="shared" si="27"/>
        <v>3586.8199999999997</v>
      </c>
    </row>
    <row r="848" spans="1:27" x14ac:dyDescent="0.25">
      <c r="A848" t="s">
        <v>2217</v>
      </c>
      <c r="B848" s="1" t="s">
        <v>548</v>
      </c>
      <c r="C848" t="s">
        <v>2218</v>
      </c>
      <c r="D848" t="s">
        <v>117</v>
      </c>
      <c r="E848" t="str">
        <f>PROPER(TRIM(D848))</f>
        <v>David</v>
      </c>
      <c r="F848" t="s">
        <v>20</v>
      </c>
      <c r="G848">
        <v>130</v>
      </c>
      <c r="H848" t="str">
        <f>IF(AND(G848&gt;18, G848&lt;65), "Valid", "Invalid")</f>
        <v>Invalid</v>
      </c>
      <c r="I848" t="s">
        <v>38</v>
      </c>
      <c r="J848" t="str">
        <f>PROPER(TRIM(I848))</f>
        <v>Ph</v>
      </c>
      <c r="K848" t="s">
        <v>31</v>
      </c>
      <c r="L848" t="str">
        <f>PROPER(TRIM(K848))</f>
        <v>Sports</v>
      </c>
      <c r="M848" t="s">
        <v>32</v>
      </c>
      <c r="N848" t="str">
        <f>PROPER(TRIM(M848))</f>
        <v>Ball</v>
      </c>
      <c r="O848">
        <v>69.62</v>
      </c>
      <c r="P848">
        <v>9</v>
      </c>
      <c r="Q848">
        <f>IF(P848&lt;1, 1, P848)</f>
        <v>9</v>
      </c>
      <c r="R848">
        <v>-10</v>
      </c>
      <c r="S848" t="str">
        <f>IF(OR(R848&lt;0,R848&gt;100),"invalid","Valid")</f>
        <v>invalid</v>
      </c>
      <c r="U848" t="str">
        <f>PROPER(TRIM(T848))</f>
        <v/>
      </c>
      <c r="V848" t="s">
        <v>25</v>
      </c>
      <c r="W848" t="str">
        <f t="shared" si="26"/>
        <v>Dan</v>
      </c>
      <c r="X848" t="s">
        <v>26</v>
      </c>
      <c r="Y848">
        <v>5</v>
      </c>
      <c r="Z848" t="str">
        <f>IF(D848="", "Missing", "ok")</f>
        <v>ok</v>
      </c>
      <c r="AA848">
        <f t="shared" si="27"/>
        <v>689.23800000000006</v>
      </c>
    </row>
    <row r="849" spans="1:27" x14ac:dyDescent="0.25">
      <c r="A849" t="s">
        <v>2219</v>
      </c>
      <c r="B849" s="1" t="s">
        <v>2220</v>
      </c>
      <c r="C849" t="s">
        <v>2221</v>
      </c>
      <c r="D849" t="s">
        <v>117</v>
      </c>
      <c r="E849" t="str">
        <f>PROPER(TRIM(D849))</f>
        <v>David</v>
      </c>
      <c r="F849" t="s">
        <v>20</v>
      </c>
      <c r="G849">
        <v>130</v>
      </c>
      <c r="H849" t="str">
        <f>IF(AND(G849&gt;18, G849&lt;65), "Valid", "Invalid")</f>
        <v>Invalid</v>
      </c>
      <c r="I849" t="s">
        <v>86</v>
      </c>
      <c r="J849" t="str">
        <f>PROPER(TRIM(I849))</f>
        <v>Kano</v>
      </c>
      <c r="K849" t="s">
        <v>87</v>
      </c>
      <c r="L849" t="str">
        <f>PROPER(TRIM(K849))</f>
        <v>Groceris</v>
      </c>
      <c r="M849" t="s">
        <v>49</v>
      </c>
      <c r="N849" t="str">
        <f>PROPER(TRIM(M849))</f>
        <v>Rice</v>
      </c>
      <c r="O849">
        <v>269.74</v>
      </c>
      <c r="P849">
        <v>3</v>
      </c>
      <c r="Q849">
        <f>IF(P849&lt;1, 1, P849)</f>
        <v>3</v>
      </c>
      <c r="R849">
        <v>0</v>
      </c>
      <c r="S849" t="str">
        <f>IF(OR(R849&lt;0,R849&gt;100),"invalid","Valid")</f>
        <v>Valid</v>
      </c>
      <c r="T849" t="s">
        <v>77</v>
      </c>
      <c r="U849" t="str">
        <f>PROPER(TRIM(T849))</f>
        <v>Cash</v>
      </c>
      <c r="V849" t="s">
        <v>91</v>
      </c>
      <c r="W849" t="str">
        <f t="shared" si="26"/>
        <v>Ben</v>
      </c>
      <c r="X849" t="s">
        <v>33</v>
      </c>
      <c r="Y849">
        <v>4</v>
      </c>
      <c r="Z849" t="str">
        <f>IF(D849="", "Missing", "ok")</f>
        <v>ok</v>
      </c>
      <c r="AA849">
        <f t="shared" si="27"/>
        <v>809.22</v>
      </c>
    </row>
    <row r="850" spans="1:27" x14ac:dyDescent="0.25">
      <c r="A850" t="s">
        <v>2222</v>
      </c>
      <c r="B850" s="1" t="s">
        <v>967</v>
      </c>
      <c r="C850" t="s">
        <v>2223</v>
      </c>
      <c r="D850" t="s">
        <v>37</v>
      </c>
      <c r="E850" t="str">
        <f>PROPER(TRIM(D850))</f>
        <v>Aisha</v>
      </c>
      <c r="F850" t="s">
        <v>46</v>
      </c>
      <c r="G850">
        <v>38</v>
      </c>
      <c r="H850" t="str">
        <f>IF(AND(G850&gt;18, G850&lt;65), "Valid", "Invalid")</f>
        <v>Valid</v>
      </c>
      <c r="I850" t="s">
        <v>53</v>
      </c>
      <c r="J850" t="str">
        <f>PROPER(TRIM(I850))</f>
        <v>Lagos</v>
      </c>
      <c r="K850" t="s">
        <v>54</v>
      </c>
      <c r="L850" t="str">
        <f>PROPER(TRIM(K850))</f>
        <v>Home</v>
      </c>
      <c r="M850" t="s">
        <v>55</v>
      </c>
      <c r="N850" t="str">
        <f>PROPER(TRIM(M850))</f>
        <v>Chair</v>
      </c>
      <c r="O850">
        <v>42.19</v>
      </c>
      <c r="P850">
        <v>-2</v>
      </c>
      <c r="Q850">
        <f>IF(P850&lt;1, 1, P850)</f>
        <v>1</v>
      </c>
      <c r="R850">
        <v>-10</v>
      </c>
      <c r="S850" t="str">
        <f>IF(OR(R850&lt;0,R850&gt;100),"invalid","Valid")</f>
        <v>invalid</v>
      </c>
      <c r="T850" t="s">
        <v>24</v>
      </c>
      <c r="U850" t="str">
        <f>PROPER(TRIM(T850))</f>
        <v>Pos</v>
      </c>
      <c r="V850" t="s">
        <v>81</v>
      </c>
      <c r="W850" t="str">
        <f t="shared" si="26"/>
        <v>Ada</v>
      </c>
      <c r="X850" t="s">
        <v>33</v>
      </c>
      <c r="Y850">
        <v>5</v>
      </c>
      <c r="Z850" t="str">
        <f>IF(D850="", "Missing", "ok")</f>
        <v>ok</v>
      </c>
      <c r="AA850">
        <f t="shared" si="27"/>
        <v>46.408999999999999</v>
      </c>
    </row>
    <row r="851" spans="1:27" x14ac:dyDescent="0.25">
      <c r="A851" t="s">
        <v>2224</v>
      </c>
      <c r="B851" s="1" t="s">
        <v>2225</v>
      </c>
      <c r="C851" t="s">
        <v>2226</v>
      </c>
      <c r="D851" t="s">
        <v>117</v>
      </c>
      <c r="E851" t="str">
        <f>PROPER(TRIM(D851))</f>
        <v>David</v>
      </c>
      <c r="F851" t="s">
        <v>20</v>
      </c>
      <c r="G851">
        <v>25</v>
      </c>
      <c r="H851" t="str">
        <f>IF(AND(G851&gt;18, G851&lt;65), "Valid", "Invalid")</f>
        <v>Valid</v>
      </c>
      <c r="I851" t="s">
        <v>53</v>
      </c>
      <c r="J851" t="str">
        <f>PROPER(TRIM(I851))</f>
        <v>Lagos</v>
      </c>
      <c r="K851" t="s">
        <v>121</v>
      </c>
      <c r="L851" t="str">
        <f>PROPER(TRIM(K851))</f>
        <v>Beauty</v>
      </c>
      <c r="M851" t="s">
        <v>122</v>
      </c>
      <c r="N851" t="str">
        <f>PROPER(TRIM(M851))</f>
        <v>Cream</v>
      </c>
      <c r="O851">
        <v>127.21</v>
      </c>
      <c r="P851">
        <v>3</v>
      </c>
      <c r="Q851">
        <f>IF(P851&lt;1, 1, P851)</f>
        <v>3</v>
      </c>
      <c r="R851">
        <v>10</v>
      </c>
      <c r="S851" t="str">
        <f>IF(OR(R851&lt;0,R851&gt;100),"invalid","Valid")</f>
        <v>Valid</v>
      </c>
      <c r="T851" t="s">
        <v>24</v>
      </c>
      <c r="U851" t="str">
        <f>PROPER(TRIM(T851))</f>
        <v>Pos</v>
      </c>
      <c r="V851" t="s">
        <v>91</v>
      </c>
      <c r="W851" t="str">
        <f t="shared" si="26"/>
        <v>Ben</v>
      </c>
      <c r="X851" t="s">
        <v>26</v>
      </c>
      <c r="Y851">
        <v>3</v>
      </c>
      <c r="Z851" t="str">
        <f>IF(D851="", "Missing", "ok")</f>
        <v>ok</v>
      </c>
      <c r="AA851">
        <f t="shared" si="27"/>
        <v>343.46699999999998</v>
      </c>
    </row>
    <row r="852" spans="1:27" x14ac:dyDescent="0.25">
      <c r="A852" t="s">
        <v>2227</v>
      </c>
      <c r="B852" s="1" t="s">
        <v>2228</v>
      </c>
      <c r="C852" t="s">
        <v>2229</v>
      </c>
      <c r="D852" t="s">
        <v>37</v>
      </c>
      <c r="E852" t="str">
        <f>PROPER(TRIM(D852))</f>
        <v>Aisha</v>
      </c>
      <c r="F852" t="s">
        <v>20</v>
      </c>
      <c r="G852">
        <v>130</v>
      </c>
      <c r="H852" t="str">
        <f>IF(AND(G852&gt;18, G852&lt;65), "Valid", "Invalid")</f>
        <v>Invalid</v>
      </c>
      <c r="I852" t="s">
        <v>47</v>
      </c>
      <c r="J852" t="str">
        <f>PROPER(TRIM(I852))</f>
        <v>Enugu</v>
      </c>
      <c r="K852" t="s">
        <v>87</v>
      </c>
      <c r="L852" t="str">
        <f>PROPER(TRIM(K852))</f>
        <v>Groceris</v>
      </c>
      <c r="M852" t="s">
        <v>49</v>
      </c>
      <c r="N852" t="str">
        <f>PROPER(TRIM(M852))</f>
        <v>Rice</v>
      </c>
      <c r="O852">
        <v>411.38</v>
      </c>
      <c r="P852">
        <v>7</v>
      </c>
      <c r="Q852">
        <f>IF(P852&lt;1, 1, P852)</f>
        <v>7</v>
      </c>
      <c r="R852">
        <v>0</v>
      </c>
      <c r="S852" t="str">
        <f>IF(OR(R852&lt;0,R852&gt;100),"invalid","Valid")</f>
        <v>Valid</v>
      </c>
      <c r="T852" t="s">
        <v>64</v>
      </c>
      <c r="U852" t="str">
        <f>PROPER(TRIM(T852))</f>
        <v>Transfer</v>
      </c>
      <c r="V852" t="s">
        <v>81</v>
      </c>
      <c r="W852" t="str">
        <f t="shared" si="26"/>
        <v>Ada</v>
      </c>
      <c r="X852" t="s">
        <v>26</v>
      </c>
      <c r="Y852">
        <v>1</v>
      </c>
      <c r="Z852" t="str">
        <f>IF(D852="", "Missing", "ok")</f>
        <v>ok</v>
      </c>
      <c r="AA852">
        <f t="shared" si="27"/>
        <v>2879.66</v>
      </c>
    </row>
    <row r="853" spans="1:27" x14ac:dyDescent="0.25">
      <c r="A853" t="s">
        <v>2230</v>
      </c>
      <c r="B853" s="1" t="s">
        <v>409</v>
      </c>
      <c r="C853" t="s">
        <v>2231</v>
      </c>
      <c r="D853" t="s">
        <v>37</v>
      </c>
      <c r="E853" t="str">
        <f>PROPER(TRIM(D853))</f>
        <v>Aisha</v>
      </c>
      <c r="F853" t="s">
        <v>46</v>
      </c>
      <c r="G853">
        <v>62</v>
      </c>
      <c r="H853" t="str">
        <f>IF(AND(G853&gt;18, G853&lt;65), "Valid", "Invalid")</f>
        <v>Valid</v>
      </c>
      <c r="I853" t="s">
        <v>70</v>
      </c>
      <c r="J853" t="str">
        <f>PROPER(TRIM(I853))</f>
        <v>Abuja</v>
      </c>
      <c r="K853" t="s">
        <v>39</v>
      </c>
      <c r="L853" t="str">
        <f>PROPER(TRIM(K853))</f>
        <v>Electronics</v>
      </c>
      <c r="M853" t="s">
        <v>40</v>
      </c>
      <c r="N853" t="str">
        <f>PROPER(TRIM(M853))</f>
        <v>Phone</v>
      </c>
      <c r="O853">
        <v>424.93</v>
      </c>
      <c r="P853">
        <v>-2</v>
      </c>
      <c r="Q853">
        <f>IF(P853&lt;1, 1, P853)</f>
        <v>1</v>
      </c>
      <c r="R853">
        <v>5</v>
      </c>
      <c r="S853" t="str">
        <f>IF(OR(R853&lt;0,R853&gt;100),"invalid","Valid")</f>
        <v>Valid</v>
      </c>
      <c r="T853" t="s">
        <v>59</v>
      </c>
      <c r="U853" t="str">
        <f>PROPER(TRIM(T853))</f>
        <v>Mobile Money</v>
      </c>
      <c r="V853" t="s">
        <v>25</v>
      </c>
      <c r="W853" t="str">
        <f t="shared" si="26"/>
        <v>Dan</v>
      </c>
      <c r="X853" t="s">
        <v>65</v>
      </c>
      <c r="Y853">
        <v>4</v>
      </c>
      <c r="Z853" t="str">
        <f>IF(D853="", "Missing", "ok")</f>
        <v>ok</v>
      </c>
      <c r="AA853">
        <f t="shared" si="27"/>
        <v>403.68349999999998</v>
      </c>
    </row>
    <row r="854" spans="1:27" x14ac:dyDescent="0.25">
      <c r="A854" t="s">
        <v>2232</v>
      </c>
      <c r="B854" s="1" t="s">
        <v>2233</v>
      </c>
      <c r="C854" t="s">
        <v>2234</v>
      </c>
      <c r="D854" t="s">
        <v>63</v>
      </c>
      <c r="E854" t="str">
        <f>PROPER(TRIM(D854))</f>
        <v>John</v>
      </c>
      <c r="F854" t="s">
        <v>46</v>
      </c>
      <c r="G854">
        <v>130</v>
      </c>
      <c r="H854" t="str">
        <f>IF(AND(G854&gt;18, G854&lt;65), "Valid", "Invalid")</f>
        <v>Invalid</v>
      </c>
      <c r="I854" t="s">
        <v>38</v>
      </c>
      <c r="J854" t="str">
        <f>PROPER(TRIM(I854))</f>
        <v>Ph</v>
      </c>
      <c r="K854" t="s">
        <v>48</v>
      </c>
      <c r="L854" t="str">
        <f>PROPER(TRIM(K854))</f>
        <v>Groceries</v>
      </c>
      <c r="M854" t="s">
        <v>49</v>
      </c>
      <c r="N854" t="str">
        <f>PROPER(TRIM(M854))</f>
        <v>Rice</v>
      </c>
      <c r="O854">
        <v>447.25</v>
      </c>
      <c r="P854">
        <v>3</v>
      </c>
      <c r="Q854">
        <f>IF(P854&lt;1, 1, P854)</f>
        <v>3</v>
      </c>
      <c r="R854">
        <v>10</v>
      </c>
      <c r="S854" t="str">
        <f>IF(OR(R854&lt;0,R854&gt;100),"invalid","Valid")</f>
        <v>Valid</v>
      </c>
      <c r="U854" t="str">
        <f>PROPER(TRIM(T854))</f>
        <v/>
      </c>
      <c r="V854" t="s">
        <v>41</v>
      </c>
      <c r="W854" t="str">
        <f t="shared" si="26"/>
        <v>Chi</v>
      </c>
      <c r="X854" t="s">
        <v>65</v>
      </c>
      <c r="Y854">
        <v>3</v>
      </c>
      <c r="Z854" t="str">
        <f>IF(D854="", "Missing", "ok")</f>
        <v>ok</v>
      </c>
      <c r="AA854">
        <f t="shared" si="27"/>
        <v>1207.575</v>
      </c>
    </row>
    <row r="855" spans="1:27" x14ac:dyDescent="0.25">
      <c r="A855" t="s">
        <v>2235</v>
      </c>
      <c r="B855" s="1" t="s">
        <v>1170</v>
      </c>
      <c r="C855" t="s">
        <v>2236</v>
      </c>
      <c r="E855" t="str">
        <f>PROPER(TRIM(D855))</f>
        <v/>
      </c>
      <c r="F855" t="s">
        <v>20</v>
      </c>
      <c r="G855">
        <v>28</v>
      </c>
      <c r="H855" t="str">
        <f>IF(AND(G855&gt;18, G855&lt;65), "Valid", "Invalid")</f>
        <v>Valid</v>
      </c>
      <c r="I855" t="s">
        <v>70</v>
      </c>
      <c r="J855" t="str">
        <f>PROPER(TRIM(I855))</f>
        <v>Abuja</v>
      </c>
      <c r="K855" t="s">
        <v>48</v>
      </c>
      <c r="L855" t="str">
        <f>PROPER(TRIM(K855))</f>
        <v>Groceries</v>
      </c>
      <c r="M855" t="s">
        <v>49</v>
      </c>
      <c r="N855" t="str">
        <f>PROPER(TRIM(M855))</f>
        <v>Rice</v>
      </c>
      <c r="O855">
        <v>57.92</v>
      </c>
      <c r="P855">
        <v>-2</v>
      </c>
      <c r="Q855">
        <f>IF(P855&lt;1, 1, P855)</f>
        <v>1</v>
      </c>
      <c r="R855">
        <v>10</v>
      </c>
      <c r="S855" t="str">
        <f>IF(OR(R855&lt;0,R855&gt;100),"invalid","Valid")</f>
        <v>Valid</v>
      </c>
      <c r="T855" t="s">
        <v>77</v>
      </c>
      <c r="U855" t="str">
        <f>PROPER(TRIM(T855))</f>
        <v>Cash</v>
      </c>
      <c r="V855" t="s">
        <v>25</v>
      </c>
      <c r="W855" t="str">
        <f t="shared" si="26"/>
        <v>Dan</v>
      </c>
      <c r="X855" t="s">
        <v>26</v>
      </c>
      <c r="Y855">
        <v>5</v>
      </c>
      <c r="Z855" t="str">
        <f>IF(D855="", "Missing", "ok")</f>
        <v>Missing</v>
      </c>
      <c r="AA855">
        <f t="shared" si="27"/>
        <v>52.128</v>
      </c>
    </row>
    <row r="856" spans="1:27" x14ac:dyDescent="0.25">
      <c r="A856" t="s">
        <v>2237</v>
      </c>
      <c r="B856" s="1" t="s">
        <v>1517</v>
      </c>
      <c r="C856" t="s">
        <v>2238</v>
      </c>
      <c r="D856" t="s">
        <v>69</v>
      </c>
      <c r="E856" t="str">
        <f>PROPER(TRIM(D856))</f>
        <v>Mary</v>
      </c>
      <c r="F856" t="s">
        <v>46</v>
      </c>
      <c r="G856">
        <v>130</v>
      </c>
      <c r="H856" t="str">
        <f>IF(AND(G856&gt;18, G856&lt;65), "Valid", "Invalid")</f>
        <v>Invalid</v>
      </c>
      <c r="I856" t="s">
        <v>53</v>
      </c>
      <c r="J856" t="str">
        <f>PROPER(TRIM(I856))</f>
        <v>Lagos</v>
      </c>
      <c r="K856" t="s">
        <v>22</v>
      </c>
      <c r="L856" t="str">
        <f>PROPER(TRIM(K856))</f>
        <v>Fashion</v>
      </c>
      <c r="M856" t="s">
        <v>23</v>
      </c>
      <c r="N856" t="str">
        <f>PROPER(TRIM(M856))</f>
        <v>Shirt</v>
      </c>
      <c r="O856">
        <v>59.03</v>
      </c>
      <c r="P856">
        <v>-2</v>
      </c>
      <c r="Q856">
        <f>IF(P856&lt;1, 1, P856)</f>
        <v>1</v>
      </c>
      <c r="R856">
        <v>15</v>
      </c>
      <c r="S856" t="str">
        <f>IF(OR(R856&lt;0,R856&gt;100),"invalid","Valid")</f>
        <v>Valid</v>
      </c>
      <c r="U856" t="str">
        <f>PROPER(TRIM(T856))</f>
        <v/>
      </c>
      <c r="V856" t="s">
        <v>25</v>
      </c>
      <c r="W856" t="str">
        <f t="shared" si="26"/>
        <v>Dan</v>
      </c>
      <c r="X856" t="s">
        <v>26</v>
      </c>
      <c r="Z856" t="str">
        <f>IF(D856="", "Missing", "ok")</f>
        <v>ok</v>
      </c>
      <c r="AA856">
        <f t="shared" si="27"/>
        <v>50.1755</v>
      </c>
    </row>
    <row r="857" spans="1:27" x14ac:dyDescent="0.25">
      <c r="A857" t="s">
        <v>2239</v>
      </c>
      <c r="B857" s="1" t="s">
        <v>1117</v>
      </c>
      <c r="C857" t="s">
        <v>2240</v>
      </c>
      <c r="E857" t="str">
        <f>PROPER(TRIM(D857))</f>
        <v/>
      </c>
      <c r="F857" t="s">
        <v>46</v>
      </c>
      <c r="G857">
        <v>130</v>
      </c>
      <c r="H857" t="str">
        <f>IF(AND(G857&gt;18, G857&lt;65), "Valid", "Invalid")</f>
        <v>Invalid</v>
      </c>
      <c r="I857" t="s">
        <v>30</v>
      </c>
      <c r="J857" t="str">
        <f>PROPER(TRIM(I857))</f>
        <v>Lagos</v>
      </c>
      <c r="K857" t="s">
        <v>54</v>
      </c>
      <c r="L857" t="str">
        <f>PROPER(TRIM(K857))</f>
        <v>Home</v>
      </c>
      <c r="M857" t="s">
        <v>55</v>
      </c>
      <c r="N857" t="str">
        <f>PROPER(TRIM(M857))</f>
        <v>Chair</v>
      </c>
      <c r="O857">
        <v>401.74</v>
      </c>
      <c r="P857">
        <v>5</v>
      </c>
      <c r="Q857">
        <f>IF(P857&lt;1, 1, P857)</f>
        <v>5</v>
      </c>
      <c r="R857">
        <v>15</v>
      </c>
      <c r="S857" t="str">
        <f>IF(OR(R857&lt;0,R857&gt;100),"invalid","Valid")</f>
        <v>Valid</v>
      </c>
      <c r="T857" t="s">
        <v>59</v>
      </c>
      <c r="U857" t="str">
        <f>PROPER(TRIM(T857))</f>
        <v>Mobile Money</v>
      </c>
      <c r="V857" t="s">
        <v>41</v>
      </c>
      <c r="W857" t="str">
        <f t="shared" si="26"/>
        <v>Chi</v>
      </c>
      <c r="X857" t="s">
        <v>26</v>
      </c>
      <c r="Y857">
        <v>2</v>
      </c>
      <c r="Z857" t="str">
        <f>IF(D857="", "Missing", "ok")</f>
        <v>Missing</v>
      </c>
      <c r="AA857">
        <f t="shared" si="27"/>
        <v>1707.395</v>
      </c>
    </row>
    <row r="858" spans="1:27" x14ac:dyDescent="0.25">
      <c r="A858" t="s">
        <v>2241</v>
      </c>
      <c r="B858" s="1" t="s">
        <v>2242</v>
      </c>
      <c r="C858" t="s">
        <v>2243</v>
      </c>
      <c r="E858" t="str">
        <f>PROPER(TRIM(D858))</f>
        <v/>
      </c>
      <c r="F858" t="s">
        <v>46</v>
      </c>
      <c r="G858">
        <v>30</v>
      </c>
      <c r="H858" t="str">
        <f>IF(AND(G858&gt;18, G858&lt;65), "Valid", "Invalid")</f>
        <v>Valid</v>
      </c>
      <c r="I858" t="s">
        <v>30</v>
      </c>
      <c r="J858" t="str">
        <f>PROPER(TRIM(I858))</f>
        <v>Lagos</v>
      </c>
      <c r="K858" t="s">
        <v>121</v>
      </c>
      <c r="L858" t="str">
        <f>PROPER(TRIM(K858))</f>
        <v>Beauty</v>
      </c>
      <c r="M858" t="s">
        <v>122</v>
      </c>
      <c r="N858" t="str">
        <f>PROPER(TRIM(M858))</f>
        <v>Cream</v>
      </c>
      <c r="O858">
        <v>16.670000000000002</v>
      </c>
      <c r="P858">
        <v>-2</v>
      </c>
      <c r="Q858">
        <f>IF(P858&lt;1, 1, P858)</f>
        <v>1</v>
      </c>
      <c r="R858">
        <v>0</v>
      </c>
      <c r="S858" t="str">
        <f>IF(OR(R858&lt;0,R858&gt;100),"invalid","Valid")</f>
        <v>Valid</v>
      </c>
      <c r="T858" t="s">
        <v>24</v>
      </c>
      <c r="U858" t="str">
        <f>PROPER(TRIM(T858))</f>
        <v>Pos</v>
      </c>
      <c r="V858" t="s">
        <v>91</v>
      </c>
      <c r="W858" t="str">
        <f t="shared" si="26"/>
        <v>Ben</v>
      </c>
      <c r="X858" t="s">
        <v>33</v>
      </c>
      <c r="Y858">
        <v>4</v>
      </c>
      <c r="Z858" t="str">
        <f>IF(D858="", "Missing", "ok")</f>
        <v>Missing</v>
      </c>
      <c r="AA858">
        <f t="shared" si="27"/>
        <v>16.670000000000002</v>
      </c>
    </row>
    <row r="859" spans="1:27" x14ac:dyDescent="0.25">
      <c r="A859" t="s">
        <v>2244</v>
      </c>
      <c r="B859" s="1" t="s">
        <v>2245</v>
      </c>
      <c r="C859" t="s">
        <v>2246</v>
      </c>
      <c r="D859" t="s">
        <v>45</v>
      </c>
      <c r="E859" t="str">
        <f>PROPER(TRIM(D859))</f>
        <v>James</v>
      </c>
      <c r="F859" t="s">
        <v>20</v>
      </c>
      <c r="G859">
        <v>130</v>
      </c>
      <c r="H859" t="str">
        <f>IF(AND(G859&gt;18, G859&lt;65), "Valid", "Invalid")</f>
        <v>Invalid</v>
      </c>
      <c r="I859" t="s">
        <v>21</v>
      </c>
      <c r="J859" t="str">
        <f>PROPER(TRIM(I859))</f>
        <v>Lagos</v>
      </c>
      <c r="K859" t="s">
        <v>87</v>
      </c>
      <c r="L859" t="str">
        <f>PROPER(TRIM(K859))</f>
        <v>Groceris</v>
      </c>
      <c r="M859" t="s">
        <v>49</v>
      </c>
      <c r="N859" t="str">
        <f>PROPER(TRIM(M859))</f>
        <v>Rice</v>
      </c>
      <c r="O859">
        <v>79.41</v>
      </c>
      <c r="P859">
        <v>-2</v>
      </c>
      <c r="Q859">
        <f>IF(P859&lt;1, 1, P859)</f>
        <v>1</v>
      </c>
      <c r="R859">
        <v>0</v>
      </c>
      <c r="S859" t="str">
        <f>IF(OR(R859&lt;0,R859&gt;100),"invalid","Valid")</f>
        <v>Valid</v>
      </c>
      <c r="U859" t="str">
        <f>PROPER(TRIM(T859))</f>
        <v/>
      </c>
      <c r="V859" t="s">
        <v>25</v>
      </c>
      <c r="W859" t="str">
        <f t="shared" si="26"/>
        <v>Dan</v>
      </c>
      <c r="X859" t="s">
        <v>26</v>
      </c>
      <c r="Y859">
        <v>3</v>
      </c>
      <c r="Z859" t="str">
        <f>IF(D859="", "Missing", "ok")</f>
        <v>ok</v>
      </c>
      <c r="AA859">
        <f t="shared" si="27"/>
        <v>79.41</v>
      </c>
    </row>
    <row r="860" spans="1:27" x14ac:dyDescent="0.25">
      <c r="A860" t="s">
        <v>2247</v>
      </c>
      <c r="B860" s="1" t="s">
        <v>1825</v>
      </c>
      <c r="C860" t="s">
        <v>2248</v>
      </c>
      <c r="D860" t="s">
        <v>37</v>
      </c>
      <c r="E860" t="str">
        <f>PROPER(TRIM(D860))</f>
        <v>Aisha</v>
      </c>
      <c r="F860" t="s">
        <v>20</v>
      </c>
      <c r="G860">
        <v>54</v>
      </c>
      <c r="H860" t="str">
        <f>IF(AND(G860&gt;18, G860&lt;65), "Valid", "Invalid")</f>
        <v>Valid</v>
      </c>
      <c r="I860" t="s">
        <v>30</v>
      </c>
      <c r="J860" t="str">
        <f>PROPER(TRIM(I860))</f>
        <v>Lagos</v>
      </c>
      <c r="K860" t="s">
        <v>121</v>
      </c>
      <c r="L860" t="str">
        <f>PROPER(TRIM(K860))</f>
        <v>Beauty</v>
      </c>
      <c r="M860" t="s">
        <v>122</v>
      </c>
      <c r="N860" t="str">
        <f>PROPER(TRIM(M860))</f>
        <v>Cream</v>
      </c>
      <c r="O860">
        <v>62.78</v>
      </c>
      <c r="P860">
        <v>5</v>
      </c>
      <c r="Q860">
        <f>IF(P860&lt;1, 1, P860)</f>
        <v>5</v>
      </c>
      <c r="R860">
        <v>0</v>
      </c>
      <c r="S860" t="str">
        <f>IF(OR(R860&lt;0,R860&gt;100),"invalid","Valid")</f>
        <v>Valid</v>
      </c>
      <c r="T860" t="s">
        <v>24</v>
      </c>
      <c r="U860" t="str">
        <f>PROPER(TRIM(T860))</f>
        <v>Pos</v>
      </c>
      <c r="V860" t="s">
        <v>25</v>
      </c>
      <c r="W860" t="str">
        <f t="shared" si="26"/>
        <v>Dan</v>
      </c>
      <c r="X860" t="s">
        <v>33</v>
      </c>
      <c r="Y860">
        <v>1</v>
      </c>
      <c r="Z860" t="str">
        <f>IF(D860="", "Missing", "ok")</f>
        <v>ok</v>
      </c>
      <c r="AA860">
        <f t="shared" si="27"/>
        <v>313.89999999999998</v>
      </c>
    </row>
    <row r="861" spans="1:27" x14ac:dyDescent="0.25">
      <c r="A861" t="s">
        <v>2249</v>
      </c>
      <c r="B861" s="1" t="s">
        <v>282</v>
      </c>
      <c r="C861" t="s">
        <v>2250</v>
      </c>
      <c r="E861" t="str">
        <f>PROPER(TRIM(D861))</f>
        <v/>
      </c>
      <c r="F861" t="s">
        <v>20</v>
      </c>
      <c r="G861">
        <v>130</v>
      </c>
      <c r="H861" t="str">
        <f>IF(AND(G861&gt;18, G861&lt;65), "Valid", "Invalid")</f>
        <v>Invalid</v>
      </c>
      <c r="I861" t="s">
        <v>21</v>
      </c>
      <c r="J861" t="str">
        <f>PROPER(TRIM(I861))</f>
        <v>Lagos</v>
      </c>
      <c r="K861" t="s">
        <v>22</v>
      </c>
      <c r="L861" t="str">
        <f>PROPER(TRIM(K861))</f>
        <v>Fashion</v>
      </c>
      <c r="M861" t="s">
        <v>23</v>
      </c>
      <c r="N861" t="str">
        <f>PROPER(TRIM(M861))</f>
        <v>Shirt</v>
      </c>
      <c r="O861">
        <v>211.31</v>
      </c>
      <c r="P861">
        <v>1</v>
      </c>
      <c r="Q861">
        <f>IF(P861&lt;1, 1, P861)</f>
        <v>1</v>
      </c>
      <c r="R861">
        <v>0</v>
      </c>
      <c r="S861" t="str">
        <f>IF(OR(R861&lt;0,R861&gt;100),"invalid","Valid")</f>
        <v>Valid</v>
      </c>
      <c r="T861" t="s">
        <v>59</v>
      </c>
      <c r="U861" t="str">
        <f>PROPER(TRIM(T861))</f>
        <v>Mobile Money</v>
      </c>
      <c r="V861" t="s">
        <v>41</v>
      </c>
      <c r="W861" t="str">
        <f t="shared" si="26"/>
        <v>Chi</v>
      </c>
      <c r="X861" t="s">
        <v>65</v>
      </c>
      <c r="Y861">
        <v>2</v>
      </c>
      <c r="Z861" t="str">
        <f>IF(D861="", "Missing", "ok")</f>
        <v>Missing</v>
      </c>
      <c r="AA861">
        <f t="shared" si="27"/>
        <v>211.31</v>
      </c>
    </row>
    <row r="862" spans="1:27" x14ac:dyDescent="0.25">
      <c r="A862" t="s">
        <v>2251</v>
      </c>
      <c r="B862" s="1" t="s">
        <v>791</v>
      </c>
      <c r="C862" t="s">
        <v>1356</v>
      </c>
      <c r="E862" t="str">
        <f>PROPER(TRIM(D862))</f>
        <v/>
      </c>
      <c r="F862" t="s">
        <v>20</v>
      </c>
      <c r="G862">
        <v>130</v>
      </c>
      <c r="H862" t="str">
        <f>IF(AND(G862&gt;18, G862&lt;65), "Valid", "Invalid")</f>
        <v>Invalid</v>
      </c>
      <c r="I862" t="s">
        <v>21</v>
      </c>
      <c r="J862" t="str">
        <f>PROPER(TRIM(I862))</f>
        <v>Lagos</v>
      </c>
      <c r="K862" t="s">
        <v>54</v>
      </c>
      <c r="L862" t="str">
        <f>PROPER(TRIM(K862))</f>
        <v>Home</v>
      </c>
      <c r="M862" t="s">
        <v>55</v>
      </c>
      <c r="N862" t="str">
        <f>PROPER(TRIM(M862))</f>
        <v>Chair</v>
      </c>
      <c r="O862">
        <v>228.92</v>
      </c>
      <c r="P862">
        <v>7</v>
      </c>
      <c r="Q862">
        <f>IF(P862&lt;1, 1, P862)</f>
        <v>7</v>
      </c>
      <c r="R862">
        <v>120</v>
      </c>
      <c r="S862" t="str">
        <f>IF(OR(R862&lt;0,R862&gt;100),"invalid","Valid")</f>
        <v>invalid</v>
      </c>
      <c r="U862" t="str">
        <f>PROPER(TRIM(T862))</f>
        <v/>
      </c>
      <c r="V862" t="s">
        <v>91</v>
      </c>
      <c r="W862" t="str">
        <f t="shared" si="26"/>
        <v>Ben</v>
      </c>
      <c r="X862" t="s">
        <v>65</v>
      </c>
      <c r="Y862">
        <v>1</v>
      </c>
      <c r="Z862" t="str">
        <f>IF(D862="", "Missing", "ok")</f>
        <v>Missing</v>
      </c>
      <c r="AA862">
        <f t="shared" si="27"/>
        <v>-320.48799999999989</v>
      </c>
    </row>
    <row r="863" spans="1:27" x14ac:dyDescent="0.25">
      <c r="A863" t="s">
        <v>2252</v>
      </c>
      <c r="B863" s="1" t="s">
        <v>193</v>
      </c>
      <c r="C863" t="s">
        <v>2253</v>
      </c>
      <c r="D863" t="s">
        <v>37</v>
      </c>
      <c r="E863" t="str">
        <f>PROPER(TRIM(D863))</f>
        <v>Aisha</v>
      </c>
      <c r="F863" t="s">
        <v>46</v>
      </c>
      <c r="G863">
        <v>130</v>
      </c>
      <c r="H863" t="str">
        <f>IF(AND(G863&gt;18, G863&lt;65), "Valid", "Invalid")</f>
        <v>Invalid</v>
      </c>
      <c r="I863" t="s">
        <v>86</v>
      </c>
      <c r="J863" t="str">
        <f>PROPER(TRIM(I863))</f>
        <v>Kano</v>
      </c>
      <c r="K863" t="s">
        <v>121</v>
      </c>
      <c r="L863" t="str">
        <f>PROPER(TRIM(K863))</f>
        <v>Beauty</v>
      </c>
      <c r="M863" t="s">
        <v>122</v>
      </c>
      <c r="N863" t="str">
        <f>PROPER(TRIM(M863))</f>
        <v>Cream</v>
      </c>
      <c r="O863">
        <v>192.21</v>
      </c>
      <c r="P863">
        <v>-2</v>
      </c>
      <c r="Q863">
        <f>IF(P863&lt;1, 1, P863)</f>
        <v>1</v>
      </c>
      <c r="R863">
        <v>0</v>
      </c>
      <c r="S863" t="str">
        <f>IF(OR(R863&lt;0,R863&gt;100),"invalid","Valid")</f>
        <v>Valid</v>
      </c>
      <c r="T863" t="s">
        <v>77</v>
      </c>
      <c r="U863" t="str">
        <f>PROPER(TRIM(T863))</f>
        <v>Cash</v>
      </c>
      <c r="V863" t="s">
        <v>25</v>
      </c>
      <c r="W863" t="str">
        <f t="shared" si="26"/>
        <v>Dan</v>
      </c>
      <c r="X863" t="s">
        <v>65</v>
      </c>
      <c r="Y863">
        <v>2</v>
      </c>
      <c r="Z863" t="str">
        <f>IF(D863="", "Missing", "ok")</f>
        <v>ok</v>
      </c>
      <c r="AA863">
        <f t="shared" si="27"/>
        <v>192.21</v>
      </c>
    </row>
    <row r="864" spans="1:27" x14ac:dyDescent="0.25">
      <c r="A864" t="s">
        <v>2254</v>
      </c>
      <c r="B864" s="1" t="s">
        <v>130</v>
      </c>
      <c r="C864" t="s">
        <v>2255</v>
      </c>
      <c r="E864" t="str">
        <f>PROPER(TRIM(D864))</f>
        <v/>
      </c>
      <c r="F864" t="s">
        <v>46</v>
      </c>
      <c r="G864">
        <v>130</v>
      </c>
      <c r="H864" t="str">
        <f>IF(AND(G864&gt;18, G864&lt;65), "Valid", "Invalid")</f>
        <v>Invalid</v>
      </c>
      <c r="I864" t="s">
        <v>47</v>
      </c>
      <c r="J864" t="str">
        <f>PROPER(TRIM(I864))</f>
        <v>Enugu</v>
      </c>
      <c r="K864" t="s">
        <v>54</v>
      </c>
      <c r="L864" t="str">
        <f>PROPER(TRIM(K864))</f>
        <v>Home</v>
      </c>
      <c r="M864" t="s">
        <v>55</v>
      </c>
      <c r="N864" t="str">
        <f>PROPER(TRIM(M864))</f>
        <v>Chair</v>
      </c>
      <c r="O864">
        <v>205.82</v>
      </c>
      <c r="P864">
        <v>6</v>
      </c>
      <c r="Q864">
        <f>IF(P864&lt;1, 1, P864)</f>
        <v>6</v>
      </c>
      <c r="R864">
        <v>-10</v>
      </c>
      <c r="S864" t="str">
        <f>IF(OR(R864&lt;0,R864&gt;100),"invalid","Valid")</f>
        <v>invalid</v>
      </c>
      <c r="T864" t="s">
        <v>77</v>
      </c>
      <c r="U864" t="str">
        <f>PROPER(TRIM(T864))</f>
        <v>Cash</v>
      </c>
      <c r="V864" t="s">
        <v>25</v>
      </c>
      <c r="W864" t="str">
        <f t="shared" si="26"/>
        <v>Dan</v>
      </c>
      <c r="X864" t="s">
        <v>65</v>
      </c>
      <c r="Y864">
        <v>5</v>
      </c>
      <c r="Z864" t="str">
        <f>IF(D864="", "Missing", "ok")</f>
        <v>Missing</v>
      </c>
      <c r="AA864">
        <f t="shared" si="27"/>
        <v>1358.4120000000003</v>
      </c>
    </row>
    <row r="865" spans="1:27" x14ac:dyDescent="0.25">
      <c r="A865" t="s">
        <v>2256</v>
      </c>
      <c r="B865" s="1" t="s">
        <v>2257</v>
      </c>
      <c r="C865" t="s">
        <v>1709</v>
      </c>
      <c r="D865" t="s">
        <v>45</v>
      </c>
      <c r="E865" t="str">
        <f>PROPER(TRIM(D865))</f>
        <v>James</v>
      </c>
      <c r="F865" t="s">
        <v>46</v>
      </c>
      <c r="G865">
        <v>130</v>
      </c>
      <c r="H865" t="str">
        <f>IF(AND(G865&gt;18, G865&lt;65), "Valid", "Invalid")</f>
        <v>Invalid</v>
      </c>
      <c r="I865" t="s">
        <v>38</v>
      </c>
      <c r="J865" t="str">
        <f>PROPER(TRIM(I865))</f>
        <v>Ph</v>
      </c>
      <c r="K865" t="s">
        <v>54</v>
      </c>
      <c r="L865" t="str">
        <f>PROPER(TRIM(K865))</f>
        <v>Home</v>
      </c>
      <c r="M865" t="s">
        <v>55</v>
      </c>
      <c r="N865" t="str">
        <f>PROPER(TRIM(M865))</f>
        <v>Chair</v>
      </c>
      <c r="O865">
        <v>356.91</v>
      </c>
      <c r="P865">
        <v>-2</v>
      </c>
      <c r="Q865">
        <f>IF(P865&lt;1, 1, P865)</f>
        <v>1</v>
      </c>
      <c r="R865">
        <v>120</v>
      </c>
      <c r="S865" t="str">
        <f>IF(OR(R865&lt;0,R865&gt;100),"invalid","Valid")</f>
        <v>invalid</v>
      </c>
      <c r="T865" t="s">
        <v>59</v>
      </c>
      <c r="U865" t="str">
        <f>PROPER(TRIM(T865))</f>
        <v>Mobile Money</v>
      </c>
      <c r="V865" t="s">
        <v>41</v>
      </c>
      <c r="W865" t="str">
        <f t="shared" si="26"/>
        <v>Chi</v>
      </c>
      <c r="X865" t="s">
        <v>82</v>
      </c>
      <c r="Y865">
        <v>5</v>
      </c>
      <c r="Z865" t="str">
        <f>IF(D865="", "Missing", "ok")</f>
        <v>ok</v>
      </c>
      <c r="AA865">
        <f t="shared" si="27"/>
        <v>-71.381999999999991</v>
      </c>
    </row>
    <row r="866" spans="1:27" x14ac:dyDescent="0.25">
      <c r="A866" t="s">
        <v>2258</v>
      </c>
      <c r="B866" s="1" t="s">
        <v>2259</v>
      </c>
      <c r="C866" t="s">
        <v>2260</v>
      </c>
      <c r="D866" t="s">
        <v>69</v>
      </c>
      <c r="E866" t="str">
        <f>PROPER(TRIM(D866))</f>
        <v>Mary</v>
      </c>
      <c r="F866" t="s">
        <v>46</v>
      </c>
      <c r="G866">
        <v>130</v>
      </c>
      <c r="H866" t="str">
        <f>IF(AND(G866&gt;18, G866&lt;65), "Valid", "Invalid")</f>
        <v>Invalid</v>
      </c>
      <c r="I866" t="s">
        <v>38</v>
      </c>
      <c r="J866" t="str">
        <f>PROPER(TRIM(I866))</f>
        <v>Ph</v>
      </c>
      <c r="K866" t="s">
        <v>54</v>
      </c>
      <c r="L866" t="str">
        <f>PROPER(TRIM(K866))</f>
        <v>Home</v>
      </c>
      <c r="M866" t="s">
        <v>55</v>
      </c>
      <c r="N866" t="str">
        <f>PROPER(TRIM(M866))</f>
        <v>Chair</v>
      </c>
      <c r="O866">
        <v>376.38</v>
      </c>
      <c r="P866">
        <v>-2</v>
      </c>
      <c r="Q866">
        <f>IF(P866&lt;1, 1, P866)</f>
        <v>1</v>
      </c>
      <c r="R866">
        <v>120</v>
      </c>
      <c r="S866" t="str">
        <f>IF(OR(R866&lt;0,R866&gt;100),"invalid","Valid")</f>
        <v>invalid</v>
      </c>
      <c r="T866" t="s">
        <v>64</v>
      </c>
      <c r="U866" t="str">
        <f>PROPER(TRIM(T866))</f>
        <v>Transfer</v>
      </c>
      <c r="V866" t="s">
        <v>25</v>
      </c>
      <c r="W866" t="str">
        <f t="shared" si="26"/>
        <v>Dan</v>
      </c>
      <c r="X866" t="s">
        <v>33</v>
      </c>
      <c r="Y866">
        <v>2</v>
      </c>
      <c r="Z866" t="str">
        <f>IF(D866="", "Missing", "ok")</f>
        <v>ok</v>
      </c>
      <c r="AA866">
        <f t="shared" si="27"/>
        <v>-75.275999999999982</v>
      </c>
    </row>
    <row r="867" spans="1:27" x14ac:dyDescent="0.25">
      <c r="A867" t="s">
        <v>2261</v>
      </c>
      <c r="B867" s="1" t="s">
        <v>644</v>
      </c>
      <c r="C867" t="s">
        <v>2262</v>
      </c>
      <c r="D867" t="s">
        <v>45</v>
      </c>
      <c r="E867" t="str">
        <f>PROPER(TRIM(D867))</f>
        <v>James</v>
      </c>
      <c r="F867" t="s">
        <v>20</v>
      </c>
      <c r="G867">
        <v>130</v>
      </c>
      <c r="H867" t="str">
        <f>IF(AND(G867&gt;18, G867&lt;65), "Valid", "Invalid")</f>
        <v>Invalid</v>
      </c>
      <c r="I867" t="s">
        <v>53</v>
      </c>
      <c r="J867" t="str">
        <f>PROPER(TRIM(I867))</f>
        <v>Lagos</v>
      </c>
      <c r="K867" t="s">
        <v>22</v>
      </c>
      <c r="L867" t="str">
        <f>PROPER(TRIM(K867))</f>
        <v>Fashion</v>
      </c>
      <c r="M867" t="s">
        <v>23</v>
      </c>
      <c r="N867" t="str">
        <f>PROPER(TRIM(M867))</f>
        <v>Shirt</v>
      </c>
      <c r="O867">
        <v>197.76</v>
      </c>
      <c r="P867">
        <v>10</v>
      </c>
      <c r="Q867">
        <f>IF(P867&lt;1, 1, P867)</f>
        <v>10</v>
      </c>
      <c r="R867">
        <v>10</v>
      </c>
      <c r="S867" t="str">
        <f>IF(OR(R867&lt;0,R867&gt;100),"invalid","Valid")</f>
        <v>Valid</v>
      </c>
      <c r="U867" t="str">
        <f>PROPER(TRIM(T867))</f>
        <v/>
      </c>
      <c r="V867" t="s">
        <v>91</v>
      </c>
      <c r="W867" t="str">
        <f t="shared" si="26"/>
        <v>Ben</v>
      </c>
      <c r="X867" t="s">
        <v>65</v>
      </c>
      <c r="Y867">
        <v>2</v>
      </c>
      <c r="Z867" t="str">
        <f>IF(D867="", "Missing", "ok")</f>
        <v>ok</v>
      </c>
      <c r="AA867">
        <f t="shared" si="27"/>
        <v>1779.84</v>
      </c>
    </row>
    <row r="868" spans="1:27" x14ac:dyDescent="0.25">
      <c r="A868" t="s">
        <v>2263</v>
      </c>
      <c r="B868" s="1" t="s">
        <v>473</v>
      </c>
      <c r="C868" t="s">
        <v>2264</v>
      </c>
      <c r="D868" t="s">
        <v>101</v>
      </c>
      <c r="E868" t="str">
        <f>PROPER(TRIM(D868))</f>
        <v>Grace</v>
      </c>
      <c r="F868" t="s">
        <v>46</v>
      </c>
      <c r="G868">
        <v>8</v>
      </c>
      <c r="H868" t="str">
        <f>IF(AND(G868&gt;18, G868&lt;65), "Valid", "Invalid")</f>
        <v>Invalid</v>
      </c>
      <c r="I868" t="s">
        <v>30</v>
      </c>
      <c r="J868" t="str">
        <f>PROPER(TRIM(I868))</f>
        <v>Lagos</v>
      </c>
      <c r="K868" t="s">
        <v>31</v>
      </c>
      <c r="L868" t="str">
        <f>PROPER(TRIM(K868))</f>
        <v>Sports</v>
      </c>
      <c r="M868" t="s">
        <v>32</v>
      </c>
      <c r="N868" t="str">
        <f>PROPER(TRIM(M868))</f>
        <v>Ball</v>
      </c>
      <c r="O868">
        <v>135.55000000000001</v>
      </c>
      <c r="P868">
        <v>7</v>
      </c>
      <c r="Q868">
        <f>IF(P868&lt;1, 1, P868)</f>
        <v>7</v>
      </c>
      <c r="R868">
        <v>0</v>
      </c>
      <c r="S868" t="str">
        <f>IF(OR(R868&lt;0,R868&gt;100),"invalid","Valid")</f>
        <v>Valid</v>
      </c>
      <c r="T868" t="s">
        <v>64</v>
      </c>
      <c r="U868" t="str">
        <f>PROPER(TRIM(T868))</f>
        <v>Transfer</v>
      </c>
      <c r="V868" t="s">
        <v>91</v>
      </c>
      <c r="W868" t="str">
        <f t="shared" si="26"/>
        <v>Ben</v>
      </c>
      <c r="X868" t="s">
        <v>33</v>
      </c>
      <c r="Z868" t="str">
        <f>IF(D868="", "Missing", "ok")</f>
        <v>ok</v>
      </c>
      <c r="AA868">
        <f t="shared" si="27"/>
        <v>948.85000000000014</v>
      </c>
    </row>
    <row r="869" spans="1:27" x14ac:dyDescent="0.25">
      <c r="A869" t="s">
        <v>2265</v>
      </c>
      <c r="B869" s="1" t="s">
        <v>130</v>
      </c>
      <c r="C869" t="s">
        <v>2266</v>
      </c>
      <c r="D869" t="s">
        <v>37</v>
      </c>
      <c r="E869" t="str">
        <f>PROPER(TRIM(D869))</f>
        <v>Aisha</v>
      </c>
      <c r="F869" t="s">
        <v>20</v>
      </c>
      <c r="G869">
        <v>8</v>
      </c>
      <c r="H869" t="str">
        <f>IF(AND(G869&gt;18, G869&lt;65), "Valid", "Invalid")</f>
        <v>Invalid</v>
      </c>
      <c r="I869" t="s">
        <v>53</v>
      </c>
      <c r="J869" t="str">
        <f>PROPER(TRIM(I869))</f>
        <v>Lagos</v>
      </c>
      <c r="K869" t="s">
        <v>31</v>
      </c>
      <c r="L869" t="str">
        <f>PROPER(TRIM(K869))</f>
        <v>Sports</v>
      </c>
      <c r="M869" t="s">
        <v>32</v>
      </c>
      <c r="N869" t="str">
        <f>PROPER(TRIM(M869))</f>
        <v>Ball</v>
      </c>
      <c r="O869">
        <v>389.27</v>
      </c>
      <c r="P869">
        <v>9</v>
      </c>
      <c r="Q869">
        <f>IF(P869&lt;1, 1, P869)</f>
        <v>9</v>
      </c>
      <c r="R869">
        <v>15</v>
      </c>
      <c r="S869" t="str">
        <f>IF(OR(R869&lt;0,R869&gt;100),"invalid","Valid")</f>
        <v>Valid</v>
      </c>
      <c r="T869" t="s">
        <v>77</v>
      </c>
      <c r="U869" t="str">
        <f>PROPER(TRIM(T869))</f>
        <v>Cash</v>
      </c>
      <c r="V869" t="s">
        <v>25</v>
      </c>
      <c r="W869" t="str">
        <f t="shared" si="26"/>
        <v>Dan</v>
      </c>
      <c r="X869" t="s">
        <v>82</v>
      </c>
      <c r="Y869">
        <v>4</v>
      </c>
      <c r="Z869" t="str">
        <f>IF(D869="", "Missing", "ok")</f>
        <v>ok</v>
      </c>
      <c r="AA869">
        <f t="shared" si="27"/>
        <v>2977.9154999999996</v>
      </c>
    </row>
    <row r="870" spans="1:27" x14ac:dyDescent="0.25">
      <c r="A870" t="s">
        <v>2267</v>
      </c>
      <c r="B870" s="1" t="s">
        <v>1427</v>
      </c>
      <c r="C870" t="s">
        <v>2268</v>
      </c>
      <c r="D870" t="s">
        <v>45</v>
      </c>
      <c r="E870" t="str">
        <f>PROPER(TRIM(D870))</f>
        <v>James</v>
      </c>
      <c r="F870" t="s">
        <v>20</v>
      </c>
      <c r="G870">
        <v>130</v>
      </c>
      <c r="H870" t="str">
        <f>IF(AND(G870&gt;18, G870&lt;65), "Valid", "Invalid")</f>
        <v>Invalid</v>
      </c>
      <c r="I870" t="s">
        <v>86</v>
      </c>
      <c r="J870" t="str">
        <f>PROPER(TRIM(I870))</f>
        <v>Kano</v>
      </c>
      <c r="K870" t="s">
        <v>22</v>
      </c>
      <c r="L870" t="str">
        <f>PROPER(TRIM(K870))</f>
        <v>Fashion</v>
      </c>
      <c r="M870" t="s">
        <v>23</v>
      </c>
      <c r="N870" t="str">
        <f>PROPER(TRIM(M870))</f>
        <v>Shirt</v>
      </c>
      <c r="O870">
        <v>280.8</v>
      </c>
      <c r="P870">
        <v>-2</v>
      </c>
      <c r="Q870">
        <f>IF(P870&lt;1, 1, P870)</f>
        <v>1</v>
      </c>
      <c r="R870">
        <v>0</v>
      </c>
      <c r="S870" t="str">
        <f>IF(OR(R870&lt;0,R870&gt;100),"invalid","Valid")</f>
        <v>Valid</v>
      </c>
      <c r="T870" t="s">
        <v>24</v>
      </c>
      <c r="U870" t="str">
        <f>PROPER(TRIM(T870))</f>
        <v>Pos</v>
      </c>
      <c r="V870" t="s">
        <v>25</v>
      </c>
      <c r="W870" t="str">
        <f t="shared" si="26"/>
        <v>Dan</v>
      </c>
      <c r="X870" t="s">
        <v>33</v>
      </c>
      <c r="Y870">
        <v>2</v>
      </c>
      <c r="Z870" t="str">
        <f>IF(D870="", "Missing", "ok")</f>
        <v>ok</v>
      </c>
      <c r="AA870">
        <f t="shared" si="27"/>
        <v>280.8</v>
      </c>
    </row>
    <row r="871" spans="1:27" x14ac:dyDescent="0.25">
      <c r="A871" t="s">
        <v>2269</v>
      </c>
      <c r="B871" s="1" t="s">
        <v>1579</v>
      </c>
      <c r="C871" t="s">
        <v>2270</v>
      </c>
      <c r="D871" t="s">
        <v>37</v>
      </c>
      <c r="E871" t="str">
        <f>PROPER(TRIM(D871))</f>
        <v>Aisha</v>
      </c>
      <c r="F871" t="s">
        <v>20</v>
      </c>
      <c r="G871">
        <v>32</v>
      </c>
      <c r="H871" t="str">
        <f>IF(AND(G871&gt;18, G871&lt;65), "Valid", "Invalid")</f>
        <v>Valid</v>
      </c>
      <c r="I871" t="s">
        <v>47</v>
      </c>
      <c r="J871" t="str">
        <f>PROPER(TRIM(I871))</f>
        <v>Enugu</v>
      </c>
      <c r="K871" t="s">
        <v>87</v>
      </c>
      <c r="L871" t="str">
        <f>PROPER(TRIM(K871))</f>
        <v>Groceris</v>
      </c>
      <c r="M871" t="s">
        <v>49</v>
      </c>
      <c r="N871" t="str">
        <f>PROPER(TRIM(M871))</f>
        <v>Rice</v>
      </c>
      <c r="O871">
        <v>61.6</v>
      </c>
      <c r="P871">
        <v>2</v>
      </c>
      <c r="Q871">
        <f>IF(P871&lt;1, 1, P871)</f>
        <v>2</v>
      </c>
      <c r="R871">
        <v>0</v>
      </c>
      <c r="S871" t="str">
        <f>IF(OR(R871&lt;0,R871&gt;100),"invalid","Valid")</f>
        <v>Valid</v>
      </c>
      <c r="U871" t="str">
        <f>PROPER(TRIM(T871))</f>
        <v/>
      </c>
      <c r="V871" t="s">
        <v>25</v>
      </c>
      <c r="W871" t="str">
        <f t="shared" si="26"/>
        <v>Dan</v>
      </c>
      <c r="X871" t="s">
        <v>82</v>
      </c>
      <c r="Z871" t="str">
        <f>IF(D871="", "Missing", "ok")</f>
        <v>ok</v>
      </c>
      <c r="AA871">
        <f t="shared" si="27"/>
        <v>123.2</v>
      </c>
    </row>
    <row r="872" spans="1:27" x14ac:dyDescent="0.25">
      <c r="A872" t="s">
        <v>2271</v>
      </c>
      <c r="B872" s="1" t="s">
        <v>1491</v>
      </c>
      <c r="C872" t="s">
        <v>2272</v>
      </c>
      <c r="D872" t="s">
        <v>19</v>
      </c>
      <c r="E872" t="str">
        <f>PROPER(TRIM(D872))</f>
        <v>Peter</v>
      </c>
      <c r="F872" t="s">
        <v>20</v>
      </c>
      <c r="G872">
        <v>130</v>
      </c>
      <c r="H872" t="str">
        <f>IF(AND(G872&gt;18, G872&lt;65), "Valid", "Invalid")</f>
        <v>Invalid</v>
      </c>
      <c r="I872" t="s">
        <v>86</v>
      </c>
      <c r="J872" t="str">
        <f>PROPER(TRIM(I872))</f>
        <v>Kano</v>
      </c>
      <c r="K872" t="s">
        <v>87</v>
      </c>
      <c r="L872" t="str">
        <f>PROPER(TRIM(K872))</f>
        <v>Groceris</v>
      </c>
      <c r="M872" t="s">
        <v>49</v>
      </c>
      <c r="N872" t="str">
        <f>PROPER(TRIM(M872))</f>
        <v>Rice</v>
      </c>
      <c r="O872">
        <v>56.72</v>
      </c>
      <c r="P872">
        <v>6</v>
      </c>
      <c r="Q872">
        <f>IF(P872&lt;1, 1, P872)</f>
        <v>6</v>
      </c>
      <c r="R872">
        <v>0</v>
      </c>
      <c r="S872" t="str">
        <f>IF(OR(R872&lt;0,R872&gt;100),"invalid","Valid")</f>
        <v>Valid</v>
      </c>
      <c r="T872" t="s">
        <v>24</v>
      </c>
      <c r="U872" t="str">
        <f>PROPER(TRIM(T872))</f>
        <v>Pos</v>
      </c>
      <c r="V872" t="s">
        <v>91</v>
      </c>
      <c r="W872" t="str">
        <f t="shared" si="26"/>
        <v>Ben</v>
      </c>
      <c r="X872" t="s">
        <v>33</v>
      </c>
      <c r="Y872">
        <v>2</v>
      </c>
      <c r="Z872" t="str">
        <f>IF(D872="", "Missing", "ok")</f>
        <v>ok</v>
      </c>
      <c r="AA872">
        <f t="shared" si="27"/>
        <v>340.32</v>
      </c>
    </row>
    <row r="873" spans="1:27" x14ac:dyDescent="0.25">
      <c r="A873" t="s">
        <v>2273</v>
      </c>
      <c r="B873" s="1" t="s">
        <v>2274</v>
      </c>
      <c r="C873" t="s">
        <v>2275</v>
      </c>
      <c r="D873" t="s">
        <v>19</v>
      </c>
      <c r="E873" t="str">
        <f>PROPER(TRIM(D873))</f>
        <v>Peter</v>
      </c>
      <c r="F873" t="s">
        <v>20</v>
      </c>
      <c r="G873">
        <v>130</v>
      </c>
      <c r="H873" t="str">
        <f>IF(AND(G873&gt;18, G873&lt;65), "Valid", "Invalid")</f>
        <v>Invalid</v>
      </c>
      <c r="I873" t="s">
        <v>21</v>
      </c>
      <c r="J873" t="str">
        <f>PROPER(TRIM(I873))</f>
        <v>Lagos</v>
      </c>
      <c r="K873" t="s">
        <v>87</v>
      </c>
      <c r="L873" t="str">
        <f>PROPER(TRIM(K873))</f>
        <v>Groceris</v>
      </c>
      <c r="M873" t="s">
        <v>49</v>
      </c>
      <c r="N873" t="str">
        <f>PROPER(TRIM(M873))</f>
        <v>Rice</v>
      </c>
      <c r="O873">
        <v>470.9</v>
      </c>
      <c r="P873">
        <v>4</v>
      </c>
      <c r="Q873">
        <f>IF(P873&lt;1, 1, P873)</f>
        <v>4</v>
      </c>
      <c r="R873">
        <v>10</v>
      </c>
      <c r="S873" t="str">
        <f>IF(OR(R873&lt;0,R873&gt;100),"invalid","Valid")</f>
        <v>Valid</v>
      </c>
      <c r="T873" t="s">
        <v>24</v>
      </c>
      <c r="U873" t="str">
        <f>PROPER(TRIM(T873))</f>
        <v>Pos</v>
      </c>
      <c r="V873" t="s">
        <v>25</v>
      </c>
      <c r="W873" t="str">
        <f t="shared" si="26"/>
        <v>Dan</v>
      </c>
      <c r="X873" t="s">
        <v>26</v>
      </c>
      <c r="Y873">
        <v>4</v>
      </c>
      <c r="Z873" t="str">
        <f>IF(D873="", "Missing", "ok")</f>
        <v>ok</v>
      </c>
      <c r="AA873">
        <f t="shared" si="27"/>
        <v>1695.24</v>
      </c>
    </row>
    <row r="874" spans="1:27" x14ac:dyDescent="0.25">
      <c r="A874" t="s">
        <v>2276</v>
      </c>
      <c r="B874" s="1" t="s">
        <v>486</v>
      </c>
      <c r="C874" t="s">
        <v>2277</v>
      </c>
      <c r="D874" t="s">
        <v>45</v>
      </c>
      <c r="E874" t="str">
        <f>PROPER(TRIM(D874))</f>
        <v>James</v>
      </c>
      <c r="F874" t="s">
        <v>46</v>
      </c>
      <c r="G874">
        <v>35</v>
      </c>
      <c r="H874" t="str">
        <f>IF(AND(G874&gt;18, G874&lt;65), "Valid", "Invalid")</f>
        <v>Valid</v>
      </c>
      <c r="I874" t="s">
        <v>30</v>
      </c>
      <c r="J874" t="str">
        <f>PROPER(TRIM(I874))</f>
        <v>Lagos</v>
      </c>
      <c r="K874" t="s">
        <v>39</v>
      </c>
      <c r="L874" t="str">
        <f>PROPER(TRIM(K874))</f>
        <v>Electronics</v>
      </c>
      <c r="M874" t="s">
        <v>40</v>
      </c>
      <c r="N874" t="str">
        <f>PROPER(TRIM(M874))</f>
        <v>Phone</v>
      </c>
      <c r="O874">
        <v>131.69999999999999</v>
      </c>
      <c r="P874">
        <v>6</v>
      </c>
      <c r="Q874">
        <f>IF(P874&lt;1, 1, P874)</f>
        <v>6</v>
      </c>
      <c r="R874">
        <v>10</v>
      </c>
      <c r="S874" t="str">
        <f>IF(OR(R874&lt;0,R874&gt;100),"invalid","Valid")</f>
        <v>Valid</v>
      </c>
      <c r="T874" t="s">
        <v>24</v>
      </c>
      <c r="U874" t="str">
        <f>PROPER(TRIM(T874))</f>
        <v>Pos</v>
      </c>
      <c r="V874" t="s">
        <v>25</v>
      </c>
      <c r="W874" t="str">
        <f t="shared" si="26"/>
        <v>Dan</v>
      </c>
      <c r="X874" t="s">
        <v>33</v>
      </c>
      <c r="Y874">
        <v>3</v>
      </c>
      <c r="Z874" t="str">
        <f>IF(D874="", "Missing", "ok")</f>
        <v>ok</v>
      </c>
      <c r="AA874">
        <f t="shared" si="27"/>
        <v>711.18</v>
      </c>
    </row>
    <row r="875" spans="1:27" x14ac:dyDescent="0.25">
      <c r="A875" t="s">
        <v>2278</v>
      </c>
      <c r="B875" s="1" t="s">
        <v>2279</v>
      </c>
      <c r="C875" t="s">
        <v>2280</v>
      </c>
      <c r="D875" t="s">
        <v>45</v>
      </c>
      <c r="E875" t="str">
        <f>PROPER(TRIM(D875))</f>
        <v>James</v>
      </c>
      <c r="F875" t="s">
        <v>20</v>
      </c>
      <c r="G875">
        <v>8</v>
      </c>
      <c r="H875" t="str">
        <f>IF(AND(G875&gt;18, G875&lt;65), "Valid", "Invalid")</f>
        <v>Invalid</v>
      </c>
      <c r="I875" t="s">
        <v>47</v>
      </c>
      <c r="J875" t="str">
        <f>PROPER(TRIM(I875))</f>
        <v>Enugu</v>
      </c>
      <c r="K875" t="s">
        <v>22</v>
      </c>
      <c r="L875" t="str">
        <f>PROPER(TRIM(K875))</f>
        <v>Fashion</v>
      </c>
      <c r="M875" t="s">
        <v>23</v>
      </c>
      <c r="N875" t="str">
        <f>PROPER(TRIM(M875))</f>
        <v>Shirt</v>
      </c>
      <c r="O875">
        <v>201.11</v>
      </c>
      <c r="P875">
        <v>-2</v>
      </c>
      <c r="Q875">
        <f>IF(P875&lt;1, 1, P875)</f>
        <v>1</v>
      </c>
      <c r="R875">
        <v>-10</v>
      </c>
      <c r="S875" t="str">
        <f>IF(OR(R875&lt;0,R875&gt;100),"invalid","Valid")</f>
        <v>invalid</v>
      </c>
      <c r="T875" t="s">
        <v>59</v>
      </c>
      <c r="U875" t="str">
        <f>PROPER(TRIM(T875))</f>
        <v>Mobile Money</v>
      </c>
      <c r="V875" t="s">
        <v>41</v>
      </c>
      <c r="W875" t="str">
        <f t="shared" si="26"/>
        <v>Chi</v>
      </c>
      <c r="X875" t="s">
        <v>26</v>
      </c>
      <c r="Y875">
        <v>5</v>
      </c>
      <c r="Z875" t="str">
        <f>IF(D875="", "Missing", "ok")</f>
        <v>ok</v>
      </c>
      <c r="AA875">
        <f t="shared" si="27"/>
        <v>221.22100000000003</v>
      </c>
    </row>
    <row r="876" spans="1:27" x14ac:dyDescent="0.25">
      <c r="A876" t="s">
        <v>2281</v>
      </c>
      <c r="B876" s="1" t="s">
        <v>2282</v>
      </c>
      <c r="C876" t="s">
        <v>2283</v>
      </c>
      <c r="D876" t="s">
        <v>63</v>
      </c>
      <c r="E876" t="str">
        <f>PROPER(TRIM(D876))</f>
        <v>John</v>
      </c>
      <c r="F876" t="s">
        <v>20</v>
      </c>
      <c r="G876">
        <v>8</v>
      </c>
      <c r="H876" t="str">
        <f>IF(AND(G876&gt;18, G876&lt;65), "Valid", "Invalid")</f>
        <v>Invalid</v>
      </c>
      <c r="I876" t="s">
        <v>30</v>
      </c>
      <c r="J876" t="str">
        <f>PROPER(TRIM(I876))</f>
        <v>Lagos</v>
      </c>
      <c r="K876" t="s">
        <v>31</v>
      </c>
      <c r="L876" t="str">
        <f>PROPER(TRIM(K876))</f>
        <v>Sports</v>
      </c>
      <c r="M876" t="s">
        <v>32</v>
      </c>
      <c r="N876" t="str">
        <f>PROPER(TRIM(M876))</f>
        <v>Ball</v>
      </c>
      <c r="O876">
        <v>449.63</v>
      </c>
      <c r="P876">
        <v>-2</v>
      </c>
      <c r="Q876">
        <f>IF(P876&lt;1, 1, P876)</f>
        <v>1</v>
      </c>
      <c r="R876">
        <v>0</v>
      </c>
      <c r="S876" t="str">
        <f>IF(OR(R876&lt;0,R876&gt;100),"invalid","Valid")</f>
        <v>Valid</v>
      </c>
      <c r="U876" t="str">
        <f>PROPER(TRIM(T876))</f>
        <v/>
      </c>
      <c r="V876" t="s">
        <v>41</v>
      </c>
      <c r="W876" t="str">
        <f t="shared" si="26"/>
        <v>Chi</v>
      </c>
      <c r="X876" t="s">
        <v>26</v>
      </c>
      <c r="Y876">
        <v>5</v>
      </c>
      <c r="Z876" t="str">
        <f>IF(D876="", "Missing", "ok")</f>
        <v>ok</v>
      </c>
      <c r="AA876">
        <f t="shared" si="27"/>
        <v>449.63</v>
      </c>
    </row>
    <row r="877" spans="1:27" x14ac:dyDescent="0.25">
      <c r="A877" t="s">
        <v>2284</v>
      </c>
      <c r="B877" s="1" t="s">
        <v>2285</v>
      </c>
      <c r="C877" t="s">
        <v>2286</v>
      </c>
      <c r="D877" t="s">
        <v>117</v>
      </c>
      <c r="E877" t="str">
        <f>PROPER(TRIM(D877))</f>
        <v>David</v>
      </c>
      <c r="F877" t="s">
        <v>46</v>
      </c>
      <c r="G877">
        <v>53</v>
      </c>
      <c r="H877" t="str">
        <f>IF(AND(G877&gt;18, G877&lt;65), "Valid", "Invalid")</f>
        <v>Valid</v>
      </c>
      <c r="I877" t="s">
        <v>30</v>
      </c>
      <c r="J877" t="str">
        <f>PROPER(TRIM(I877))</f>
        <v>Lagos</v>
      </c>
      <c r="K877" t="s">
        <v>121</v>
      </c>
      <c r="L877" t="str">
        <f>PROPER(TRIM(K877))</f>
        <v>Beauty</v>
      </c>
      <c r="M877" t="s">
        <v>122</v>
      </c>
      <c r="N877" t="str">
        <f>PROPER(TRIM(M877))</f>
        <v>Cream</v>
      </c>
      <c r="O877">
        <v>211.16</v>
      </c>
      <c r="P877">
        <v>-2</v>
      </c>
      <c r="Q877">
        <f>IF(P877&lt;1, 1, P877)</f>
        <v>1</v>
      </c>
      <c r="R877">
        <v>120</v>
      </c>
      <c r="S877" t="str">
        <f>IF(OR(R877&lt;0,R877&gt;100),"invalid","Valid")</f>
        <v>invalid</v>
      </c>
      <c r="T877" t="s">
        <v>59</v>
      </c>
      <c r="U877" t="str">
        <f>PROPER(TRIM(T877))</f>
        <v>Mobile Money</v>
      </c>
      <c r="V877" t="s">
        <v>81</v>
      </c>
      <c r="W877" t="str">
        <f t="shared" si="26"/>
        <v>Ada</v>
      </c>
      <c r="X877" t="s">
        <v>65</v>
      </c>
      <c r="Y877">
        <v>3</v>
      </c>
      <c r="Z877" t="str">
        <f>IF(D877="", "Missing", "ok")</f>
        <v>ok</v>
      </c>
      <c r="AA877">
        <f t="shared" si="27"/>
        <v>-42.231999999999992</v>
      </c>
    </row>
    <row r="878" spans="1:27" x14ac:dyDescent="0.25">
      <c r="A878" t="s">
        <v>2287</v>
      </c>
      <c r="B878" s="1" t="s">
        <v>109</v>
      </c>
      <c r="C878" t="s">
        <v>2288</v>
      </c>
      <c r="D878" t="s">
        <v>63</v>
      </c>
      <c r="E878" t="str">
        <f>PROPER(TRIM(D878))</f>
        <v>John</v>
      </c>
      <c r="F878" t="s">
        <v>20</v>
      </c>
      <c r="G878">
        <v>130</v>
      </c>
      <c r="H878" t="str">
        <f>IF(AND(G878&gt;18, G878&lt;65), "Valid", "Invalid")</f>
        <v>Invalid</v>
      </c>
      <c r="I878" t="s">
        <v>38</v>
      </c>
      <c r="J878" t="str">
        <f>PROPER(TRIM(I878))</f>
        <v>Ph</v>
      </c>
      <c r="K878" t="s">
        <v>39</v>
      </c>
      <c r="L878" t="str">
        <f>PROPER(TRIM(K878))</f>
        <v>Electronics</v>
      </c>
      <c r="M878" t="s">
        <v>40</v>
      </c>
      <c r="N878" t="str">
        <f>PROPER(TRIM(M878))</f>
        <v>Phone</v>
      </c>
      <c r="O878">
        <v>229.99</v>
      </c>
      <c r="P878">
        <v>8</v>
      </c>
      <c r="Q878">
        <f>IF(P878&lt;1, 1, P878)</f>
        <v>8</v>
      </c>
      <c r="R878">
        <v>15</v>
      </c>
      <c r="S878" t="str">
        <f>IF(OR(R878&lt;0,R878&gt;100),"invalid","Valid")</f>
        <v>Valid</v>
      </c>
      <c r="U878" t="str">
        <f>PROPER(TRIM(T878))</f>
        <v/>
      </c>
      <c r="V878" t="s">
        <v>41</v>
      </c>
      <c r="W878" t="str">
        <f t="shared" si="26"/>
        <v>Chi</v>
      </c>
      <c r="X878" t="s">
        <v>33</v>
      </c>
      <c r="Z878" t="str">
        <f>IF(D878="", "Missing", "ok")</f>
        <v>ok</v>
      </c>
      <c r="AA878">
        <f t="shared" si="27"/>
        <v>1563.932</v>
      </c>
    </row>
    <row r="879" spans="1:27" x14ac:dyDescent="0.25">
      <c r="A879" t="s">
        <v>2289</v>
      </c>
      <c r="B879" s="1" t="s">
        <v>2290</v>
      </c>
      <c r="C879" t="s">
        <v>2291</v>
      </c>
      <c r="E879" t="str">
        <f>PROPER(TRIM(D879))</f>
        <v/>
      </c>
      <c r="F879" t="s">
        <v>46</v>
      </c>
      <c r="G879">
        <v>130</v>
      </c>
      <c r="H879" t="str">
        <f>IF(AND(G879&gt;18, G879&lt;65), "Valid", "Invalid")</f>
        <v>Invalid</v>
      </c>
      <c r="I879" t="s">
        <v>21</v>
      </c>
      <c r="J879" t="str">
        <f>PROPER(TRIM(I879))</f>
        <v>Lagos</v>
      </c>
      <c r="K879" t="s">
        <v>22</v>
      </c>
      <c r="L879" t="str">
        <f>PROPER(TRIM(K879))</f>
        <v>Fashion</v>
      </c>
      <c r="M879" t="s">
        <v>23</v>
      </c>
      <c r="N879" t="str">
        <f>PROPER(TRIM(M879))</f>
        <v>Shirt</v>
      </c>
      <c r="O879">
        <v>73.14</v>
      </c>
      <c r="P879">
        <v>-2</v>
      </c>
      <c r="Q879">
        <f>IF(P879&lt;1, 1, P879)</f>
        <v>1</v>
      </c>
      <c r="R879">
        <v>5</v>
      </c>
      <c r="S879" t="str">
        <f>IF(OR(R879&lt;0,R879&gt;100),"invalid","Valid")</f>
        <v>Valid</v>
      </c>
      <c r="T879" t="s">
        <v>24</v>
      </c>
      <c r="U879" t="str">
        <f>PROPER(TRIM(T879))</f>
        <v>Pos</v>
      </c>
      <c r="V879" t="s">
        <v>81</v>
      </c>
      <c r="W879" t="str">
        <f t="shared" si="26"/>
        <v>Ada</v>
      </c>
      <c r="X879" t="s">
        <v>82</v>
      </c>
      <c r="Y879">
        <v>1</v>
      </c>
      <c r="Z879" t="str">
        <f>IF(D879="", "Missing", "ok")</f>
        <v>Missing</v>
      </c>
      <c r="AA879">
        <f t="shared" si="27"/>
        <v>69.483000000000004</v>
      </c>
    </row>
    <row r="880" spans="1:27" x14ac:dyDescent="0.25">
      <c r="A880" t="s">
        <v>2292</v>
      </c>
      <c r="B880" s="1" t="s">
        <v>2293</v>
      </c>
      <c r="C880" t="s">
        <v>2294</v>
      </c>
      <c r="D880" t="s">
        <v>37</v>
      </c>
      <c r="E880" t="str">
        <f>PROPER(TRIM(D880))</f>
        <v>Aisha</v>
      </c>
      <c r="F880" t="s">
        <v>20</v>
      </c>
      <c r="G880">
        <v>130</v>
      </c>
      <c r="H880" t="str">
        <f>IF(AND(G880&gt;18, G880&lt;65), "Valid", "Invalid")</f>
        <v>Invalid</v>
      </c>
      <c r="I880" t="s">
        <v>38</v>
      </c>
      <c r="J880" t="str">
        <f>PROPER(TRIM(I880))</f>
        <v>Ph</v>
      </c>
      <c r="K880" t="s">
        <v>54</v>
      </c>
      <c r="L880" t="str">
        <f>PROPER(TRIM(K880))</f>
        <v>Home</v>
      </c>
      <c r="M880" t="s">
        <v>55</v>
      </c>
      <c r="N880" t="str">
        <f>PROPER(TRIM(M880))</f>
        <v>Chair</v>
      </c>
      <c r="O880">
        <v>163.41</v>
      </c>
      <c r="P880">
        <v>10</v>
      </c>
      <c r="Q880">
        <f>IF(P880&lt;1, 1, P880)</f>
        <v>10</v>
      </c>
      <c r="R880">
        <v>5</v>
      </c>
      <c r="S880" t="str">
        <f>IF(OR(R880&lt;0,R880&gt;100),"invalid","Valid")</f>
        <v>Valid</v>
      </c>
      <c r="T880" t="s">
        <v>77</v>
      </c>
      <c r="U880" t="str">
        <f>PROPER(TRIM(T880))</f>
        <v>Cash</v>
      </c>
      <c r="V880" t="s">
        <v>91</v>
      </c>
      <c r="W880" t="str">
        <f t="shared" si="26"/>
        <v>Ben</v>
      </c>
      <c r="X880" t="s">
        <v>26</v>
      </c>
      <c r="Y880">
        <v>5</v>
      </c>
      <c r="Z880" t="str">
        <f>IF(D880="", "Missing", "ok")</f>
        <v>ok</v>
      </c>
      <c r="AA880">
        <f t="shared" si="27"/>
        <v>1552.3949999999998</v>
      </c>
    </row>
    <row r="881" spans="1:27" x14ac:dyDescent="0.25">
      <c r="A881" t="s">
        <v>2295</v>
      </c>
      <c r="B881" s="1" t="s">
        <v>1932</v>
      </c>
      <c r="C881" t="s">
        <v>2296</v>
      </c>
      <c r="E881" t="str">
        <f>PROPER(TRIM(D881))</f>
        <v/>
      </c>
      <c r="F881" t="s">
        <v>20</v>
      </c>
      <c r="G881">
        <v>8</v>
      </c>
      <c r="H881" t="str">
        <f>IF(AND(G881&gt;18, G881&lt;65), "Valid", "Invalid")</f>
        <v>Invalid</v>
      </c>
      <c r="I881" t="s">
        <v>86</v>
      </c>
      <c r="J881" t="str">
        <f>PROPER(TRIM(I881))</f>
        <v>Kano</v>
      </c>
      <c r="K881" t="s">
        <v>31</v>
      </c>
      <c r="L881" t="str">
        <f>PROPER(TRIM(K881))</f>
        <v>Sports</v>
      </c>
      <c r="M881" t="s">
        <v>32</v>
      </c>
      <c r="N881" t="str">
        <f>PROPER(TRIM(M881))</f>
        <v>Ball</v>
      </c>
      <c r="O881">
        <v>488.69</v>
      </c>
      <c r="P881">
        <v>-2</v>
      </c>
      <c r="Q881">
        <f>IF(P881&lt;1, 1, P881)</f>
        <v>1</v>
      </c>
      <c r="R881">
        <v>120</v>
      </c>
      <c r="S881" t="str">
        <f>IF(OR(R881&lt;0,R881&gt;100),"invalid","Valid")</f>
        <v>invalid</v>
      </c>
      <c r="T881" t="s">
        <v>64</v>
      </c>
      <c r="U881" t="str">
        <f>PROPER(TRIM(T881))</f>
        <v>Transfer</v>
      </c>
      <c r="V881" t="s">
        <v>81</v>
      </c>
      <c r="W881" t="str">
        <f t="shared" si="26"/>
        <v>Ada</v>
      </c>
      <c r="X881" t="s">
        <v>82</v>
      </c>
      <c r="Y881">
        <v>4</v>
      </c>
      <c r="Z881" t="str">
        <f>IF(D881="", "Missing", "ok")</f>
        <v>Missing</v>
      </c>
      <c r="AA881">
        <f t="shared" si="27"/>
        <v>-97.737999999999971</v>
      </c>
    </row>
    <row r="882" spans="1:27" x14ac:dyDescent="0.25">
      <c r="A882" t="s">
        <v>2297</v>
      </c>
      <c r="B882" s="1" t="s">
        <v>662</v>
      </c>
      <c r="C882" t="s">
        <v>1924</v>
      </c>
      <c r="D882" t="s">
        <v>45</v>
      </c>
      <c r="E882" t="str">
        <f>PROPER(TRIM(D882))</f>
        <v>James</v>
      </c>
      <c r="F882" t="s">
        <v>46</v>
      </c>
      <c r="G882">
        <v>31</v>
      </c>
      <c r="H882" t="str">
        <f>IF(AND(G882&gt;18, G882&lt;65), "Valid", "Invalid")</f>
        <v>Valid</v>
      </c>
      <c r="I882" t="s">
        <v>86</v>
      </c>
      <c r="J882" t="str">
        <f>PROPER(TRIM(I882))</f>
        <v>Kano</v>
      </c>
      <c r="K882" t="s">
        <v>39</v>
      </c>
      <c r="L882" t="str">
        <f>PROPER(TRIM(K882))</f>
        <v>Electronics</v>
      </c>
      <c r="M882" t="s">
        <v>40</v>
      </c>
      <c r="N882" t="str">
        <f>PROPER(TRIM(M882))</f>
        <v>Phone</v>
      </c>
      <c r="O882">
        <v>484.79</v>
      </c>
      <c r="P882">
        <v>-2</v>
      </c>
      <c r="Q882">
        <f>IF(P882&lt;1, 1, P882)</f>
        <v>1</v>
      </c>
      <c r="R882">
        <v>15</v>
      </c>
      <c r="S882" t="str">
        <f>IF(OR(R882&lt;0,R882&gt;100),"invalid","Valid")</f>
        <v>Valid</v>
      </c>
      <c r="T882" t="s">
        <v>64</v>
      </c>
      <c r="U882" t="str">
        <f>PROPER(TRIM(T882))</f>
        <v>Transfer</v>
      </c>
      <c r="V882" t="s">
        <v>91</v>
      </c>
      <c r="W882" t="str">
        <f t="shared" si="26"/>
        <v>Ben</v>
      </c>
      <c r="X882" t="s">
        <v>65</v>
      </c>
      <c r="Z882" t="str">
        <f>IF(D882="", "Missing", "ok")</f>
        <v>ok</v>
      </c>
      <c r="AA882">
        <f t="shared" si="27"/>
        <v>412.07150000000001</v>
      </c>
    </row>
    <row r="883" spans="1:27" x14ac:dyDescent="0.25">
      <c r="A883" t="s">
        <v>2298</v>
      </c>
      <c r="B883" s="1" t="s">
        <v>708</v>
      </c>
      <c r="C883" t="s">
        <v>2299</v>
      </c>
      <c r="D883" t="s">
        <v>69</v>
      </c>
      <c r="E883" t="str">
        <f>PROPER(TRIM(D883))</f>
        <v>Mary</v>
      </c>
      <c r="F883" t="s">
        <v>46</v>
      </c>
      <c r="G883">
        <v>37</v>
      </c>
      <c r="H883" t="str">
        <f>IF(AND(G883&gt;18, G883&lt;65), "Valid", "Invalid")</f>
        <v>Valid</v>
      </c>
      <c r="I883" t="s">
        <v>70</v>
      </c>
      <c r="J883" t="str">
        <f>PROPER(TRIM(I883))</f>
        <v>Abuja</v>
      </c>
      <c r="K883" t="s">
        <v>121</v>
      </c>
      <c r="L883" t="str">
        <f>PROPER(TRIM(K883))</f>
        <v>Beauty</v>
      </c>
      <c r="M883" t="s">
        <v>122</v>
      </c>
      <c r="N883" t="str">
        <f>PROPER(TRIM(M883))</f>
        <v>Cream</v>
      </c>
      <c r="O883">
        <v>368.49</v>
      </c>
      <c r="P883">
        <v>-2</v>
      </c>
      <c r="Q883">
        <f>IF(P883&lt;1, 1, P883)</f>
        <v>1</v>
      </c>
      <c r="R883">
        <v>10</v>
      </c>
      <c r="S883" t="str">
        <f>IF(OR(R883&lt;0,R883&gt;100),"invalid","Valid")</f>
        <v>Valid</v>
      </c>
      <c r="T883" t="s">
        <v>64</v>
      </c>
      <c r="U883" t="str">
        <f>PROPER(TRIM(T883))</f>
        <v>Transfer</v>
      </c>
      <c r="V883" t="s">
        <v>25</v>
      </c>
      <c r="W883" t="str">
        <f t="shared" si="26"/>
        <v>Dan</v>
      </c>
      <c r="X883" t="s">
        <v>26</v>
      </c>
      <c r="Y883">
        <v>5</v>
      </c>
      <c r="Z883" t="str">
        <f>IF(D883="", "Missing", "ok")</f>
        <v>ok</v>
      </c>
      <c r="AA883">
        <f t="shared" si="27"/>
        <v>331.64100000000002</v>
      </c>
    </row>
    <row r="884" spans="1:27" x14ac:dyDescent="0.25">
      <c r="A884" t="s">
        <v>2300</v>
      </c>
      <c r="B884" s="1" t="s">
        <v>1020</v>
      </c>
      <c r="C884" t="s">
        <v>2301</v>
      </c>
      <c r="D884" t="s">
        <v>117</v>
      </c>
      <c r="E884" t="str">
        <f>PROPER(TRIM(D884))</f>
        <v>David</v>
      </c>
      <c r="F884" t="s">
        <v>46</v>
      </c>
      <c r="G884">
        <v>48</v>
      </c>
      <c r="H884" t="str">
        <f>IF(AND(G884&gt;18, G884&lt;65), "Valid", "Invalid")</f>
        <v>Valid</v>
      </c>
      <c r="I884" t="s">
        <v>38</v>
      </c>
      <c r="J884" t="str">
        <f>PROPER(TRIM(I884))</f>
        <v>Ph</v>
      </c>
      <c r="K884" t="s">
        <v>87</v>
      </c>
      <c r="L884" t="str">
        <f>PROPER(TRIM(K884))</f>
        <v>Groceris</v>
      </c>
      <c r="M884" t="s">
        <v>49</v>
      </c>
      <c r="N884" t="str">
        <f>PROPER(TRIM(M884))</f>
        <v>Rice</v>
      </c>
      <c r="O884">
        <v>73.61</v>
      </c>
      <c r="P884">
        <v>-2</v>
      </c>
      <c r="Q884">
        <f>IF(P884&lt;1, 1, P884)</f>
        <v>1</v>
      </c>
      <c r="R884">
        <v>120</v>
      </c>
      <c r="S884" t="str">
        <f>IF(OR(R884&lt;0,R884&gt;100),"invalid","Valid")</f>
        <v>invalid</v>
      </c>
      <c r="U884" t="str">
        <f>PROPER(TRIM(T884))</f>
        <v/>
      </c>
      <c r="V884" t="s">
        <v>41</v>
      </c>
      <c r="W884" t="str">
        <f t="shared" si="26"/>
        <v>Chi</v>
      </c>
      <c r="X884" t="s">
        <v>33</v>
      </c>
      <c r="Y884">
        <v>4</v>
      </c>
      <c r="Z884" t="str">
        <f>IF(D884="", "Missing", "ok")</f>
        <v>ok</v>
      </c>
      <c r="AA884">
        <f t="shared" si="27"/>
        <v>-14.721999999999996</v>
      </c>
    </row>
    <row r="885" spans="1:27" x14ac:dyDescent="0.25">
      <c r="A885" t="s">
        <v>2302</v>
      </c>
      <c r="B885" s="1" t="s">
        <v>127</v>
      </c>
      <c r="C885" t="s">
        <v>2303</v>
      </c>
      <c r="D885" t="s">
        <v>69</v>
      </c>
      <c r="E885" t="str">
        <f>PROPER(TRIM(D885))</f>
        <v>Mary</v>
      </c>
      <c r="F885" t="s">
        <v>20</v>
      </c>
      <c r="G885">
        <v>38</v>
      </c>
      <c r="H885" t="str">
        <f>IF(AND(G885&gt;18, G885&lt;65), "Valid", "Invalid")</f>
        <v>Valid</v>
      </c>
      <c r="I885" t="s">
        <v>21</v>
      </c>
      <c r="J885" t="str">
        <f>PROPER(TRIM(I885))</f>
        <v>Lagos</v>
      </c>
      <c r="K885" t="s">
        <v>48</v>
      </c>
      <c r="L885" t="str">
        <f>PROPER(TRIM(K885))</f>
        <v>Groceries</v>
      </c>
      <c r="M885" t="s">
        <v>49</v>
      </c>
      <c r="N885" t="str">
        <f>PROPER(TRIM(M885))</f>
        <v>Rice</v>
      </c>
      <c r="O885">
        <v>252.98</v>
      </c>
      <c r="P885">
        <v>4</v>
      </c>
      <c r="Q885">
        <f>IF(P885&lt;1, 1, P885)</f>
        <v>4</v>
      </c>
      <c r="R885">
        <v>120</v>
      </c>
      <c r="S885" t="str">
        <f>IF(OR(R885&lt;0,R885&gt;100),"invalid","Valid")</f>
        <v>invalid</v>
      </c>
      <c r="T885" t="s">
        <v>64</v>
      </c>
      <c r="U885" t="str">
        <f>PROPER(TRIM(T885))</f>
        <v>Transfer</v>
      </c>
      <c r="V885" t="s">
        <v>25</v>
      </c>
      <c r="W885" t="str">
        <f t="shared" si="26"/>
        <v>Dan</v>
      </c>
      <c r="X885" t="s">
        <v>65</v>
      </c>
      <c r="Y885">
        <v>4</v>
      </c>
      <c r="Z885" t="str">
        <f>IF(D885="", "Missing", "ok")</f>
        <v>ok</v>
      </c>
      <c r="AA885">
        <f t="shared" si="27"/>
        <v>-202.38399999999996</v>
      </c>
    </row>
    <row r="886" spans="1:27" x14ac:dyDescent="0.25">
      <c r="A886" t="s">
        <v>2304</v>
      </c>
      <c r="B886" s="1" t="s">
        <v>2305</v>
      </c>
      <c r="C886" t="s">
        <v>2306</v>
      </c>
      <c r="D886" t="s">
        <v>69</v>
      </c>
      <c r="E886" t="str">
        <f>PROPER(TRIM(D886))</f>
        <v>Mary</v>
      </c>
      <c r="F886" t="s">
        <v>20</v>
      </c>
      <c r="G886">
        <v>130</v>
      </c>
      <c r="H886" t="str">
        <f>IF(AND(G886&gt;18, G886&lt;65), "Valid", "Invalid")</f>
        <v>Invalid</v>
      </c>
      <c r="I886" t="s">
        <v>38</v>
      </c>
      <c r="J886" t="str">
        <f>PROPER(TRIM(I886))</f>
        <v>Ph</v>
      </c>
      <c r="K886" t="s">
        <v>39</v>
      </c>
      <c r="L886" t="str">
        <f>PROPER(TRIM(K886))</f>
        <v>Electronics</v>
      </c>
      <c r="M886" t="s">
        <v>40</v>
      </c>
      <c r="N886" t="str">
        <f>PROPER(TRIM(M886))</f>
        <v>Phone</v>
      </c>
      <c r="O886">
        <v>412.25</v>
      </c>
      <c r="P886">
        <v>7</v>
      </c>
      <c r="Q886">
        <f>IF(P886&lt;1, 1, P886)</f>
        <v>7</v>
      </c>
      <c r="R886">
        <v>120</v>
      </c>
      <c r="S886" t="str">
        <f>IF(OR(R886&lt;0,R886&gt;100),"invalid","Valid")</f>
        <v>invalid</v>
      </c>
      <c r="T886" t="s">
        <v>24</v>
      </c>
      <c r="U886" t="str">
        <f>PROPER(TRIM(T886))</f>
        <v>Pos</v>
      </c>
      <c r="V886" t="s">
        <v>81</v>
      </c>
      <c r="W886" t="str">
        <f t="shared" si="26"/>
        <v>Ada</v>
      </c>
      <c r="X886" t="s">
        <v>65</v>
      </c>
      <c r="Y886">
        <v>3</v>
      </c>
      <c r="Z886" t="str">
        <f>IF(D886="", "Missing", "ok")</f>
        <v>ok</v>
      </c>
      <c r="AA886">
        <f t="shared" si="27"/>
        <v>-577.14999999999986</v>
      </c>
    </row>
    <row r="887" spans="1:27" x14ac:dyDescent="0.25">
      <c r="A887" t="s">
        <v>2307</v>
      </c>
      <c r="B887" s="1" t="s">
        <v>852</v>
      </c>
      <c r="C887" t="s">
        <v>2308</v>
      </c>
      <c r="D887" t="s">
        <v>117</v>
      </c>
      <c r="E887" t="str">
        <f>PROPER(TRIM(D887))</f>
        <v>David</v>
      </c>
      <c r="F887" t="s">
        <v>20</v>
      </c>
      <c r="G887">
        <v>8</v>
      </c>
      <c r="H887" t="str">
        <f>IF(AND(G887&gt;18, G887&lt;65), "Valid", "Invalid")</f>
        <v>Invalid</v>
      </c>
      <c r="I887" t="s">
        <v>70</v>
      </c>
      <c r="J887" t="str">
        <f>PROPER(TRIM(I887))</f>
        <v>Abuja</v>
      </c>
      <c r="K887" t="s">
        <v>22</v>
      </c>
      <c r="L887" t="str">
        <f>PROPER(TRIM(K887))</f>
        <v>Fashion</v>
      </c>
      <c r="M887" t="s">
        <v>23</v>
      </c>
      <c r="N887" t="str">
        <f>PROPER(TRIM(M887))</f>
        <v>Shirt</v>
      </c>
      <c r="O887">
        <v>457.38</v>
      </c>
      <c r="P887">
        <v>10</v>
      </c>
      <c r="Q887">
        <f>IF(P887&lt;1, 1, P887)</f>
        <v>10</v>
      </c>
      <c r="R887">
        <v>5</v>
      </c>
      <c r="S887" t="str">
        <f>IF(OR(R887&lt;0,R887&gt;100),"invalid","Valid")</f>
        <v>Valid</v>
      </c>
      <c r="U887" t="str">
        <f>PROPER(TRIM(T887))</f>
        <v/>
      </c>
      <c r="V887" t="s">
        <v>81</v>
      </c>
      <c r="W887" t="str">
        <f t="shared" si="26"/>
        <v>Ada</v>
      </c>
      <c r="X887" t="s">
        <v>33</v>
      </c>
      <c r="Y887">
        <v>4</v>
      </c>
      <c r="Z887" t="str">
        <f>IF(D887="", "Missing", "ok")</f>
        <v>ok</v>
      </c>
      <c r="AA887">
        <f t="shared" si="27"/>
        <v>4345.1099999999997</v>
      </c>
    </row>
    <row r="888" spans="1:27" x14ac:dyDescent="0.25">
      <c r="A888" t="s">
        <v>2309</v>
      </c>
      <c r="B888" s="1" t="s">
        <v>517</v>
      </c>
      <c r="C888" t="s">
        <v>2310</v>
      </c>
      <c r="E888" t="str">
        <f>PROPER(TRIM(D888))</f>
        <v/>
      </c>
      <c r="F888" t="s">
        <v>46</v>
      </c>
      <c r="G888">
        <v>32</v>
      </c>
      <c r="H888" t="str">
        <f>IF(AND(G888&gt;18, G888&lt;65), "Valid", "Invalid")</f>
        <v>Valid</v>
      </c>
      <c r="I888" t="s">
        <v>70</v>
      </c>
      <c r="J888" t="str">
        <f>PROPER(TRIM(I888))</f>
        <v>Abuja</v>
      </c>
      <c r="K888" t="s">
        <v>121</v>
      </c>
      <c r="L888" t="str">
        <f>PROPER(TRIM(K888))</f>
        <v>Beauty</v>
      </c>
      <c r="M888" t="s">
        <v>122</v>
      </c>
      <c r="N888" t="str">
        <f>PROPER(TRIM(M888))</f>
        <v>Cream</v>
      </c>
      <c r="O888">
        <v>300.76</v>
      </c>
      <c r="P888">
        <v>8</v>
      </c>
      <c r="Q888">
        <f>IF(P888&lt;1, 1, P888)</f>
        <v>8</v>
      </c>
      <c r="R888">
        <v>-10</v>
      </c>
      <c r="S888" t="str">
        <f>IF(OR(R888&lt;0,R888&gt;100),"invalid","Valid")</f>
        <v>invalid</v>
      </c>
      <c r="T888" t="s">
        <v>77</v>
      </c>
      <c r="U888" t="str">
        <f>PROPER(TRIM(T888))</f>
        <v>Cash</v>
      </c>
      <c r="V888" t="s">
        <v>91</v>
      </c>
      <c r="W888" t="str">
        <f t="shared" si="26"/>
        <v>Ben</v>
      </c>
      <c r="X888" t="s">
        <v>33</v>
      </c>
      <c r="Y888">
        <v>4</v>
      </c>
      <c r="Z888" t="str">
        <f>IF(D888="", "Missing", "ok")</f>
        <v>Missing</v>
      </c>
      <c r="AA888">
        <f t="shared" si="27"/>
        <v>2646.6880000000001</v>
      </c>
    </row>
    <row r="889" spans="1:27" x14ac:dyDescent="0.25">
      <c r="A889" t="s">
        <v>2311</v>
      </c>
      <c r="B889" s="1" t="s">
        <v>1089</v>
      </c>
      <c r="C889" t="s">
        <v>2312</v>
      </c>
      <c r="E889" t="str">
        <f>PROPER(TRIM(D889))</f>
        <v/>
      </c>
      <c r="F889" t="s">
        <v>20</v>
      </c>
      <c r="G889">
        <v>8</v>
      </c>
      <c r="H889" t="str">
        <f>IF(AND(G889&gt;18, G889&lt;65), "Valid", "Invalid")</f>
        <v>Invalid</v>
      </c>
      <c r="I889" t="s">
        <v>53</v>
      </c>
      <c r="J889" t="str">
        <f>PROPER(TRIM(I889))</f>
        <v>Lagos</v>
      </c>
      <c r="K889" t="s">
        <v>54</v>
      </c>
      <c r="L889" t="str">
        <f>PROPER(TRIM(K889))</f>
        <v>Home</v>
      </c>
      <c r="M889" t="s">
        <v>55</v>
      </c>
      <c r="N889" t="str">
        <f>PROPER(TRIM(M889))</f>
        <v>Chair</v>
      </c>
      <c r="O889">
        <v>265.42</v>
      </c>
      <c r="P889">
        <v>-2</v>
      </c>
      <c r="Q889">
        <f>IF(P889&lt;1, 1, P889)</f>
        <v>1</v>
      </c>
      <c r="R889">
        <v>15</v>
      </c>
      <c r="S889" t="str">
        <f>IF(OR(R889&lt;0,R889&gt;100),"invalid","Valid")</f>
        <v>Valid</v>
      </c>
      <c r="T889" t="s">
        <v>77</v>
      </c>
      <c r="U889" t="str">
        <f>PROPER(TRIM(T889))</f>
        <v>Cash</v>
      </c>
      <c r="V889" t="s">
        <v>91</v>
      </c>
      <c r="W889" t="str">
        <f t="shared" si="26"/>
        <v>Ben</v>
      </c>
      <c r="X889" t="s">
        <v>26</v>
      </c>
      <c r="Y889">
        <v>1</v>
      </c>
      <c r="Z889" t="str">
        <f>IF(D889="", "Missing", "ok")</f>
        <v>Missing</v>
      </c>
      <c r="AA889">
        <f t="shared" si="27"/>
        <v>225.607</v>
      </c>
    </row>
    <row r="890" spans="1:27" x14ac:dyDescent="0.25">
      <c r="A890" t="s">
        <v>2313</v>
      </c>
      <c r="B890" s="1" t="s">
        <v>574</v>
      </c>
      <c r="C890" t="s">
        <v>2314</v>
      </c>
      <c r="D890" t="s">
        <v>45</v>
      </c>
      <c r="E890" t="str">
        <f>PROPER(TRIM(D890))</f>
        <v>James</v>
      </c>
      <c r="F890" t="s">
        <v>20</v>
      </c>
      <c r="G890">
        <v>130</v>
      </c>
      <c r="H890" t="str">
        <f>IF(AND(G890&gt;18, G890&lt;65), "Valid", "Invalid")</f>
        <v>Invalid</v>
      </c>
      <c r="I890" t="s">
        <v>47</v>
      </c>
      <c r="J890" t="str">
        <f>PROPER(TRIM(I890))</f>
        <v>Enugu</v>
      </c>
      <c r="K890" t="s">
        <v>31</v>
      </c>
      <c r="L890" t="str">
        <f>PROPER(TRIM(K890))</f>
        <v>Sports</v>
      </c>
      <c r="M890" t="s">
        <v>32</v>
      </c>
      <c r="N890" t="str">
        <f>PROPER(TRIM(M890))</f>
        <v>Ball</v>
      </c>
      <c r="O890">
        <v>379.14</v>
      </c>
      <c r="P890">
        <v>-2</v>
      </c>
      <c r="Q890">
        <f>IF(P890&lt;1, 1, P890)</f>
        <v>1</v>
      </c>
      <c r="R890">
        <v>120</v>
      </c>
      <c r="S890" t="str">
        <f>IF(OR(R890&lt;0,R890&gt;100),"invalid","Valid")</f>
        <v>invalid</v>
      </c>
      <c r="T890" t="s">
        <v>59</v>
      </c>
      <c r="U890" t="str">
        <f>PROPER(TRIM(T890))</f>
        <v>Mobile Money</v>
      </c>
      <c r="V890" t="s">
        <v>25</v>
      </c>
      <c r="W890" t="str">
        <f t="shared" si="26"/>
        <v>Dan</v>
      </c>
      <c r="X890" t="s">
        <v>82</v>
      </c>
      <c r="Y890">
        <v>5</v>
      </c>
      <c r="Z890" t="str">
        <f>IF(D890="", "Missing", "ok")</f>
        <v>ok</v>
      </c>
      <c r="AA890">
        <f t="shared" si="27"/>
        <v>-75.827999999999975</v>
      </c>
    </row>
    <row r="891" spans="1:27" x14ac:dyDescent="0.25">
      <c r="A891" t="s">
        <v>2315</v>
      </c>
      <c r="B891" s="1" t="s">
        <v>1324</v>
      </c>
      <c r="C891" t="s">
        <v>2316</v>
      </c>
      <c r="D891" t="s">
        <v>101</v>
      </c>
      <c r="E891" t="str">
        <f>PROPER(TRIM(D891))</f>
        <v>Grace</v>
      </c>
      <c r="F891" t="s">
        <v>20</v>
      </c>
      <c r="G891">
        <v>21</v>
      </c>
      <c r="H891" t="str">
        <f>IF(AND(G891&gt;18, G891&lt;65), "Valid", "Invalid")</f>
        <v>Valid</v>
      </c>
      <c r="I891" t="s">
        <v>86</v>
      </c>
      <c r="J891" t="str">
        <f>PROPER(TRIM(I891))</f>
        <v>Kano</v>
      </c>
      <c r="K891" t="s">
        <v>48</v>
      </c>
      <c r="L891" t="str">
        <f>PROPER(TRIM(K891))</f>
        <v>Groceries</v>
      </c>
      <c r="M891" t="s">
        <v>49</v>
      </c>
      <c r="N891" t="str">
        <f>PROPER(TRIM(M891))</f>
        <v>Rice</v>
      </c>
      <c r="O891">
        <v>30.87</v>
      </c>
      <c r="P891">
        <v>8</v>
      </c>
      <c r="Q891">
        <f>IF(P891&lt;1, 1, P891)</f>
        <v>8</v>
      </c>
      <c r="R891">
        <v>10</v>
      </c>
      <c r="S891" t="str">
        <f>IF(OR(R891&lt;0,R891&gt;100),"invalid","Valid")</f>
        <v>Valid</v>
      </c>
      <c r="T891" t="s">
        <v>24</v>
      </c>
      <c r="U891" t="str">
        <f>PROPER(TRIM(T891))</f>
        <v>Pos</v>
      </c>
      <c r="V891" t="s">
        <v>41</v>
      </c>
      <c r="W891" t="str">
        <f t="shared" si="26"/>
        <v>Chi</v>
      </c>
      <c r="X891" t="s">
        <v>82</v>
      </c>
      <c r="Y891">
        <v>2</v>
      </c>
      <c r="Z891" t="str">
        <f>IF(D891="", "Missing", "ok")</f>
        <v>ok</v>
      </c>
      <c r="AA891">
        <f t="shared" si="27"/>
        <v>222.26400000000001</v>
      </c>
    </row>
    <row r="892" spans="1:27" x14ac:dyDescent="0.25">
      <c r="A892" t="s">
        <v>2317</v>
      </c>
      <c r="B892" s="1" t="s">
        <v>389</v>
      </c>
      <c r="C892" t="s">
        <v>2318</v>
      </c>
      <c r="D892" t="s">
        <v>101</v>
      </c>
      <c r="E892" t="str">
        <f>PROPER(TRIM(D892))</f>
        <v>Grace</v>
      </c>
      <c r="F892" t="s">
        <v>46</v>
      </c>
      <c r="G892">
        <v>63</v>
      </c>
      <c r="H892" t="str">
        <f>IF(AND(G892&gt;18, G892&lt;65), "Valid", "Invalid")</f>
        <v>Valid</v>
      </c>
      <c r="I892" t="s">
        <v>53</v>
      </c>
      <c r="J892" t="str">
        <f>PROPER(TRIM(I892))</f>
        <v>Lagos</v>
      </c>
      <c r="K892" t="s">
        <v>31</v>
      </c>
      <c r="L892" t="str">
        <f>PROPER(TRIM(K892))</f>
        <v>Sports</v>
      </c>
      <c r="M892" t="s">
        <v>32</v>
      </c>
      <c r="N892" t="str">
        <f>PROPER(TRIM(M892))</f>
        <v>Ball</v>
      </c>
      <c r="O892">
        <v>291.66000000000003</v>
      </c>
      <c r="P892">
        <v>4</v>
      </c>
      <c r="Q892">
        <f>IF(P892&lt;1, 1, P892)</f>
        <v>4</v>
      </c>
      <c r="R892">
        <v>0</v>
      </c>
      <c r="S892" t="str">
        <f>IF(OR(R892&lt;0,R892&gt;100),"invalid","Valid")</f>
        <v>Valid</v>
      </c>
      <c r="T892" t="s">
        <v>64</v>
      </c>
      <c r="U892" t="str">
        <f>PROPER(TRIM(T892))</f>
        <v>Transfer</v>
      </c>
      <c r="V892" t="s">
        <v>41</v>
      </c>
      <c r="W892" t="str">
        <f t="shared" si="26"/>
        <v>Chi</v>
      </c>
      <c r="X892" t="s">
        <v>65</v>
      </c>
      <c r="Y892">
        <v>2</v>
      </c>
      <c r="Z892" t="str">
        <f>IF(D892="", "Missing", "ok")</f>
        <v>ok</v>
      </c>
      <c r="AA892">
        <f t="shared" si="27"/>
        <v>1166.6400000000001</v>
      </c>
    </row>
    <row r="893" spans="1:27" x14ac:dyDescent="0.25">
      <c r="A893" t="s">
        <v>2319</v>
      </c>
      <c r="B893" s="1" t="s">
        <v>2290</v>
      </c>
      <c r="C893" t="s">
        <v>2320</v>
      </c>
      <c r="D893" t="s">
        <v>19</v>
      </c>
      <c r="E893" t="str">
        <f>PROPER(TRIM(D893))</f>
        <v>Peter</v>
      </c>
      <c r="F893" t="s">
        <v>20</v>
      </c>
      <c r="G893">
        <v>130</v>
      </c>
      <c r="H893" t="str">
        <f>IF(AND(G893&gt;18, G893&lt;65), "Valid", "Invalid")</f>
        <v>Invalid</v>
      </c>
      <c r="I893" t="s">
        <v>47</v>
      </c>
      <c r="J893" t="str">
        <f>PROPER(TRIM(I893))</f>
        <v>Enugu</v>
      </c>
      <c r="K893" t="s">
        <v>31</v>
      </c>
      <c r="L893" t="str">
        <f>PROPER(TRIM(K893))</f>
        <v>Sports</v>
      </c>
      <c r="M893" t="s">
        <v>32</v>
      </c>
      <c r="N893" t="str">
        <f>PROPER(TRIM(M893))</f>
        <v>Ball</v>
      </c>
      <c r="O893">
        <v>289.5</v>
      </c>
      <c r="P893">
        <v>-2</v>
      </c>
      <c r="Q893">
        <f>IF(P893&lt;1, 1, P893)</f>
        <v>1</v>
      </c>
      <c r="R893">
        <v>10</v>
      </c>
      <c r="S893" t="str">
        <f>IF(OR(R893&lt;0,R893&gt;100),"invalid","Valid")</f>
        <v>Valid</v>
      </c>
      <c r="T893" t="s">
        <v>64</v>
      </c>
      <c r="U893" t="str">
        <f>PROPER(TRIM(T893))</f>
        <v>Transfer</v>
      </c>
      <c r="V893" t="s">
        <v>81</v>
      </c>
      <c r="W893" t="str">
        <f t="shared" si="26"/>
        <v>Ada</v>
      </c>
      <c r="X893" t="s">
        <v>82</v>
      </c>
      <c r="Y893">
        <v>3</v>
      </c>
      <c r="Z893" t="str">
        <f>IF(D893="", "Missing", "ok")</f>
        <v>ok</v>
      </c>
      <c r="AA893">
        <f t="shared" si="27"/>
        <v>260.55</v>
      </c>
    </row>
    <row r="894" spans="1:27" x14ac:dyDescent="0.25">
      <c r="A894" t="s">
        <v>2321</v>
      </c>
      <c r="B894" s="1" t="s">
        <v>682</v>
      </c>
      <c r="C894" t="s">
        <v>2322</v>
      </c>
      <c r="D894" t="s">
        <v>63</v>
      </c>
      <c r="E894" t="str">
        <f>PROPER(TRIM(D894))</f>
        <v>John</v>
      </c>
      <c r="F894" t="s">
        <v>46</v>
      </c>
      <c r="G894">
        <v>130</v>
      </c>
      <c r="H894" t="str">
        <f>IF(AND(G894&gt;18, G894&lt;65), "Valid", "Invalid")</f>
        <v>Invalid</v>
      </c>
      <c r="I894" t="s">
        <v>53</v>
      </c>
      <c r="J894" t="str">
        <f>PROPER(TRIM(I894))</f>
        <v>Lagos</v>
      </c>
      <c r="K894" t="s">
        <v>48</v>
      </c>
      <c r="L894" t="str">
        <f>PROPER(TRIM(K894))</f>
        <v>Groceries</v>
      </c>
      <c r="M894" t="s">
        <v>49</v>
      </c>
      <c r="N894" t="str">
        <f>PROPER(TRIM(M894))</f>
        <v>Rice</v>
      </c>
      <c r="O894">
        <v>207.67</v>
      </c>
      <c r="P894">
        <v>-2</v>
      </c>
      <c r="Q894">
        <f>IF(P894&lt;1, 1, P894)</f>
        <v>1</v>
      </c>
      <c r="R894">
        <v>0</v>
      </c>
      <c r="S894" t="str">
        <f>IF(OR(R894&lt;0,R894&gt;100),"invalid","Valid")</f>
        <v>Valid</v>
      </c>
      <c r="T894" t="s">
        <v>24</v>
      </c>
      <c r="U894" t="str">
        <f>PROPER(TRIM(T894))</f>
        <v>Pos</v>
      </c>
      <c r="V894" t="s">
        <v>25</v>
      </c>
      <c r="W894" t="str">
        <f t="shared" si="26"/>
        <v>Dan</v>
      </c>
      <c r="X894" t="s">
        <v>65</v>
      </c>
      <c r="Y894">
        <v>3</v>
      </c>
      <c r="Z894" t="str">
        <f>IF(D894="", "Missing", "ok")</f>
        <v>ok</v>
      </c>
      <c r="AA894">
        <f t="shared" si="27"/>
        <v>207.67</v>
      </c>
    </row>
    <row r="895" spans="1:27" x14ac:dyDescent="0.25">
      <c r="A895" t="s">
        <v>2323</v>
      </c>
      <c r="B895" s="1" t="s">
        <v>810</v>
      </c>
      <c r="C895" t="s">
        <v>2324</v>
      </c>
      <c r="D895" t="s">
        <v>69</v>
      </c>
      <c r="E895" t="str">
        <f>PROPER(TRIM(D895))</f>
        <v>Mary</v>
      </c>
      <c r="F895" t="s">
        <v>20</v>
      </c>
      <c r="G895">
        <v>8</v>
      </c>
      <c r="H895" t="str">
        <f>IF(AND(G895&gt;18, G895&lt;65), "Valid", "Invalid")</f>
        <v>Invalid</v>
      </c>
      <c r="I895" t="s">
        <v>70</v>
      </c>
      <c r="J895" t="str">
        <f>PROPER(TRIM(I895))</f>
        <v>Abuja</v>
      </c>
      <c r="K895" t="s">
        <v>54</v>
      </c>
      <c r="L895" t="str">
        <f>PROPER(TRIM(K895))</f>
        <v>Home</v>
      </c>
      <c r="M895" t="s">
        <v>55</v>
      </c>
      <c r="N895" t="str">
        <f>PROPER(TRIM(M895))</f>
        <v>Chair</v>
      </c>
      <c r="O895">
        <v>476.52</v>
      </c>
      <c r="P895">
        <v>-2</v>
      </c>
      <c r="Q895">
        <f>IF(P895&lt;1, 1, P895)</f>
        <v>1</v>
      </c>
      <c r="R895">
        <v>10</v>
      </c>
      <c r="S895" t="str">
        <f>IF(OR(R895&lt;0,R895&gt;100),"invalid","Valid")</f>
        <v>Valid</v>
      </c>
      <c r="T895" t="s">
        <v>24</v>
      </c>
      <c r="U895" t="str">
        <f>PROPER(TRIM(T895))</f>
        <v>Pos</v>
      </c>
      <c r="V895" t="s">
        <v>25</v>
      </c>
      <c r="W895" t="str">
        <f t="shared" si="26"/>
        <v>Dan</v>
      </c>
      <c r="X895" t="s">
        <v>65</v>
      </c>
      <c r="Y895">
        <v>3</v>
      </c>
      <c r="Z895" t="str">
        <f>IF(D895="", "Missing", "ok")</f>
        <v>ok</v>
      </c>
      <c r="AA895">
        <f t="shared" si="27"/>
        <v>428.86799999999999</v>
      </c>
    </row>
    <row r="896" spans="1:27" x14ac:dyDescent="0.25">
      <c r="A896" t="s">
        <v>2325</v>
      </c>
      <c r="B896" s="1" t="s">
        <v>303</v>
      </c>
      <c r="C896" t="s">
        <v>2326</v>
      </c>
      <c r="D896" t="s">
        <v>19</v>
      </c>
      <c r="E896" t="str">
        <f>PROPER(TRIM(D896))</f>
        <v>Peter</v>
      </c>
      <c r="F896" t="s">
        <v>20</v>
      </c>
      <c r="G896">
        <v>8</v>
      </c>
      <c r="H896" t="str">
        <f>IF(AND(G896&gt;18, G896&lt;65), "Valid", "Invalid")</f>
        <v>Invalid</v>
      </c>
      <c r="I896" t="s">
        <v>30</v>
      </c>
      <c r="J896" t="str">
        <f>PROPER(TRIM(I896))</f>
        <v>Lagos</v>
      </c>
      <c r="K896" t="s">
        <v>39</v>
      </c>
      <c r="L896" t="str">
        <f>PROPER(TRIM(K896))</f>
        <v>Electronics</v>
      </c>
      <c r="M896" t="s">
        <v>40</v>
      </c>
      <c r="N896" t="str">
        <f>PROPER(TRIM(M896))</f>
        <v>Phone</v>
      </c>
      <c r="O896">
        <v>228.11</v>
      </c>
      <c r="P896">
        <v>-2</v>
      </c>
      <c r="Q896">
        <f>IF(P896&lt;1, 1, P896)</f>
        <v>1</v>
      </c>
      <c r="R896">
        <v>15</v>
      </c>
      <c r="S896" t="str">
        <f>IF(OR(R896&lt;0,R896&gt;100),"invalid","Valid")</f>
        <v>Valid</v>
      </c>
      <c r="T896" t="s">
        <v>59</v>
      </c>
      <c r="U896" t="str">
        <f>PROPER(TRIM(T896))</f>
        <v>Mobile Money</v>
      </c>
      <c r="V896" t="s">
        <v>81</v>
      </c>
      <c r="W896" t="str">
        <f t="shared" si="26"/>
        <v>Ada</v>
      </c>
      <c r="X896" t="s">
        <v>33</v>
      </c>
      <c r="Y896">
        <v>5</v>
      </c>
      <c r="Z896" t="str">
        <f>IF(D896="", "Missing", "ok")</f>
        <v>ok</v>
      </c>
      <c r="AA896">
        <f t="shared" si="27"/>
        <v>193.89350000000002</v>
      </c>
    </row>
    <row r="897" spans="1:27" x14ac:dyDescent="0.25">
      <c r="A897" t="s">
        <v>2327</v>
      </c>
      <c r="B897" s="1" t="s">
        <v>2328</v>
      </c>
      <c r="C897" t="s">
        <v>2329</v>
      </c>
      <c r="D897" t="s">
        <v>37</v>
      </c>
      <c r="E897" t="str">
        <f>PROPER(TRIM(D897))</f>
        <v>Aisha</v>
      </c>
      <c r="F897" t="s">
        <v>20</v>
      </c>
      <c r="G897">
        <v>130</v>
      </c>
      <c r="H897" t="str">
        <f>IF(AND(G897&gt;18, G897&lt;65), "Valid", "Invalid")</f>
        <v>Invalid</v>
      </c>
      <c r="I897" t="s">
        <v>70</v>
      </c>
      <c r="J897" t="str">
        <f>PROPER(TRIM(I897))</f>
        <v>Abuja</v>
      </c>
      <c r="K897" t="s">
        <v>121</v>
      </c>
      <c r="L897" t="str">
        <f>PROPER(TRIM(K897))</f>
        <v>Beauty</v>
      </c>
      <c r="M897" t="s">
        <v>122</v>
      </c>
      <c r="N897" t="str">
        <f>PROPER(TRIM(M897))</f>
        <v>Cream</v>
      </c>
      <c r="O897">
        <v>246.57</v>
      </c>
      <c r="P897">
        <v>-2</v>
      </c>
      <c r="Q897">
        <f>IF(P897&lt;1, 1, P897)</f>
        <v>1</v>
      </c>
      <c r="R897">
        <v>-10</v>
      </c>
      <c r="S897" t="str">
        <f>IF(OR(R897&lt;0,R897&gt;100),"invalid","Valid")</f>
        <v>invalid</v>
      </c>
      <c r="T897" t="s">
        <v>64</v>
      </c>
      <c r="U897" t="str">
        <f>PROPER(TRIM(T897))</f>
        <v>Transfer</v>
      </c>
      <c r="V897" t="s">
        <v>81</v>
      </c>
      <c r="W897" t="str">
        <f t="shared" si="26"/>
        <v>Ada</v>
      </c>
      <c r="X897" t="s">
        <v>33</v>
      </c>
      <c r="Z897" t="str">
        <f>IF(D897="", "Missing", "ok")</f>
        <v>ok</v>
      </c>
      <c r="AA897">
        <f t="shared" si="27"/>
        <v>271.22700000000003</v>
      </c>
    </row>
    <row r="898" spans="1:27" x14ac:dyDescent="0.25">
      <c r="A898" t="s">
        <v>2330</v>
      </c>
      <c r="B898" s="1" t="s">
        <v>421</v>
      </c>
      <c r="C898" t="s">
        <v>2331</v>
      </c>
      <c r="D898" t="s">
        <v>101</v>
      </c>
      <c r="E898" t="str">
        <f>PROPER(TRIM(D898))</f>
        <v>Grace</v>
      </c>
      <c r="F898" t="s">
        <v>46</v>
      </c>
      <c r="G898">
        <v>8</v>
      </c>
      <c r="H898" t="str">
        <f>IF(AND(G898&gt;18, G898&lt;65), "Valid", "Invalid")</f>
        <v>Invalid</v>
      </c>
      <c r="I898" t="s">
        <v>47</v>
      </c>
      <c r="J898" t="str">
        <f>PROPER(TRIM(I898))</f>
        <v>Enugu</v>
      </c>
      <c r="K898" t="s">
        <v>121</v>
      </c>
      <c r="L898" t="str">
        <f>PROPER(TRIM(K898))</f>
        <v>Beauty</v>
      </c>
      <c r="M898" t="s">
        <v>122</v>
      </c>
      <c r="N898" t="str">
        <f>PROPER(TRIM(M898))</f>
        <v>Cream</v>
      </c>
      <c r="O898">
        <v>402.6</v>
      </c>
      <c r="P898">
        <v>-2</v>
      </c>
      <c r="Q898">
        <f>IF(P898&lt;1, 1, P898)</f>
        <v>1</v>
      </c>
      <c r="R898">
        <v>-10</v>
      </c>
      <c r="S898" t="str">
        <f>IF(OR(R898&lt;0,R898&gt;100),"invalid","Valid")</f>
        <v>invalid</v>
      </c>
      <c r="U898" t="str">
        <f>PROPER(TRIM(T898))</f>
        <v/>
      </c>
      <c r="V898" t="s">
        <v>91</v>
      </c>
      <c r="W898" t="str">
        <f t="shared" ref="W898:W961" si="28">PROPER(TRIM(V898))</f>
        <v>Ben</v>
      </c>
      <c r="X898" t="s">
        <v>26</v>
      </c>
      <c r="Y898">
        <v>4</v>
      </c>
      <c r="Z898" t="str">
        <f>IF(D898="", "Missing", "ok")</f>
        <v>ok</v>
      </c>
      <c r="AA898">
        <f t="shared" si="27"/>
        <v>442.86000000000007</v>
      </c>
    </row>
    <row r="899" spans="1:27" x14ac:dyDescent="0.25">
      <c r="A899" t="s">
        <v>2332</v>
      </c>
      <c r="B899" s="1" t="s">
        <v>2333</v>
      </c>
      <c r="C899" t="s">
        <v>2334</v>
      </c>
      <c r="D899" t="s">
        <v>63</v>
      </c>
      <c r="E899" t="str">
        <f>PROPER(TRIM(D899))</f>
        <v>John</v>
      </c>
      <c r="F899" t="s">
        <v>46</v>
      </c>
      <c r="G899">
        <v>130</v>
      </c>
      <c r="H899" t="str">
        <f>IF(AND(G899&gt;18, G899&lt;65), "Valid", "Invalid")</f>
        <v>Invalid</v>
      </c>
      <c r="I899" t="s">
        <v>53</v>
      </c>
      <c r="J899" t="str">
        <f>PROPER(TRIM(I899))</f>
        <v>Lagos</v>
      </c>
      <c r="K899" t="s">
        <v>48</v>
      </c>
      <c r="L899" t="str">
        <f>PROPER(TRIM(K899))</f>
        <v>Groceries</v>
      </c>
      <c r="M899" t="s">
        <v>49</v>
      </c>
      <c r="N899" t="str">
        <f>PROPER(TRIM(M899))</f>
        <v>Rice</v>
      </c>
      <c r="O899">
        <v>216.79</v>
      </c>
      <c r="P899">
        <v>9</v>
      </c>
      <c r="Q899">
        <f>IF(P899&lt;1, 1, P899)</f>
        <v>9</v>
      </c>
      <c r="R899">
        <v>120</v>
      </c>
      <c r="S899" t="str">
        <f>IF(OR(R899&lt;0,R899&gt;100),"invalid","Valid")</f>
        <v>invalid</v>
      </c>
      <c r="T899" t="s">
        <v>59</v>
      </c>
      <c r="U899" t="str">
        <f>PROPER(TRIM(T899))</f>
        <v>Mobile Money</v>
      </c>
      <c r="V899" t="s">
        <v>81</v>
      </c>
      <c r="W899" t="str">
        <f t="shared" si="28"/>
        <v>Ada</v>
      </c>
      <c r="X899" t="s">
        <v>65</v>
      </c>
      <c r="Y899">
        <v>5</v>
      </c>
      <c r="Z899" t="str">
        <f>IF(D899="", "Missing", "ok")</f>
        <v>ok</v>
      </c>
      <c r="AA899">
        <f t="shared" ref="AA899:AA962" si="29">(O899*Q899)*(1-R899/100)</f>
        <v>-390.22199999999987</v>
      </c>
    </row>
    <row r="900" spans="1:27" x14ac:dyDescent="0.25">
      <c r="A900" t="s">
        <v>2335</v>
      </c>
      <c r="B900" s="1" t="s">
        <v>2336</v>
      </c>
      <c r="C900" t="s">
        <v>2337</v>
      </c>
      <c r="D900" t="s">
        <v>69</v>
      </c>
      <c r="E900" t="str">
        <f>PROPER(TRIM(D900))</f>
        <v>Mary</v>
      </c>
      <c r="F900" t="s">
        <v>46</v>
      </c>
      <c r="G900">
        <v>50</v>
      </c>
      <c r="H900" t="str">
        <f>IF(AND(G900&gt;18, G900&lt;65), "Valid", "Invalid")</f>
        <v>Valid</v>
      </c>
      <c r="I900" t="s">
        <v>86</v>
      </c>
      <c r="J900" t="str">
        <f>PROPER(TRIM(I900))</f>
        <v>Kano</v>
      </c>
      <c r="K900" t="s">
        <v>39</v>
      </c>
      <c r="L900" t="str">
        <f>PROPER(TRIM(K900))</f>
        <v>Electronics</v>
      </c>
      <c r="M900" t="s">
        <v>40</v>
      </c>
      <c r="N900" t="str">
        <f>PROPER(TRIM(M900))</f>
        <v>Phone</v>
      </c>
      <c r="O900">
        <v>395.76</v>
      </c>
      <c r="P900">
        <v>-2</v>
      </c>
      <c r="Q900">
        <f>IF(P900&lt;1, 1, P900)</f>
        <v>1</v>
      </c>
      <c r="R900">
        <v>0</v>
      </c>
      <c r="S900" t="str">
        <f>IF(OR(R900&lt;0,R900&gt;100),"invalid","Valid")</f>
        <v>Valid</v>
      </c>
      <c r="T900" t="s">
        <v>59</v>
      </c>
      <c r="U900" t="str">
        <f>PROPER(TRIM(T900))</f>
        <v>Mobile Money</v>
      </c>
      <c r="V900" t="s">
        <v>81</v>
      </c>
      <c r="W900" t="str">
        <f t="shared" si="28"/>
        <v>Ada</v>
      </c>
      <c r="X900" t="s">
        <v>65</v>
      </c>
      <c r="Y900">
        <v>5</v>
      </c>
      <c r="Z900" t="str">
        <f>IF(D900="", "Missing", "ok")</f>
        <v>ok</v>
      </c>
      <c r="AA900">
        <f t="shared" si="29"/>
        <v>395.76</v>
      </c>
    </row>
    <row r="901" spans="1:27" x14ac:dyDescent="0.25">
      <c r="A901" t="s">
        <v>2338</v>
      </c>
      <c r="B901" s="1" t="s">
        <v>1612</v>
      </c>
      <c r="C901" t="s">
        <v>2339</v>
      </c>
      <c r="E901" t="str">
        <f>PROPER(TRIM(D901))</f>
        <v/>
      </c>
      <c r="F901" t="s">
        <v>20</v>
      </c>
      <c r="G901">
        <v>8</v>
      </c>
      <c r="H901" t="str">
        <f>IF(AND(G901&gt;18, G901&lt;65), "Valid", "Invalid")</f>
        <v>Invalid</v>
      </c>
      <c r="I901" t="s">
        <v>47</v>
      </c>
      <c r="J901" t="str">
        <f>PROPER(TRIM(I901))</f>
        <v>Enugu</v>
      </c>
      <c r="K901" t="s">
        <v>22</v>
      </c>
      <c r="L901" t="str">
        <f>PROPER(TRIM(K901))</f>
        <v>Fashion</v>
      </c>
      <c r="M901" t="s">
        <v>23</v>
      </c>
      <c r="N901" t="str">
        <f>PROPER(TRIM(M901))</f>
        <v>Shirt</v>
      </c>
      <c r="O901">
        <v>451.64</v>
      </c>
      <c r="P901">
        <v>-2</v>
      </c>
      <c r="Q901">
        <f>IF(P901&lt;1, 1, P901)</f>
        <v>1</v>
      </c>
      <c r="R901">
        <v>5</v>
      </c>
      <c r="S901" t="str">
        <f>IF(OR(R901&lt;0,R901&gt;100),"invalid","Valid")</f>
        <v>Valid</v>
      </c>
      <c r="T901" t="s">
        <v>77</v>
      </c>
      <c r="U901" t="str">
        <f>PROPER(TRIM(T901))</f>
        <v>Cash</v>
      </c>
      <c r="V901" t="s">
        <v>81</v>
      </c>
      <c r="W901" t="str">
        <f t="shared" si="28"/>
        <v>Ada</v>
      </c>
      <c r="X901" t="s">
        <v>26</v>
      </c>
      <c r="Z901" t="str">
        <f>IF(D901="", "Missing", "ok")</f>
        <v>Missing</v>
      </c>
      <c r="AA901">
        <f t="shared" si="29"/>
        <v>429.05799999999999</v>
      </c>
    </row>
    <row r="902" spans="1:27" x14ac:dyDescent="0.25">
      <c r="A902" t="s">
        <v>2340</v>
      </c>
      <c r="B902" s="1" t="s">
        <v>2341</v>
      </c>
      <c r="C902" t="s">
        <v>1659</v>
      </c>
      <c r="D902" t="s">
        <v>69</v>
      </c>
      <c r="E902" t="str">
        <f>PROPER(TRIM(D902))</f>
        <v>Mary</v>
      </c>
      <c r="F902" t="s">
        <v>20</v>
      </c>
      <c r="G902">
        <v>130</v>
      </c>
      <c r="H902" t="str">
        <f>IF(AND(G902&gt;18, G902&lt;65), "Valid", "Invalid")</f>
        <v>Invalid</v>
      </c>
      <c r="I902" t="s">
        <v>86</v>
      </c>
      <c r="J902" t="str">
        <f>PROPER(TRIM(I902))</f>
        <v>Kano</v>
      </c>
      <c r="K902" t="s">
        <v>87</v>
      </c>
      <c r="L902" t="str">
        <f>PROPER(TRIM(K902))</f>
        <v>Groceris</v>
      </c>
      <c r="M902" t="s">
        <v>49</v>
      </c>
      <c r="N902" t="str">
        <f>PROPER(TRIM(M902))</f>
        <v>Rice</v>
      </c>
      <c r="O902">
        <v>243.47</v>
      </c>
      <c r="P902">
        <v>1</v>
      </c>
      <c r="Q902">
        <f>IF(P902&lt;1, 1, P902)</f>
        <v>1</v>
      </c>
      <c r="R902">
        <v>-10</v>
      </c>
      <c r="S902" t="str">
        <f>IF(OR(R902&lt;0,R902&gt;100),"invalid","Valid")</f>
        <v>invalid</v>
      </c>
      <c r="T902" t="s">
        <v>24</v>
      </c>
      <c r="U902" t="str">
        <f>PROPER(TRIM(T902))</f>
        <v>Pos</v>
      </c>
      <c r="V902" t="s">
        <v>25</v>
      </c>
      <c r="W902" t="str">
        <f t="shared" si="28"/>
        <v>Dan</v>
      </c>
      <c r="X902" t="s">
        <v>26</v>
      </c>
      <c r="Y902">
        <v>1</v>
      </c>
      <c r="Z902" t="str">
        <f>IF(D902="", "Missing", "ok")</f>
        <v>ok</v>
      </c>
      <c r="AA902">
        <f t="shared" si="29"/>
        <v>267.81700000000001</v>
      </c>
    </row>
    <row r="903" spans="1:27" x14ac:dyDescent="0.25">
      <c r="A903" t="s">
        <v>2342</v>
      </c>
      <c r="B903" s="1" t="s">
        <v>2343</v>
      </c>
      <c r="C903" t="s">
        <v>2344</v>
      </c>
      <c r="E903" t="str">
        <f>PROPER(TRIM(D903))</f>
        <v/>
      </c>
      <c r="F903" t="s">
        <v>46</v>
      </c>
      <c r="G903">
        <v>130</v>
      </c>
      <c r="H903" t="str">
        <f>IF(AND(G903&gt;18, G903&lt;65), "Valid", "Invalid")</f>
        <v>Invalid</v>
      </c>
      <c r="I903" t="s">
        <v>70</v>
      </c>
      <c r="J903" t="str">
        <f>PROPER(TRIM(I903))</f>
        <v>Abuja</v>
      </c>
      <c r="K903" t="s">
        <v>31</v>
      </c>
      <c r="L903" t="str">
        <f>PROPER(TRIM(K903))</f>
        <v>Sports</v>
      </c>
      <c r="M903" t="s">
        <v>32</v>
      </c>
      <c r="N903" t="str">
        <f>PROPER(TRIM(M903))</f>
        <v>Ball</v>
      </c>
      <c r="O903">
        <v>149.80000000000001</v>
      </c>
      <c r="P903">
        <v>-2</v>
      </c>
      <c r="Q903">
        <f>IF(P903&lt;1, 1, P903)</f>
        <v>1</v>
      </c>
      <c r="R903">
        <v>10</v>
      </c>
      <c r="S903" t="str">
        <f>IF(OR(R903&lt;0,R903&gt;100),"invalid","Valid")</f>
        <v>Valid</v>
      </c>
      <c r="T903" t="s">
        <v>77</v>
      </c>
      <c r="U903" t="str">
        <f>PROPER(TRIM(T903))</f>
        <v>Cash</v>
      </c>
      <c r="V903" t="s">
        <v>81</v>
      </c>
      <c r="W903" t="str">
        <f t="shared" si="28"/>
        <v>Ada</v>
      </c>
      <c r="X903" t="s">
        <v>65</v>
      </c>
      <c r="Y903">
        <v>5</v>
      </c>
      <c r="Z903" t="str">
        <f>IF(D903="", "Missing", "ok")</f>
        <v>Missing</v>
      </c>
      <c r="AA903">
        <f t="shared" si="29"/>
        <v>134.82000000000002</v>
      </c>
    </row>
    <row r="904" spans="1:27" x14ac:dyDescent="0.25">
      <c r="A904" t="s">
        <v>2345</v>
      </c>
      <c r="B904" s="1" t="s">
        <v>429</v>
      </c>
      <c r="C904" t="s">
        <v>2346</v>
      </c>
      <c r="D904" t="s">
        <v>19</v>
      </c>
      <c r="E904" t="str">
        <f>PROPER(TRIM(D904))</f>
        <v>Peter</v>
      </c>
      <c r="F904" t="s">
        <v>20</v>
      </c>
      <c r="G904">
        <v>8</v>
      </c>
      <c r="H904" t="str">
        <f>IF(AND(G904&gt;18, G904&lt;65), "Valid", "Invalid")</f>
        <v>Invalid</v>
      </c>
      <c r="I904" t="s">
        <v>38</v>
      </c>
      <c r="J904" t="str">
        <f>PROPER(TRIM(I904))</f>
        <v>Ph</v>
      </c>
      <c r="K904" t="s">
        <v>48</v>
      </c>
      <c r="L904" t="str">
        <f>PROPER(TRIM(K904))</f>
        <v>Groceries</v>
      </c>
      <c r="M904" t="s">
        <v>49</v>
      </c>
      <c r="N904" t="str">
        <f>PROPER(TRIM(M904))</f>
        <v>Rice</v>
      </c>
      <c r="O904">
        <v>57.46</v>
      </c>
      <c r="P904">
        <v>-2</v>
      </c>
      <c r="Q904">
        <f>IF(P904&lt;1, 1, P904)</f>
        <v>1</v>
      </c>
      <c r="R904">
        <v>120</v>
      </c>
      <c r="S904" t="str">
        <f>IF(OR(R904&lt;0,R904&gt;100),"invalid","Valid")</f>
        <v>invalid</v>
      </c>
      <c r="T904" t="s">
        <v>77</v>
      </c>
      <c r="U904" t="str">
        <f>PROPER(TRIM(T904))</f>
        <v>Cash</v>
      </c>
      <c r="V904" t="s">
        <v>91</v>
      </c>
      <c r="W904" t="str">
        <f t="shared" si="28"/>
        <v>Ben</v>
      </c>
      <c r="X904" t="s">
        <v>82</v>
      </c>
      <c r="Y904">
        <v>3</v>
      </c>
      <c r="Z904" t="str">
        <f>IF(D904="", "Missing", "ok")</f>
        <v>ok</v>
      </c>
      <c r="AA904">
        <f t="shared" si="29"/>
        <v>-11.491999999999997</v>
      </c>
    </row>
    <row r="905" spans="1:27" x14ac:dyDescent="0.25">
      <c r="A905" t="s">
        <v>2347</v>
      </c>
      <c r="B905" s="1" t="s">
        <v>344</v>
      </c>
      <c r="C905" t="s">
        <v>2348</v>
      </c>
      <c r="D905" t="s">
        <v>69</v>
      </c>
      <c r="E905" t="str">
        <f>PROPER(TRIM(D905))</f>
        <v>Mary</v>
      </c>
      <c r="F905" t="s">
        <v>20</v>
      </c>
      <c r="G905">
        <v>8</v>
      </c>
      <c r="H905" t="str">
        <f>IF(AND(G905&gt;18, G905&lt;65), "Valid", "Invalid")</f>
        <v>Invalid</v>
      </c>
      <c r="I905" t="s">
        <v>53</v>
      </c>
      <c r="J905" t="str">
        <f>PROPER(TRIM(I905))</f>
        <v>Lagos</v>
      </c>
      <c r="K905" t="s">
        <v>48</v>
      </c>
      <c r="L905" t="str">
        <f>PROPER(TRIM(K905))</f>
        <v>Groceries</v>
      </c>
      <c r="M905" t="s">
        <v>49</v>
      </c>
      <c r="N905" t="str">
        <f>PROPER(TRIM(M905))</f>
        <v>Rice</v>
      </c>
      <c r="O905">
        <v>479.17</v>
      </c>
      <c r="P905">
        <v>3</v>
      </c>
      <c r="Q905">
        <f>IF(P905&lt;1, 1, P905)</f>
        <v>3</v>
      </c>
      <c r="R905">
        <v>-10</v>
      </c>
      <c r="S905" t="str">
        <f>IF(OR(R905&lt;0,R905&gt;100),"invalid","Valid")</f>
        <v>invalid</v>
      </c>
      <c r="T905" t="s">
        <v>64</v>
      </c>
      <c r="U905" t="str">
        <f>PROPER(TRIM(T905))</f>
        <v>Transfer</v>
      </c>
      <c r="V905" t="s">
        <v>25</v>
      </c>
      <c r="W905" t="str">
        <f t="shared" si="28"/>
        <v>Dan</v>
      </c>
      <c r="X905" t="s">
        <v>82</v>
      </c>
      <c r="Y905">
        <v>5</v>
      </c>
      <c r="Z905" t="str">
        <f>IF(D905="", "Missing", "ok")</f>
        <v>ok</v>
      </c>
      <c r="AA905">
        <f t="shared" si="29"/>
        <v>1581.2610000000002</v>
      </c>
    </row>
    <row r="906" spans="1:27" x14ac:dyDescent="0.25">
      <c r="A906" t="s">
        <v>2349</v>
      </c>
      <c r="B906" s="1" t="s">
        <v>1648</v>
      </c>
      <c r="C906" t="s">
        <v>2350</v>
      </c>
      <c r="D906" t="s">
        <v>45</v>
      </c>
      <c r="E906" t="str">
        <f>PROPER(TRIM(D906))</f>
        <v>James</v>
      </c>
      <c r="F906" t="s">
        <v>20</v>
      </c>
      <c r="G906">
        <v>130</v>
      </c>
      <c r="H906" t="str">
        <f>IF(AND(G906&gt;18, G906&lt;65), "Valid", "Invalid")</f>
        <v>Invalid</v>
      </c>
      <c r="I906" t="s">
        <v>47</v>
      </c>
      <c r="J906" t="str">
        <f>PROPER(TRIM(I906))</f>
        <v>Enugu</v>
      </c>
      <c r="K906" t="s">
        <v>121</v>
      </c>
      <c r="L906" t="str">
        <f>PROPER(TRIM(K906))</f>
        <v>Beauty</v>
      </c>
      <c r="M906" t="s">
        <v>122</v>
      </c>
      <c r="N906" t="str">
        <f>PROPER(TRIM(M906))</f>
        <v>Cream</v>
      </c>
      <c r="O906">
        <v>66.819999999999993</v>
      </c>
      <c r="P906">
        <v>5</v>
      </c>
      <c r="Q906">
        <f>IF(P906&lt;1, 1, P906)</f>
        <v>5</v>
      </c>
      <c r="R906">
        <v>120</v>
      </c>
      <c r="S906" t="str">
        <f>IF(OR(R906&lt;0,R906&gt;100),"invalid","Valid")</f>
        <v>invalid</v>
      </c>
      <c r="T906" t="s">
        <v>24</v>
      </c>
      <c r="U906" t="str">
        <f>PROPER(TRIM(T906))</f>
        <v>Pos</v>
      </c>
      <c r="V906" t="s">
        <v>91</v>
      </c>
      <c r="W906" t="str">
        <f t="shared" si="28"/>
        <v>Ben</v>
      </c>
      <c r="X906" t="s">
        <v>65</v>
      </c>
      <c r="Z906" t="str">
        <f>IF(D906="", "Missing", "ok")</f>
        <v>ok</v>
      </c>
      <c r="AA906">
        <f t="shared" si="29"/>
        <v>-66.819999999999979</v>
      </c>
    </row>
    <row r="907" spans="1:27" x14ac:dyDescent="0.25">
      <c r="A907" t="s">
        <v>2351</v>
      </c>
      <c r="B907" s="1" t="s">
        <v>2352</v>
      </c>
      <c r="C907" t="s">
        <v>2353</v>
      </c>
      <c r="E907" t="str">
        <f>PROPER(TRIM(D907))</f>
        <v/>
      </c>
      <c r="F907" t="s">
        <v>46</v>
      </c>
      <c r="G907">
        <v>33</v>
      </c>
      <c r="H907" t="str">
        <f>IF(AND(G907&gt;18, G907&lt;65), "Valid", "Invalid")</f>
        <v>Valid</v>
      </c>
      <c r="I907" t="s">
        <v>70</v>
      </c>
      <c r="J907" t="str">
        <f>PROPER(TRIM(I907))</f>
        <v>Abuja</v>
      </c>
      <c r="K907" t="s">
        <v>31</v>
      </c>
      <c r="L907" t="str">
        <f>PROPER(TRIM(K907))</f>
        <v>Sports</v>
      </c>
      <c r="M907" t="s">
        <v>32</v>
      </c>
      <c r="N907" t="str">
        <f>PROPER(TRIM(M907))</f>
        <v>Ball</v>
      </c>
      <c r="O907">
        <v>326.39999999999998</v>
      </c>
      <c r="P907">
        <v>6</v>
      </c>
      <c r="Q907">
        <f>IF(P907&lt;1, 1, P907)</f>
        <v>6</v>
      </c>
      <c r="R907">
        <v>120</v>
      </c>
      <c r="S907" t="str">
        <f>IF(OR(R907&lt;0,R907&gt;100),"invalid","Valid")</f>
        <v>invalid</v>
      </c>
      <c r="T907" t="s">
        <v>24</v>
      </c>
      <c r="U907" t="str">
        <f>PROPER(TRIM(T907))</f>
        <v>Pos</v>
      </c>
      <c r="V907" t="s">
        <v>81</v>
      </c>
      <c r="W907" t="str">
        <f t="shared" si="28"/>
        <v>Ada</v>
      </c>
      <c r="X907" t="s">
        <v>26</v>
      </c>
      <c r="Z907" t="str">
        <f>IF(D907="", "Missing", "ok")</f>
        <v>Missing</v>
      </c>
      <c r="AA907">
        <f t="shared" si="29"/>
        <v>-391.67999999999989</v>
      </c>
    </row>
    <row r="908" spans="1:27" x14ac:dyDescent="0.25">
      <c r="A908" t="s">
        <v>2354</v>
      </c>
      <c r="B908" s="1" t="s">
        <v>2355</v>
      </c>
      <c r="C908" t="s">
        <v>2356</v>
      </c>
      <c r="D908" t="s">
        <v>63</v>
      </c>
      <c r="E908" t="str">
        <f>PROPER(TRIM(D908))</f>
        <v>John</v>
      </c>
      <c r="F908" t="s">
        <v>46</v>
      </c>
      <c r="G908">
        <v>43</v>
      </c>
      <c r="H908" t="str">
        <f>IF(AND(G908&gt;18, G908&lt;65), "Valid", "Invalid")</f>
        <v>Valid</v>
      </c>
      <c r="I908" t="s">
        <v>21</v>
      </c>
      <c r="J908" t="str">
        <f>PROPER(TRIM(I908))</f>
        <v>Lagos</v>
      </c>
      <c r="K908" t="s">
        <v>22</v>
      </c>
      <c r="L908" t="str">
        <f>PROPER(TRIM(K908))</f>
        <v>Fashion</v>
      </c>
      <c r="M908" t="s">
        <v>23</v>
      </c>
      <c r="N908" t="str">
        <f>PROPER(TRIM(M908))</f>
        <v>Shirt</v>
      </c>
      <c r="O908">
        <v>414.14</v>
      </c>
      <c r="P908">
        <v>9</v>
      </c>
      <c r="Q908">
        <f>IF(P908&lt;1, 1, P908)</f>
        <v>9</v>
      </c>
      <c r="R908">
        <v>-10</v>
      </c>
      <c r="S908" t="str">
        <f>IF(OR(R908&lt;0,R908&gt;100),"invalid","Valid")</f>
        <v>invalid</v>
      </c>
      <c r="U908" t="str">
        <f>PROPER(TRIM(T908))</f>
        <v/>
      </c>
      <c r="V908" t="s">
        <v>41</v>
      </c>
      <c r="W908" t="str">
        <f t="shared" si="28"/>
        <v>Chi</v>
      </c>
      <c r="X908" t="s">
        <v>26</v>
      </c>
      <c r="Y908">
        <v>2</v>
      </c>
      <c r="Z908" t="str">
        <f>IF(D908="", "Missing", "ok")</f>
        <v>ok</v>
      </c>
      <c r="AA908">
        <f t="shared" si="29"/>
        <v>4099.9859999999999</v>
      </c>
    </row>
    <row r="909" spans="1:27" x14ac:dyDescent="0.25">
      <c r="A909" t="s">
        <v>2357</v>
      </c>
      <c r="B909" s="1" t="s">
        <v>312</v>
      </c>
      <c r="C909" t="s">
        <v>2358</v>
      </c>
      <c r="D909" t="s">
        <v>45</v>
      </c>
      <c r="E909" t="str">
        <f>PROPER(TRIM(D909))</f>
        <v>James</v>
      </c>
      <c r="F909" t="s">
        <v>46</v>
      </c>
      <c r="G909">
        <v>60</v>
      </c>
      <c r="H909" t="str">
        <f>IF(AND(G909&gt;18, G909&lt;65), "Valid", "Invalid")</f>
        <v>Valid</v>
      </c>
      <c r="I909" t="s">
        <v>21</v>
      </c>
      <c r="J909" t="str">
        <f>PROPER(TRIM(I909))</f>
        <v>Lagos</v>
      </c>
      <c r="K909" t="s">
        <v>121</v>
      </c>
      <c r="L909" t="str">
        <f>PROPER(TRIM(K909))</f>
        <v>Beauty</v>
      </c>
      <c r="M909" t="s">
        <v>122</v>
      </c>
      <c r="N909" t="str">
        <f>PROPER(TRIM(M909))</f>
        <v>Cream</v>
      </c>
      <c r="O909">
        <v>272.70999999999998</v>
      </c>
      <c r="P909">
        <v>-2</v>
      </c>
      <c r="Q909">
        <f>IF(P909&lt;1, 1, P909)</f>
        <v>1</v>
      </c>
      <c r="R909">
        <v>5</v>
      </c>
      <c r="S909" t="str">
        <f>IF(OR(R909&lt;0,R909&gt;100),"invalid","Valid")</f>
        <v>Valid</v>
      </c>
      <c r="T909" t="s">
        <v>24</v>
      </c>
      <c r="U909" t="str">
        <f>PROPER(TRIM(T909))</f>
        <v>Pos</v>
      </c>
      <c r="V909" t="s">
        <v>25</v>
      </c>
      <c r="W909" t="str">
        <f t="shared" si="28"/>
        <v>Dan</v>
      </c>
      <c r="X909" t="s">
        <v>33</v>
      </c>
      <c r="Z909" t="str">
        <f>IF(D909="", "Missing", "ok")</f>
        <v>ok</v>
      </c>
      <c r="AA909">
        <f t="shared" si="29"/>
        <v>259.07449999999994</v>
      </c>
    </row>
    <row r="910" spans="1:27" x14ac:dyDescent="0.25">
      <c r="A910" t="s">
        <v>2359</v>
      </c>
      <c r="B910" s="1" t="s">
        <v>2360</v>
      </c>
      <c r="C910" t="s">
        <v>2361</v>
      </c>
      <c r="D910" t="s">
        <v>117</v>
      </c>
      <c r="E910" t="str">
        <f>PROPER(TRIM(D910))</f>
        <v>David</v>
      </c>
      <c r="F910" t="s">
        <v>46</v>
      </c>
      <c r="G910">
        <v>33</v>
      </c>
      <c r="H910" t="str">
        <f>IF(AND(G910&gt;18, G910&lt;65), "Valid", "Invalid")</f>
        <v>Valid</v>
      </c>
      <c r="I910" t="s">
        <v>53</v>
      </c>
      <c r="J910" t="str">
        <f>PROPER(TRIM(I910))</f>
        <v>Lagos</v>
      </c>
      <c r="K910" t="s">
        <v>48</v>
      </c>
      <c r="L910" t="str">
        <f>PROPER(TRIM(K910))</f>
        <v>Groceries</v>
      </c>
      <c r="M910" t="s">
        <v>49</v>
      </c>
      <c r="N910" t="str">
        <f>PROPER(TRIM(M910))</f>
        <v>Rice</v>
      </c>
      <c r="O910">
        <v>385.74</v>
      </c>
      <c r="P910">
        <v>-2</v>
      </c>
      <c r="Q910">
        <f>IF(P910&lt;1, 1, P910)</f>
        <v>1</v>
      </c>
      <c r="R910">
        <v>-10</v>
      </c>
      <c r="S910" t="str">
        <f>IF(OR(R910&lt;0,R910&gt;100),"invalid","Valid")</f>
        <v>invalid</v>
      </c>
      <c r="T910" t="s">
        <v>77</v>
      </c>
      <c r="U910" t="str">
        <f>PROPER(TRIM(T910))</f>
        <v>Cash</v>
      </c>
      <c r="V910" t="s">
        <v>25</v>
      </c>
      <c r="W910" t="str">
        <f t="shared" si="28"/>
        <v>Dan</v>
      </c>
      <c r="X910" t="s">
        <v>65</v>
      </c>
      <c r="Y910">
        <v>3</v>
      </c>
      <c r="Z910" t="str">
        <f>IF(D910="", "Missing", "ok")</f>
        <v>ok</v>
      </c>
      <c r="AA910">
        <f t="shared" si="29"/>
        <v>424.31400000000002</v>
      </c>
    </row>
    <row r="911" spans="1:27" x14ac:dyDescent="0.25">
      <c r="A911" t="s">
        <v>2362</v>
      </c>
      <c r="B911" s="1" t="s">
        <v>2363</v>
      </c>
      <c r="C911" t="s">
        <v>1590</v>
      </c>
      <c r="D911" t="s">
        <v>45</v>
      </c>
      <c r="E911" t="str">
        <f>PROPER(TRIM(D911))</f>
        <v>James</v>
      </c>
      <c r="F911" t="s">
        <v>46</v>
      </c>
      <c r="G911">
        <v>51</v>
      </c>
      <c r="H911" t="str">
        <f>IF(AND(G911&gt;18, G911&lt;65), "Valid", "Invalid")</f>
        <v>Valid</v>
      </c>
      <c r="I911" t="s">
        <v>53</v>
      </c>
      <c r="J911" t="str">
        <f>PROPER(TRIM(I911))</f>
        <v>Lagos</v>
      </c>
      <c r="K911" t="s">
        <v>48</v>
      </c>
      <c r="L911" t="str">
        <f>PROPER(TRIM(K911))</f>
        <v>Groceries</v>
      </c>
      <c r="M911" t="s">
        <v>49</v>
      </c>
      <c r="N911" t="str">
        <f>PROPER(TRIM(M911))</f>
        <v>Rice</v>
      </c>
      <c r="O911">
        <v>446.31</v>
      </c>
      <c r="P911">
        <v>5</v>
      </c>
      <c r="Q911">
        <f>IF(P911&lt;1, 1, P911)</f>
        <v>5</v>
      </c>
      <c r="R911">
        <v>-10</v>
      </c>
      <c r="S911" t="str">
        <f>IF(OR(R911&lt;0,R911&gt;100),"invalid","Valid")</f>
        <v>invalid</v>
      </c>
      <c r="T911" t="s">
        <v>59</v>
      </c>
      <c r="U911" t="str">
        <f>PROPER(TRIM(T911))</f>
        <v>Mobile Money</v>
      </c>
      <c r="V911" t="s">
        <v>41</v>
      </c>
      <c r="W911" t="str">
        <f t="shared" si="28"/>
        <v>Chi</v>
      </c>
      <c r="X911" t="s">
        <v>65</v>
      </c>
      <c r="Y911">
        <v>1</v>
      </c>
      <c r="Z911" t="str">
        <f>IF(D911="", "Missing", "ok")</f>
        <v>ok</v>
      </c>
      <c r="AA911">
        <f t="shared" si="29"/>
        <v>2454.7050000000004</v>
      </c>
    </row>
    <row r="912" spans="1:27" x14ac:dyDescent="0.25">
      <c r="A912" t="s">
        <v>2364</v>
      </c>
      <c r="B912" s="1" t="s">
        <v>415</v>
      </c>
      <c r="C912" t="s">
        <v>2365</v>
      </c>
      <c r="D912" t="s">
        <v>63</v>
      </c>
      <c r="E912" t="str">
        <f>PROPER(TRIM(D912))</f>
        <v>John</v>
      </c>
      <c r="F912" t="s">
        <v>46</v>
      </c>
      <c r="G912">
        <v>8</v>
      </c>
      <c r="H912" t="str">
        <f>IF(AND(G912&gt;18, G912&lt;65), "Valid", "Invalid")</f>
        <v>Invalid</v>
      </c>
      <c r="I912" t="s">
        <v>53</v>
      </c>
      <c r="J912" t="str">
        <f>PROPER(TRIM(I912))</f>
        <v>Lagos</v>
      </c>
      <c r="K912" t="s">
        <v>87</v>
      </c>
      <c r="L912" t="str">
        <f>PROPER(TRIM(K912))</f>
        <v>Groceris</v>
      </c>
      <c r="M912" t="s">
        <v>49</v>
      </c>
      <c r="N912" t="str">
        <f>PROPER(TRIM(M912))</f>
        <v>Rice</v>
      </c>
      <c r="O912">
        <v>32.17</v>
      </c>
      <c r="P912">
        <v>-2</v>
      </c>
      <c r="Q912">
        <f>IF(P912&lt;1, 1, P912)</f>
        <v>1</v>
      </c>
      <c r="R912">
        <v>15</v>
      </c>
      <c r="S912" t="str">
        <f>IF(OR(R912&lt;0,R912&gt;100),"invalid","Valid")</f>
        <v>Valid</v>
      </c>
      <c r="T912" t="s">
        <v>59</v>
      </c>
      <c r="U912" t="str">
        <f>PROPER(TRIM(T912))</f>
        <v>Mobile Money</v>
      </c>
      <c r="V912" t="s">
        <v>81</v>
      </c>
      <c r="W912" t="str">
        <f t="shared" si="28"/>
        <v>Ada</v>
      </c>
      <c r="X912" t="s">
        <v>82</v>
      </c>
      <c r="Y912">
        <v>1</v>
      </c>
      <c r="Z912" t="str">
        <f>IF(D912="", "Missing", "ok")</f>
        <v>ok</v>
      </c>
      <c r="AA912">
        <f t="shared" si="29"/>
        <v>27.3445</v>
      </c>
    </row>
    <row r="913" spans="1:27" x14ac:dyDescent="0.25">
      <c r="A913" t="s">
        <v>2366</v>
      </c>
      <c r="B913" s="1" t="s">
        <v>1363</v>
      </c>
      <c r="C913" t="s">
        <v>2367</v>
      </c>
      <c r="E913" t="str">
        <f>PROPER(TRIM(D913))</f>
        <v/>
      </c>
      <c r="F913" t="s">
        <v>20</v>
      </c>
      <c r="G913">
        <v>130</v>
      </c>
      <c r="H913" t="str">
        <f>IF(AND(G913&gt;18, G913&lt;65), "Valid", "Invalid")</f>
        <v>Invalid</v>
      </c>
      <c r="I913" t="s">
        <v>70</v>
      </c>
      <c r="J913" t="str">
        <f>PROPER(TRIM(I913))</f>
        <v>Abuja</v>
      </c>
      <c r="K913" t="s">
        <v>87</v>
      </c>
      <c r="L913" t="str">
        <f>PROPER(TRIM(K913))</f>
        <v>Groceris</v>
      </c>
      <c r="M913" t="s">
        <v>49</v>
      </c>
      <c r="N913" t="str">
        <f>PROPER(TRIM(M913))</f>
        <v>Rice</v>
      </c>
      <c r="O913">
        <v>302.38</v>
      </c>
      <c r="P913">
        <v>-2</v>
      </c>
      <c r="Q913">
        <f>IF(P913&lt;1, 1, P913)</f>
        <v>1</v>
      </c>
      <c r="R913">
        <v>120</v>
      </c>
      <c r="S913" t="str">
        <f>IF(OR(R913&lt;0,R913&gt;100),"invalid","Valid")</f>
        <v>invalid</v>
      </c>
      <c r="T913" t="s">
        <v>77</v>
      </c>
      <c r="U913" t="str">
        <f>PROPER(TRIM(T913))</f>
        <v>Cash</v>
      </c>
      <c r="V913" t="s">
        <v>91</v>
      </c>
      <c r="W913" t="str">
        <f t="shared" si="28"/>
        <v>Ben</v>
      </c>
      <c r="X913" t="s">
        <v>82</v>
      </c>
      <c r="Y913">
        <v>5</v>
      </c>
      <c r="Z913" t="str">
        <f>IF(D913="", "Missing", "ok")</f>
        <v>Missing</v>
      </c>
      <c r="AA913">
        <f t="shared" si="29"/>
        <v>-60.475999999999985</v>
      </c>
    </row>
    <row r="914" spans="1:27" x14ac:dyDescent="0.25">
      <c r="A914" t="s">
        <v>2368</v>
      </c>
      <c r="B914" s="1" t="s">
        <v>2369</v>
      </c>
      <c r="C914" t="s">
        <v>2370</v>
      </c>
      <c r="D914" t="s">
        <v>45</v>
      </c>
      <c r="E914" t="str">
        <f>PROPER(TRIM(D914))</f>
        <v>James</v>
      </c>
      <c r="F914" t="s">
        <v>46</v>
      </c>
      <c r="G914">
        <v>8</v>
      </c>
      <c r="H914" t="str">
        <f>IF(AND(G914&gt;18, G914&lt;65), "Valid", "Invalid")</f>
        <v>Invalid</v>
      </c>
      <c r="I914" t="s">
        <v>30</v>
      </c>
      <c r="J914" t="str">
        <f>PROPER(TRIM(I914))</f>
        <v>Lagos</v>
      </c>
      <c r="K914" t="s">
        <v>121</v>
      </c>
      <c r="L914" t="str">
        <f>PROPER(TRIM(K914))</f>
        <v>Beauty</v>
      </c>
      <c r="M914" t="s">
        <v>122</v>
      </c>
      <c r="N914" t="str">
        <f>PROPER(TRIM(M914))</f>
        <v>Cream</v>
      </c>
      <c r="O914">
        <v>5.62</v>
      </c>
      <c r="P914">
        <v>2</v>
      </c>
      <c r="Q914">
        <f>IF(P914&lt;1, 1, P914)</f>
        <v>2</v>
      </c>
      <c r="R914">
        <v>15</v>
      </c>
      <c r="S914" t="str">
        <f>IF(OR(R914&lt;0,R914&gt;100),"invalid","Valid")</f>
        <v>Valid</v>
      </c>
      <c r="T914" t="s">
        <v>24</v>
      </c>
      <c r="U914" t="str">
        <f>PROPER(TRIM(T914))</f>
        <v>Pos</v>
      </c>
      <c r="V914" t="s">
        <v>41</v>
      </c>
      <c r="W914" t="str">
        <f t="shared" si="28"/>
        <v>Chi</v>
      </c>
      <c r="X914" t="s">
        <v>82</v>
      </c>
      <c r="Y914">
        <v>1</v>
      </c>
      <c r="Z914" t="str">
        <f>IF(D914="", "Missing", "ok")</f>
        <v>ok</v>
      </c>
      <c r="AA914">
        <f t="shared" si="29"/>
        <v>9.5540000000000003</v>
      </c>
    </row>
    <row r="915" spans="1:27" x14ac:dyDescent="0.25">
      <c r="A915" t="s">
        <v>2371</v>
      </c>
      <c r="B915" s="1" t="s">
        <v>312</v>
      </c>
      <c r="C915" t="s">
        <v>2372</v>
      </c>
      <c r="D915" t="s">
        <v>63</v>
      </c>
      <c r="E915" t="str">
        <f>PROPER(TRIM(D915))</f>
        <v>John</v>
      </c>
      <c r="F915" t="s">
        <v>46</v>
      </c>
      <c r="G915">
        <v>8</v>
      </c>
      <c r="H915" t="str">
        <f>IF(AND(G915&gt;18, G915&lt;65), "Valid", "Invalid")</f>
        <v>Invalid</v>
      </c>
      <c r="I915" t="s">
        <v>53</v>
      </c>
      <c r="J915" t="str">
        <f>PROPER(TRIM(I915))</f>
        <v>Lagos</v>
      </c>
      <c r="K915" t="s">
        <v>39</v>
      </c>
      <c r="L915" t="str">
        <f>PROPER(TRIM(K915))</f>
        <v>Electronics</v>
      </c>
      <c r="M915" t="s">
        <v>40</v>
      </c>
      <c r="N915" t="str">
        <f>PROPER(TRIM(M915))</f>
        <v>Phone</v>
      </c>
      <c r="O915">
        <v>286.88</v>
      </c>
      <c r="P915">
        <v>3</v>
      </c>
      <c r="Q915">
        <f>IF(P915&lt;1, 1, P915)</f>
        <v>3</v>
      </c>
      <c r="R915">
        <v>5</v>
      </c>
      <c r="S915" t="str">
        <f>IF(OR(R915&lt;0,R915&gt;100),"invalid","Valid")</f>
        <v>Valid</v>
      </c>
      <c r="U915" t="str">
        <f>PROPER(TRIM(T915))</f>
        <v/>
      </c>
      <c r="V915" t="s">
        <v>91</v>
      </c>
      <c r="W915" t="str">
        <f t="shared" si="28"/>
        <v>Ben</v>
      </c>
      <c r="X915" t="s">
        <v>33</v>
      </c>
      <c r="Z915" t="str">
        <f>IF(D915="", "Missing", "ok")</f>
        <v>ok</v>
      </c>
      <c r="AA915">
        <f t="shared" si="29"/>
        <v>817.60799999999995</v>
      </c>
    </row>
    <row r="916" spans="1:27" x14ac:dyDescent="0.25">
      <c r="A916" t="s">
        <v>2373</v>
      </c>
      <c r="B916" s="1" t="s">
        <v>893</v>
      </c>
      <c r="C916" t="s">
        <v>2374</v>
      </c>
      <c r="D916" t="s">
        <v>101</v>
      </c>
      <c r="E916" t="str">
        <f>PROPER(TRIM(D916))</f>
        <v>Grace</v>
      </c>
      <c r="F916" t="s">
        <v>46</v>
      </c>
      <c r="G916">
        <v>8</v>
      </c>
      <c r="H916" t="str">
        <f>IF(AND(G916&gt;18, G916&lt;65), "Valid", "Invalid")</f>
        <v>Invalid</v>
      </c>
      <c r="I916" t="s">
        <v>86</v>
      </c>
      <c r="J916" t="str">
        <f>PROPER(TRIM(I916))</f>
        <v>Kano</v>
      </c>
      <c r="K916" t="s">
        <v>121</v>
      </c>
      <c r="L916" t="str">
        <f>PROPER(TRIM(K916))</f>
        <v>Beauty</v>
      </c>
      <c r="M916" t="s">
        <v>122</v>
      </c>
      <c r="N916" t="str">
        <f>PROPER(TRIM(M916))</f>
        <v>Cream</v>
      </c>
      <c r="O916">
        <v>324.54000000000002</v>
      </c>
      <c r="P916">
        <v>-2</v>
      </c>
      <c r="Q916">
        <f>IF(P916&lt;1, 1, P916)</f>
        <v>1</v>
      </c>
      <c r="R916">
        <v>5</v>
      </c>
      <c r="S916" t="str">
        <f>IF(OR(R916&lt;0,R916&gt;100),"invalid","Valid")</f>
        <v>Valid</v>
      </c>
      <c r="U916" t="str">
        <f>PROPER(TRIM(T916))</f>
        <v/>
      </c>
      <c r="V916" t="s">
        <v>25</v>
      </c>
      <c r="W916" t="str">
        <f t="shared" si="28"/>
        <v>Dan</v>
      </c>
      <c r="X916" t="s">
        <v>82</v>
      </c>
      <c r="Y916">
        <v>4</v>
      </c>
      <c r="Z916" t="str">
        <f>IF(D916="", "Missing", "ok")</f>
        <v>ok</v>
      </c>
      <c r="AA916">
        <f t="shared" si="29"/>
        <v>308.31299999999999</v>
      </c>
    </row>
    <row r="917" spans="1:27" x14ac:dyDescent="0.25">
      <c r="A917" t="s">
        <v>2375</v>
      </c>
      <c r="B917" s="1" t="s">
        <v>326</v>
      </c>
      <c r="C917" t="s">
        <v>2376</v>
      </c>
      <c r="D917" t="s">
        <v>101</v>
      </c>
      <c r="E917" t="str">
        <f>PROPER(TRIM(D917))</f>
        <v>Grace</v>
      </c>
      <c r="F917" t="s">
        <v>20</v>
      </c>
      <c r="G917">
        <v>8</v>
      </c>
      <c r="H917" t="str">
        <f>IF(AND(G917&gt;18, G917&lt;65), "Valid", "Invalid")</f>
        <v>Invalid</v>
      </c>
      <c r="I917" t="s">
        <v>53</v>
      </c>
      <c r="J917" t="str">
        <f>PROPER(TRIM(I917))</f>
        <v>Lagos</v>
      </c>
      <c r="K917" t="s">
        <v>87</v>
      </c>
      <c r="L917" t="str">
        <f>PROPER(TRIM(K917))</f>
        <v>Groceris</v>
      </c>
      <c r="M917" t="s">
        <v>49</v>
      </c>
      <c r="N917" t="str">
        <f>PROPER(TRIM(M917))</f>
        <v>Rice</v>
      </c>
      <c r="O917">
        <v>383.59</v>
      </c>
      <c r="P917">
        <v>-2</v>
      </c>
      <c r="Q917">
        <f>IF(P917&lt;1, 1, P917)</f>
        <v>1</v>
      </c>
      <c r="R917">
        <v>0</v>
      </c>
      <c r="S917" t="str">
        <f>IF(OR(R917&lt;0,R917&gt;100),"invalid","Valid")</f>
        <v>Valid</v>
      </c>
      <c r="T917" t="s">
        <v>59</v>
      </c>
      <c r="U917" t="str">
        <f>PROPER(TRIM(T917))</f>
        <v>Mobile Money</v>
      </c>
      <c r="V917" t="s">
        <v>41</v>
      </c>
      <c r="W917" t="str">
        <f t="shared" si="28"/>
        <v>Chi</v>
      </c>
      <c r="X917" t="s">
        <v>82</v>
      </c>
      <c r="Y917">
        <v>5</v>
      </c>
      <c r="Z917" t="str">
        <f>IF(D917="", "Missing", "ok")</f>
        <v>ok</v>
      </c>
      <c r="AA917">
        <f t="shared" si="29"/>
        <v>383.59</v>
      </c>
    </row>
    <row r="918" spans="1:27" x14ac:dyDescent="0.25">
      <c r="A918" t="s">
        <v>2377</v>
      </c>
      <c r="B918" s="1" t="s">
        <v>587</v>
      </c>
      <c r="C918" t="s">
        <v>2378</v>
      </c>
      <c r="D918" t="s">
        <v>37</v>
      </c>
      <c r="E918" t="str">
        <f>PROPER(TRIM(D918))</f>
        <v>Aisha</v>
      </c>
      <c r="F918" t="s">
        <v>46</v>
      </c>
      <c r="G918">
        <v>8</v>
      </c>
      <c r="H918" t="str">
        <f>IF(AND(G918&gt;18, G918&lt;65), "Valid", "Invalid")</f>
        <v>Invalid</v>
      </c>
      <c r="I918" t="s">
        <v>70</v>
      </c>
      <c r="J918" t="str">
        <f>PROPER(TRIM(I918))</f>
        <v>Abuja</v>
      </c>
      <c r="K918" t="s">
        <v>54</v>
      </c>
      <c r="L918" t="str">
        <f>PROPER(TRIM(K918))</f>
        <v>Home</v>
      </c>
      <c r="M918" t="s">
        <v>55</v>
      </c>
      <c r="N918" t="str">
        <f>PROPER(TRIM(M918))</f>
        <v>Chair</v>
      </c>
      <c r="O918">
        <v>328.32</v>
      </c>
      <c r="P918">
        <v>2</v>
      </c>
      <c r="Q918">
        <f>IF(P918&lt;1, 1, P918)</f>
        <v>2</v>
      </c>
      <c r="R918">
        <v>15</v>
      </c>
      <c r="S918" t="str">
        <f>IF(OR(R918&lt;0,R918&gt;100),"invalid","Valid")</f>
        <v>Valid</v>
      </c>
      <c r="T918" t="s">
        <v>24</v>
      </c>
      <c r="U918" t="str">
        <f>PROPER(TRIM(T918))</f>
        <v>Pos</v>
      </c>
      <c r="V918" t="s">
        <v>25</v>
      </c>
      <c r="W918" t="str">
        <f t="shared" si="28"/>
        <v>Dan</v>
      </c>
      <c r="X918" t="s">
        <v>33</v>
      </c>
      <c r="Z918" t="str">
        <f>IF(D918="", "Missing", "ok")</f>
        <v>ok</v>
      </c>
      <c r="AA918">
        <f t="shared" si="29"/>
        <v>558.14400000000001</v>
      </c>
    </row>
    <row r="919" spans="1:27" x14ac:dyDescent="0.25">
      <c r="A919" t="s">
        <v>2379</v>
      </c>
      <c r="B919" s="1" t="s">
        <v>659</v>
      </c>
      <c r="C919" t="s">
        <v>2380</v>
      </c>
      <c r="D919" t="s">
        <v>45</v>
      </c>
      <c r="E919" t="str">
        <f>PROPER(TRIM(D919))</f>
        <v>James</v>
      </c>
      <c r="F919" t="s">
        <v>46</v>
      </c>
      <c r="G919">
        <v>27</v>
      </c>
      <c r="H919" t="str">
        <f>IF(AND(G919&gt;18, G919&lt;65), "Valid", "Invalid")</f>
        <v>Valid</v>
      </c>
      <c r="I919" t="s">
        <v>53</v>
      </c>
      <c r="J919" t="str">
        <f>PROPER(TRIM(I919))</f>
        <v>Lagos</v>
      </c>
      <c r="K919" t="s">
        <v>121</v>
      </c>
      <c r="L919" t="str">
        <f>PROPER(TRIM(K919))</f>
        <v>Beauty</v>
      </c>
      <c r="M919" t="s">
        <v>122</v>
      </c>
      <c r="N919" t="str">
        <f>PROPER(TRIM(M919))</f>
        <v>Cream</v>
      </c>
      <c r="O919">
        <v>244.87</v>
      </c>
      <c r="P919">
        <v>8</v>
      </c>
      <c r="Q919">
        <f>IF(P919&lt;1, 1, P919)</f>
        <v>8</v>
      </c>
      <c r="R919">
        <v>10</v>
      </c>
      <c r="S919" t="str">
        <f>IF(OR(R919&lt;0,R919&gt;100),"invalid","Valid")</f>
        <v>Valid</v>
      </c>
      <c r="T919" t="s">
        <v>77</v>
      </c>
      <c r="U919" t="str">
        <f>PROPER(TRIM(T919))</f>
        <v>Cash</v>
      </c>
      <c r="V919" t="s">
        <v>25</v>
      </c>
      <c r="W919" t="str">
        <f t="shared" si="28"/>
        <v>Dan</v>
      </c>
      <c r="X919" t="s">
        <v>26</v>
      </c>
      <c r="Z919" t="str">
        <f>IF(D919="", "Missing", "ok")</f>
        <v>ok</v>
      </c>
      <c r="AA919">
        <f t="shared" si="29"/>
        <v>1763.0640000000001</v>
      </c>
    </row>
    <row r="920" spans="1:27" x14ac:dyDescent="0.25">
      <c r="A920" t="s">
        <v>2381</v>
      </c>
      <c r="B920" s="1" t="s">
        <v>1012</v>
      </c>
      <c r="C920" t="s">
        <v>2382</v>
      </c>
      <c r="D920" t="s">
        <v>117</v>
      </c>
      <c r="E920" t="str">
        <f>PROPER(TRIM(D920))</f>
        <v>David</v>
      </c>
      <c r="F920" t="s">
        <v>20</v>
      </c>
      <c r="G920">
        <v>8</v>
      </c>
      <c r="H920" t="str">
        <f>IF(AND(G920&gt;18, G920&lt;65), "Valid", "Invalid")</f>
        <v>Invalid</v>
      </c>
      <c r="I920" t="s">
        <v>70</v>
      </c>
      <c r="J920" t="str">
        <f>PROPER(TRIM(I920))</f>
        <v>Abuja</v>
      </c>
      <c r="K920" t="s">
        <v>22</v>
      </c>
      <c r="L920" t="str">
        <f>PROPER(TRIM(K920))</f>
        <v>Fashion</v>
      </c>
      <c r="M920" t="s">
        <v>23</v>
      </c>
      <c r="N920" t="str">
        <f>PROPER(TRIM(M920))</f>
        <v>Shirt</v>
      </c>
      <c r="O920">
        <v>346.21</v>
      </c>
      <c r="P920">
        <v>10</v>
      </c>
      <c r="Q920">
        <f>IF(P920&lt;1, 1, P920)</f>
        <v>10</v>
      </c>
      <c r="R920">
        <v>0</v>
      </c>
      <c r="S920" t="str">
        <f>IF(OR(R920&lt;0,R920&gt;100),"invalid","Valid")</f>
        <v>Valid</v>
      </c>
      <c r="T920" t="s">
        <v>59</v>
      </c>
      <c r="U920" t="str">
        <f>PROPER(TRIM(T920))</f>
        <v>Mobile Money</v>
      </c>
      <c r="V920" t="s">
        <v>91</v>
      </c>
      <c r="W920" t="str">
        <f t="shared" si="28"/>
        <v>Ben</v>
      </c>
      <c r="X920" t="s">
        <v>65</v>
      </c>
      <c r="Y920">
        <v>3</v>
      </c>
      <c r="Z920" t="str">
        <f>IF(D920="", "Missing", "ok")</f>
        <v>ok</v>
      </c>
      <c r="AA920">
        <f t="shared" si="29"/>
        <v>3462.1</v>
      </c>
    </row>
    <row r="921" spans="1:27" x14ac:dyDescent="0.25">
      <c r="A921" t="s">
        <v>2383</v>
      </c>
      <c r="B921" s="1" t="s">
        <v>2384</v>
      </c>
      <c r="C921" t="s">
        <v>2385</v>
      </c>
      <c r="D921" t="s">
        <v>37</v>
      </c>
      <c r="E921" t="str">
        <f>PROPER(TRIM(D921))</f>
        <v>Aisha</v>
      </c>
      <c r="F921" t="s">
        <v>46</v>
      </c>
      <c r="G921">
        <v>130</v>
      </c>
      <c r="H921" t="str">
        <f>IF(AND(G921&gt;18, G921&lt;65), "Valid", "Invalid")</f>
        <v>Invalid</v>
      </c>
      <c r="I921" t="s">
        <v>53</v>
      </c>
      <c r="J921" t="str">
        <f>PROPER(TRIM(I921))</f>
        <v>Lagos</v>
      </c>
      <c r="K921" t="s">
        <v>121</v>
      </c>
      <c r="L921" t="str">
        <f>PROPER(TRIM(K921))</f>
        <v>Beauty</v>
      </c>
      <c r="M921" t="s">
        <v>122</v>
      </c>
      <c r="N921" t="str">
        <f>PROPER(TRIM(M921))</f>
        <v>Cream</v>
      </c>
      <c r="O921">
        <v>481.16</v>
      </c>
      <c r="P921">
        <v>-2</v>
      </c>
      <c r="Q921">
        <f>IF(P921&lt;1, 1, P921)</f>
        <v>1</v>
      </c>
      <c r="R921">
        <v>0</v>
      </c>
      <c r="S921" t="str">
        <f>IF(OR(R921&lt;0,R921&gt;100),"invalid","Valid")</f>
        <v>Valid</v>
      </c>
      <c r="U921" t="str">
        <f>PROPER(TRIM(T921))</f>
        <v/>
      </c>
      <c r="V921" t="s">
        <v>25</v>
      </c>
      <c r="W921" t="str">
        <f t="shared" si="28"/>
        <v>Dan</v>
      </c>
      <c r="X921" t="s">
        <v>82</v>
      </c>
      <c r="Y921">
        <v>2</v>
      </c>
      <c r="Z921" t="str">
        <f>IF(D921="", "Missing", "ok")</f>
        <v>ok</v>
      </c>
      <c r="AA921">
        <f t="shared" si="29"/>
        <v>481.16</v>
      </c>
    </row>
    <row r="922" spans="1:27" x14ac:dyDescent="0.25">
      <c r="A922" t="s">
        <v>2386</v>
      </c>
      <c r="B922" s="1" t="s">
        <v>2387</v>
      </c>
      <c r="C922" t="s">
        <v>2388</v>
      </c>
      <c r="D922" t="s">
        <v>45</v>
      </c>
      <c r="E922" t="str">
        <f>PROPER(TRIM(D922))</f>
        <v>James</v>
      </c>
      <c r="F922" t="s">
        <v>46</v>
      </c>
      <c r="G922">
        <v>8</v>
      </c>
      <c r="H922" t="str">
        <f>IF(AND(G922&gt;18, G922&lt;65), "Valid", "Invalid")</f>
        <v>Invalid</v>
      </c>
      <c r="I922" t="s">
        <v>53</v>
      </c>
      <c r="J922" t="str">
        <f>PROPER(TRIM(I922))</f>
        <v>Lagos</v>
      </c>
      <c r="K922" t="s">
        <v>22</v>
      </c>
      <c r="L922" t="str">
        <f>PROPER(TRIM(K922))</f>
        <v>Fashion</v>
      </c>
      <c r="M922" t="s">
        <v>23</v>
      </c>
      <c r="N922" t="str">
        <f>PROPER(TRIM(M922))</f>
        <v>Shirt</v>
      </c>
      <c r="O922">
        <v>39.5</v>
      </c>
      <c r="P922">
        <v>9</v>
      </c>
      <c r="Q922">
        <f>IF(P922&lt;1, 1, P922)</f>
        <v>9</v>
      </c>
      <c r="R922">
        <v>-10</v>
      </c>
      <c r="S922" t="str">
        <f>IF(OR(R922&lt;0,R922&gt;100),"invalid","Valid")</f>
        <v>invalid</v>
      </c>
      <c r="T922" t="s">
        <v>59</v>
      </c>
      <c r="U922" t="str">
        <f>PROPER(TRIM(T922))</f>
        <v>Mobile Money</v>
      </c>
      <c r="V922" t="s">
        <v>81</v>
      </c>
      <c r="W922" t="str">
        <f t="shared" si="28"/>
        <v>Ada</v>
      </c>
      <c r="X922" t="s">
        <v>82</v>
      </c>
      <c r="Y922">
        <v>3</v>
      </c>
      <c r="Z922" t="str">
        <f>IF(D922="", "Missing", "ok")</f>
        <v>ok</v>
      </c>
      <c r="AA922">
        <f t="shared" si="29"/>
        <v>391.05</v>
      </c>
    </row>
    <row r="923" spans="1:27" x14ac:dyDescent="0.25">
      <c r="A923" t="s">
        <v>2389</v>
      </c>
      <c r="B923" s="1" t="s">
        <v>1714</v>
      </c>
      <c r="C923" t="s">
        <v>2390</v>
      </c>
      <c r="E923" t="str">
        <f>PROPER(TRIM(D923))</f>
        <v/>
      </c>
      <c r="F923" t="s">
        <v>20</v>
      </c>
      <c r="G923">
        <v>8</v>
      </c>
      <c r="H923" t="str">
        <f>IF(AND(G923&gt;18, G923&lt;65), "Valid", "Invalid")</f>
        <v>Invalid</v>
      </c>
      <c r="I923" t="s">
        <v>86</v>
      </c>
      <c r="J923" t="str">
        <f>PROPER(TRIM(I923))</f>
        <v>Kano</v>
      </c>
      <c r="K923" t="s">
        <v>22</v>
      </c>
      <c r="L923" t="str">
        <f>PROPER(TRIM(K923))</f>
        <v>Fashion</v>
      </c>
      <c r="M923" t="s">
        <v>23</v>
      </c>
      <c r="N923" t="str">
        <f>PROPER(TRIM(M923))</f>
        <v>Shirt</v>
      </c>
      <c r="O923">
        <v>135.72</v>
      </c>
      <c r="P923">
        <v>-2</v>
      </c>
      <c r="Q923">
        <f>IF(P923&lt;1, 1, P923)</f>
        <v>1</v>
      </c>
      <c r="R923">
        <v>10</v>
      </c>
      <c r="S923" t="str">
        <f>IF(OR(R923&lt;0,R923&gt;100),"invalid","Valid")</f>
        <v>Valid</v>
      </c>
      <c r="T923" t="s">
        <v>64</v>
      </c>
      <c r="U923" t="str">
        <f>PROPER(TRIM(T923))</f>
        <v>Transfer</v>
      </c>
      <c r="V923" t="s">
        <v>25</v>
      </c>
      <c r="W923" t="str">
        <f t="shared" si="28"/>
        <v>Dan</v>
      </c>
      <c r="X923" t="s">
        <v>82</v>
      </c>
      <c r="Y923">
        <v>4</v>
      </c>
      <c r="Z923" t="str">
        <f>IF(D923="", "Missing", "ok")</f>
        <v>Missing</v>
      </c>
      <c r="AA923">
        <f t="shared" si="29"/>
        <v>122.148</v>
      </c>
    </row>
    <row r="924" spans="1:27" x14ac:dyDescent="0.25">
      <c r="A924" t="s">
        <v>2391</v>
      </c>
      <c r="B924" s="1" t="s">
        <v>1551</v>
      </c>
      <c r="C924" t="s">
        <v>2392</v>
      </c>
      <c r="D924" t="s">
        <v>117</v>
      </c>
      <c r="E924" t="str">
        <f>PROPER(TRIM(D924))</f>
        <v>David</v>
      </c>
      <c r="F924" t="s">
        <v>20</v>
      </c>
      <c r="G924">
        <v>45</v>
      </c>
      <c r="H924" t="str">
        <f>IF(AND(G924&gt;18, G924&lt;65), "Valid", "Invalid")</f>
        <v>Valid</v>
      </c>
      <c r="I924" t="s">
        <v>53</v>
      </c>
      <c r="J924" t="str">
        <f>PROPER(TRIM(I924))</f>
        <v>Lagos</v>
      </c>
      <c r="K924" t="s">
        <v>31</v>
      </c>
      <c r="L924" t="str">
        <f>PROPER(TRIM(K924))</f>
        <v>Sports</v>
      </c>
      <c r="M924" t="s">
        <v>32</v>
      </c>
      <c r="N924" t="str">
        <f>PROPER(TRIM(M924))</f>
        <v>Ball</v>
      </c>
      <c r="O924">
        <v>168.68</v>
      </c>
      <c r="P924">
        <v>-2</v>
      </c>
      <c r="Q924">
        <f>IF(P924&lt;1, 1, P924)</f>
        <v>1</v>
      </c>
      <c r="R924">
        <v>0</v>
      </c>
      <c r="S924" t="str">
        <f>IF(OR(R924&lt;0,R924&gt;100),"invalid","Valid")</f>
        <v>Valid</v>
      </c>
      <c r="T924" t="s">
        <v>24</v>
      </c>
      <c r="U924" t="str">
        <f>PROPER(TRIM(T924))</f>
        <v>Pos</v>
      </c>
      <c r="V924" t="s">
        <v>91</v>
      </c>
      <c r="W924" t="str">
        <f t="shared" si="28"/>
        <v>Ben</v>
      </c>
      <c r="X924" t="s">
        <v>26</v>
      </c>
      <c r="Z924" t="str">
        <f>IF(D924="", "Missing", "ok")</f>
        <v>ok</v>
      </c>
      <c r="AA924">
        <f t="shared" si="29"/>
        <v>168.68</v>
      </c>
    </row>
    <row r="925" spans="1:27" x14ac:dyDescent="0.25">
      <c r="A925" t="s">
        <v>2393</v>
      </c>
      <c r="B925" s="1" t="s">
        <v>1696</v>
      </c>
      <c r="C925" t="s">
        <v>2394</v>
      </c>
      <c r="D925" t="s">
        <v>101</v>
      </c>
      <c r="E925" t="str">
        <f>PROPER(TRIM(D925))</f>
        <v>Grace</v>
      </c>
      <c r="F925" t="s">
        <v>20</v>
      </c>
      <c r="G925">
        <v>61</v>
      </c>
      <c r="H925" t="str">
        <f>IF(AND(G925&gt;18, G925&lt;65), "Valid", "Invalid")</f>
        <v>Valid</v>
      </c>
      <c r="I925" t="s">
        <v>47</v>
      </c>
      <c r="J925" t="str">
        <f>PROPER(TRIM(I925))</f>
        <v>Enugu</v>
      </c>
      <c r="K925" t="s">
        <v>121</v>
      </c>
      <c r="L925" t="str">
        <f>PROPER(TRIM(K925))</f>
        <v>Beauty</v>
      </c>
      <c r="M925" t="s">
        <v>122</v>
      </c>
      <c r="N925" t="str">
        <f>PROPER(TRIM(M925))</f>
        <v>Cream</v>
      </c>
      <c r="O925">
        <v>225.26</v>
      </c>
      <c r="P925">
        <v>6</v>
      </c>
      <c r="Q925">
        <f>IF(P925&lt;1, 1, P925)</f>
        <v>6</v>
      </c>
      <c r="R925">
        <v>120</v>
      </c>
      <c r="S925" t="str">
        <f>IF(OR(R925&lt;0,R925&gt;100),"invalid","Valid")</f>
        <v>invalid</v>
      </c>
      <c r="T925" t="s">
        <v>24</v>
      </c>
      <c r="U925" t="str">
        <f>PROPER(TRIM(T925))</f>
        <v>Pos</v>
      </c>
      <c r="V925" t="s">
        <v>91</v>
      </c>
      <c r="W925" t="str">
        <f t="shared" si="28"/>
        <v>Ben</v>
      </c>
      <c r="X925" t="s">
        <v>26</v>
      </c>
      <c r="Y925">
        <v>5</v>
      </c>
      <c r="Z925" t="str">
        <f>IF(D925="", "Missing", "ok")</f>
        <v>ok</v>
      </c>
      <c r="AA925">
        <f t="shared" si="29"/>
        <v>-270.31199999999995</v>
      </c>
    </row>
    <row r="926" spans="1:27" x14ac:dyDescent="0.25">
      <c r="A926" t="s">
        <v>2395</v>
      </c>
      <c r="B926" s="1" t="s">
        <v>1746</v>
      </c>
      <c r="C926" t="s">
        <v>2396</v>
      </c>
      <c r="D926" t="s">
        <v>63</v>
      </c>
      <c r="E926" t="str">
        <f>PROPER(TRIM(D926))</f>
        <v>John</v>
      </c>
      <c r="F926" t="s">
        <v>20</v>
      </c>
      <c r="G926">
        <v>23</v>
      </c>
      <c r="H926" t="str">
        <f>IF(AND(G926&gt;18, G926&lt;65), "Valid", "Invalid")</f>
        <v>Valid</v>
      </c>
      <c r="I926" t="s">
        <v>70</v>
      </c>
      <c r="J926" t="str">
        <f>PROPER(TRIM(I926))</f>
        <v>Abuja</v>
      </c>
      <c r="K926" t="s">
        <v>39</v>
      </c>
      <c r="L926" t="str">
        <f>PROPER(TRIM(K926))</f>
        <v>Electronics</v>
      </c>
      <c r="M926" t="s">
        <v>40</v>
      </c>
      <c r="N926" t="str">
        <f>PROPER(TRIM(M926))</f>
        <v>Phone</v>
      </c>
      <c r="O926">
        <v>455.24</v>
      </c>
      <c r="P926">
        <v>10</v>
      </c>
      <c r="Q926">
        <f>IF(P926&lt;1, 1, P926)</f>
        <v>10</v>
      </c>
      <c r="R926">
        <v>15</v>
      </c>
      <c r="S926" t="str">
        <f>IF(OR(R926&lt;0,R926&gt;100),"invalid","Valid")</f>
        <v>Valid</v>
      </c>
      <c r="T926" t="s">
        <v>64</v>
      </c>
      <c r="U926" t="str">
        <f>PROPER(TRIM(T926))</f>
        <v>Transfer</v>
      </c>
      <c r="V926" t="s">
        <v>25</v>
      </c>
      <c r="W926" t="str">
        <f t="shared" si="28"/>
        <v>Dan</v>
      </c>
      <c r="X926" t="s">
        <v>26</v>
      </c>
      <c r="Y926">
        <v>5</v>
      </c>
      <c r="Z926" t="str">
        <f>IF(D926="", "Missing", "ok")</f>
        <v>ok</v>
      </c>
      <c r="AA926">
        <f t="shared" si="29"/>
        <v>3869.5399999999995</v>
      </c>
    </row>
    <row r="927" spans="1:27" x14ac:dyDescent="0.25">
      <c r="A927" t="s">
        <v>2397</v>
      </c>
      <c r="B927" s="1" t="s">
        <v>866</v>
      </c>
      <c r="C927" t="s">
        <v>2398</v>
      </c>
      <c r="D927" t="s">
        <v>117</v>
      </c>
      <c r="E927" t="str">
        <f>PROPER(TRIM(D927))</f>
        <v>David</v>
      </c>
      <c r="F927" t="s">
        <v>20</v>
      </c>
      <c r="G927">
        <v>130</v>
      </c>
      <c r="H927" t="str">
        <f>IF(AND(G927&gt;18, G927&lt;65), "Valid", "Invalid")</f>
        <v>Invalid</v>
      </c>
      <c r="I927" t="s">
        <v>38</v>
      </c>
      <c r="J927" t="str">
        <f>PROPER(TRIM(I927))</f>
        <v>Ph</v>
      </c>
      <c r="K927" t="s">
        <v>31</v>
      </c>
      <c r="L927" t="str">
        <f>PROPER(TRIM(K927))</f>
        <v>Sports</v>
      </c>
      <c r="M927" t="s">
        <v>32</v>
      </c>
      <c r="N927" t="str">
        <f>PROPER(TRIM(M927))</f>
        <v>Ball</v>
      </c>
      <c r="O927">
        <v>288.70999999999998</v>
      </c>
      <c r="P927">
        <v>5</v>
      </c>
      <c r="Q927">
        <f>IF(P927&lt;1, 1, P927)</f>
        <v>5</v>
      </c>
      <c r="R927">
        <v>10</v>
      </c>
      <c r="S927" t="str">
        <f>IF(OR(R927&lt;0,R927&gt;100),"invalid","Valid")</f>
        <v>Valid</v>
      </c>
      <c r="T927" t="s">
        <v>77</v>
      </c>
      <c r="U927" t="str">
        <f>PROPER(TRIM(T927))</f>
        <v>Cash</v>
      </c>
      <c r="V927" t="s">
        <v>25</v>
      </c>
      <c r="W927" t="str">
        <f t="shared" si="28"/>
        <v>Dan</v>
      </c>
      <c r="X927" t="s">
        <v>26</v>
      </c>
      <c r="Y927">
        <v>5</v>
      </c>
      <c r="Z927" t="str">
        <f>IF(D927="", "Missing", "ok")</f>
        <v>ok</v>
      </c>
      <c r="AA927">
        <f t="shared" si="29"/>
        <v>1299.1949999999999</v>
      </c>
    </row>
    <row r="928" spans="1:27" x14ac:dyDescent="0.25">
      <c r="A928" t="s">
        <v>2399</v>
      </c>
      <c r="B928" s="1" t="s">
        <v>2400</v>
      </c>
      <c r="C928" t="s">
        <v>2401</v>
      </c>
      <c r="D928" t="s">
        <v>69</v>
      </c>
      <c r="E928" t="str">
        <f>PROPER(TRIM(D928))</f>
        <v>Mary</v>
      </c>
      <c r="F928" t="s">
        <v>20</v>
      </c>
      <c r="G928">
        <v>8</v>
      </c>
      <c r="H928" t="str">
        <f>IF(AND(G928&gt;18, G928&lt;65), "Valid", "Invalid")</f>
        <v>Invalid</v>
      </c>
      <c r="I928" t="s">
        <v>30</v>
      </c>
      <c r="J928" t="str">
        <f>PROPER(TRIM(I928))</f>
        <v>Lagos</v>
      </c>
      <c r="K928" t="s">
        <v>87</v>
      </c>
      <c r="L928" t="str">
        <f>PROPER(TRIM(K928))</f>
        <v>Groceris</v>
      </c>
      <c r="M928" t="s">
        <v>49</v>
      </c>
      <c r="N928" t="str">
        <f>PROPER(TRIM(M928))</f>
        <v>Rice</v>
      </c>
      <c r="O928">
        <v>90.91</v>
      </c>
      <c r="P928">
        <v>8</v>
      </c>
      <c r="Q928">
        <f>IF(P928&lt;1, 1, P928)</f>
        <v>8</v>
      </c>
      <c r="R928">
        <v>-10</v>
      </c>
      <c r="S928" t="str">
        <f>IF(OR(R928&lt;0,R928&gt;100),"invalid","Valid")</f>
        <v>invalid</v>
      </c>
      <c r="U928" t="str">
        <f>PROPER(TRIM(T928))</f>
        <v/>
      </c>
      <c r="V928" t="s">
        <v>41</v>
      </c>
      <c r="W928" t="str">
        <f t="shared" si="28"/>
        <v>Chi</v>
      </c>
      <c r="X928" t="s">
        <v>82</v>
      </c>
      <c r="Z928" t="str">
        <f>IF(D928="", "Missing", "ok")</f>
        <v>ok</v>
      </c>
      <c r="AA928">
        <f t="shared" si="29"/>
        <v>800.00800000000004</v>
      </c>
    </row>
    <row r="929" spans="1:27" x14ac:dyDescent="0.25">
      <c r="A929" t="s">
        <v>2402</v>
      </c>
      <c r="B929" s="1" t="s">
        <v>2403</v>
      </c>
      <c r="C929" t="s">
        <v>2404</v>
      </c>
      <c r="D929" t="s">
        <v>101</v>
      </c>
      <c r="E929" t="str">
        <f>PROPER(TRIM(D929))</f>
        <v>Grace</v>
      </c>
      <c r="F929" t="s">
        <v>20</v>
      </c>
      <c r="G929">
        <v>26</v>
      </c>
      <c r="H929" t="str">
        <f>IF(AND(G929&gt;18, G929&lt;65), "Valid", "Invalid")</f>
        <v>Valid</v>
      </c>
      <c r="I929" t="s">
        <v>47</v>
      </c>
      <c r="J929" t="str">
        <f>PROPER(TRIM(I929))</f>
        <v>Enugu</v>
      </c>
      <c r="K929" t="s">
        <v>22</v>
      </c>
      <c r="L929" t="str">
        <f>PROPER(TRIM(K929))</f>
        <v>Fashion</v>
      </c>
      <c r="M929" t="s">
        <v>23</v>
      </c>
      <c r="N929" t="str">
        <f>PROPER(TRIM(M929))</f>
        <v>Shirt</v>
      </c>
      <c r="O929">
        <v>323.43</v>
      </c>
      <c r="P929">
        <v>7</v>
      </c>
      <c r="Q929">
        <f>IF(P929&lt;1, 1, P929)</f>
        <v>7</v>
      </c>
      <c r="R929">
        <v>120</v>
      </c>
      <c r="S929" t="str">
        <f>IF(OR(R929&lt;0,R929&gt;100),"invalid","Valid")</f>
        <v>invalid</v>
      </c>
      <c r="U929" t="str">
        <f>PROPER(TRIM(T929))</f>
        <v/>
      </c>
      <c r="V929" t="s">
        <v>25</v>
      </c>
      <c r="W929" t="str">
        <f t="shared" si="28"/>
        <v>Dan</v>
      </c>
      <c r="X929" t="s">
        <v>82</v>
      </c>
      <c r="Y929">
        <v>4</v>
      </c>
      <c r="Z929" t="str">
        <f>IF(D929="", "Missing", "ok")</f>
        <v>ok</v>
      </c>
      <c r="AA929">
        <f t="shared" si="29"/>
        <v>-452.80199999999996</v>
      </c>
    </row>
    <row r="930" spans="1:27" x14ac:dyDescent="0.25">
      <c r="A930" t="s">
        <v>2405</v>
      </c>
      <c r="B930" s="1" t="s">
        <v>1258</v>
      </c>
      <c r="C930" t="s">
        <v>2406</v>
      </c>
      <c r="D930" t="s">
        <v>117</v>
      </c>
      <c r="E930" t="str">
        <f>PROPER(TRIM(D930))</f>
        <v>David</v>
      </c>
      <c r="F930" t="s">
        <v>46</v>
      </c>
      <c r="G930">
        <v>36</v>
      </c>
      <c r="H930" t="str">
        <f>IF(AND(G930&gt;18, G930&lt;65), "Valid", "Invalid")</f>
        <v>Valid</v>
      </c>
      <c r="I930" t="s">
        <v>86</v>
      </c>
      <c r="J930" t="str">
        <f>PROPER(TRIM(I930))</f>
        <v>Kano</v>
      </c>
      <c r="K930" t="s">
        <v>22</v>
      </c>
      <c r="L930" t="str">
        <f>PROPER(TRIM(K930))</f>
        <v>Fashion</v>
      </c>
      <c r="M930" t="s">
        <v>23</v>
      </c>
      <c r="N930" t="str">
        <f>PROPER(TRIM(M930))</f>
        <v>Shirt</v>
      </c>
      <c r="O930">
        <v>413.49</v>
      </c>
      <c r="P930">
        <v>2</v>
      </c>
      <c r="Q930">
        <f>IF(P930&lt;1, 1, P930)</f>
        <v>2</v>
      </c>
      <c r="R930">
        <v>5</v>
      </c>
      <c r="S930" t="str">
        <f>IF(OR(R930&lt;0,R930&gt;100),"invalid","Valid")</f>
        <v>Valid</v>
      </c>
      <c r="U930" t="str">
        <f>PROPER(TRIM(T930))</f>
        <v/>
      </c>
      <c r="V930" t="s">
        <v>41</v>
      </c>
      <c r="W930" t="str">
        <f t="shared" si="28"/>
        <v>Chi</v>
      </c>
      <c r="X930" t="s">
        <v>65</v>
      </c>
      <c r="Z930" t="str">
        <f>IF(D930="", "Missing", "ok")</f>
        <v>ok</v>
      </c>
      <c r="AA930">
        <f t="shared" si="29"/>
        <v>785.63099999999997</v>
      </c>
    </row>
    <row r="931" spans="1:27" x14ac:dyDescent="0.25">
      <c r="A931" t="s">
        <v>2407</v>
      </c>
      <c r="B931" s="1" t="s">
        <v>1214</v>
      </c>
      <c r="C931" t="s">
        <v>2408</v>
      </c>
      <c r="D931" t="s">
        <v>37</v>
      </c>
      <c r="E931" t="str">
        <f>PROPER(TRIM(D931))</f>
        <v>Aisha</v>
      </c>
      <c r="F931" t="s">
        <v>20</v>
      </c>
      <c r="G931">
        <v>8</v>
      </c>
      <c r="H931" t="str">
        <f>IF(AND(G931&gt;18, G931&lt;65), "Valid", "Invalid")</f>
        <v>Invalid</v>
      </c>
      <c r="I931" t="s">
        <v>30</v>
      </c>
      <c r="J931" t="str">
        <f>PROPER(TRIM(I931))</f>
        <v>Lagos</v>
      </c>
      <c r="K931" t="s">
        <v>54</v>
      </c>
      <c r="L931" t="str">
        <f>PROPER(TRIM(K931))</f>
        <v>Home</v>
      </c>
      <c r="M931" t="s">
        <v>55</v>
      </c>
      <c r="N931" t="str">
        <f>PROPER(TRIM(M931))</f>
        <v>Chair</v>
      </c>
      <c r="O931">
        <v>164.12</v>
      </c>
      <c r="P931">
        <v>-2</v>
      </c>
      <c r="Q931">
        <f>IF(P931&lt;1, 1, P931)</f>
        <v>1</v>
      </c>
      <c r="R931">
        <v>15</v>
      </c>
      <c r="S931" t="str">
        <f>IF(OR(R931&lt;0,R931&gt;100),"invalid","Valid")</f>
        <v>Valid</v>
      </c>
      <c r="U931" t="str">
        <f>PROPER(TRIM(T931))</f>
        <v/>
      </c>
      <c r="V931" t="s">
        <v>25</v>
      </c>
      <c r="W931" t="str">
        <f t="shared" si="28"/>
        <v>Dan</v>
      </c>
      <c r="X931" t="s">
        <v>82</v>
      </c>
      <c r="Y931">
        <v>5</v>
      </c>
      <c r="Z931" t="str">
        <f>IF(D931="", "Missing", "ok")</f>
        <v>ok</v>
      </c>
      <c r="AA931">
        <f t="shared" si="29"/>
        <v>139.50200000000001</v>
      </c>
    </row>
    <row r="932" spans="1:27" x14ac:dyDescent="0.25">
      <c r="A932" t="s">
        <v>2409</v>
      </c>
      <c r="B932" s="1" t="s">
        <v>1612</v>
      </c>
      <c r="C932" t="s">
        <v>2410</v>
      </c>
      <c r="D932" t="s">
        <v>117</v>
      </c>
      <c r="E932" t="str">
        <f>PROPER(TRIM(D932))</f>
        <v>David</v>
      </c>
      <c r="F932" t="s">
        <v>46</v>
      </c>
      <c r="G932">
        <v>130</v>
      </c>
      <c r="H932" t="str">
        <f>IF(AND(G932&gt;18, G932&lt;65), "Valid", "Invalid")</f>
        <v>Invalid</v>
      </c>
      <c r="I932" t="s">
        <v>53</v>
      </c>
      <c r="J932" t="str">
        <f>PROPER(TRIM(I932))</f>
        <v>Lagos</v>
      </c>
      <c r="K932" t="s">
        <v>121</v>
      </c>
      <c r="L932" t="str">
        <f>PROPER(TRIM(K932))</f>
        <v>Beauty</v>
      </c>
      <c r="M932" t="s">
        <v>122</v>
      </c>
      <c r="N932" t="str">
        <f>PROPER(TRIM(M932))</f>
        <v>Cream</v>
      </c>
      <c r="O932">
        <v>433.52</v>
      </c>
      <c r="P932">
        <v>-2</v>
      </c>
      <c r="Q932">
        <f>IF(P932&lt;1, 1, P932)</f>
        <v>1</v>
      </c>
      <c r="R932">
        <v>15</v>
      </c>
      <c r="S932" t="str">
        <f>IF(OR(R932&lt;0,R932&gt;100),"invalid","Valid")</f>
        <v>Valid</v>
      </c>
      <c r="T932" t="s">
        <v>24</v>
      </c>
      <c r="U932" t="str">
        <f>PROPER(TRIM(T932))</f>
        <v>Pos</v>
      </c>
      <c r="V932" t="s">
        <v>91</v>
      </c>
      <c r="W932" t="str">
        <f t="shared" si="28"/>
        <v>Ben</v>
      </c>
      <c r="X932" t="s">
        <v>26</v>
      </c>
      <c r="Y932">
        <v>5</v>
      </c>
      <c r="Z932" t="str">
        <f>IF(D932="", "Missing", "ok")</f>
        <v>ok</v>
      </c>
      <c r="AA932">
        <f t="shared" si="29"/>
        <v>368.49199999999996</v>
      </c>
    </row>
    <row r="933" spans="1:27" x14ac:dyDescent="0.25">
      <c r="A933" t="s">
        <v>2411</v>
      </c>
      <c r="B933" s="1" t="s">
        <v>1321</v>
      </c>
      <c r="C933" t="s">
        <v>2412</v>
      </c>
      <c r="D933" t="s">
        <v>101</v>
      </c>
      <c r="E933" t="str">
        <f>PROPER(TRIM(D933))</f>
        <v>Grace</v>
      </c>
      <c r="F933" t="s">
        <v>20</v>
      </c>
      <c r="G933">
        <v>57</v>
      </c>
      <c r="H933" t="str">
        <f>IF(AND(G933&gt;18, G933&lt;65), "Valid", "Invalid")</f>
        <v>Valid</v>
      </c>
      <c r="I933" t="s">
        <v>86</v>
      </c>
      <c r="J933" t="str">
        <f>PROPER(TRIM(I933))</f>
        <v>Kano</v>
      </c>
      <c r="K933" t="s">
        <v>54</v>
      </c>
      <c r="L933" t="str">
        <f>PROPER(TRIM(K933))</f>
        <v>Home</v>
      </c>
      <c r="M933" t="s">
        <v>55</v>
      </c>
      <c r="N933" t="str">
        <f>PROPER(TRIM(M933))</f>
        <v>Chair</v>
      </c>
      <c r="O933">
        <v>129.28</v>
      </c>
      <c r="P933">
        <v>5</v>
      </c>
      <c r="Q933">
        <f>IF(P933&lt;1, 1, P933)</f>
        <v>5</v>
      </c>
      <c r="R933">
        <v>0</v>
      </c>
      <c r="S933" t="str">
        <f>IF(OR(R933&lt;0,R933&gt;100),"invalid","Valid")</f>
        <v>Valid</v>
      </c>
      <c r="T933" t="s">
        <v>77</v>
      </c>
      <c r="U933" t="str">
        <f>PROPER(TRIM(T933))</f>
        <v>Cash</v>
      </c>
      <c r="V933" t="s">
        <v>25</v>
      </c>
      <c r="W933" t="str">
        <f t="shared" si="28"/>
        <v>Dan</v>
      </c>
      <c r="X933" t="s">
        <v>26</v>
      </c>
      <c r="Y933">
        <v>3</v>
      </c>
      <c r="Z933" t="str">
        <f>IF(D933="", "Missing", "ok")</f>
        <v>ok</v>
      </c>
      <c r="AA933">
        <f t="shared" si="29"/>
        <v>646.4</v>
      </c>
    </row>
    <row r="934" spans="1:27" x14ac:dyDescent="0.25">
      <c r="A934" t="s">
        <v>2413</v>
      </c>
      <c r="B934" s="1" t="s">
        <v>483</v>
      </c>
      <c r="C934" t="s">
        <v>2414</v>
      </c>
      <c r="D934" t="s">
        <v>69</v>
      </c>
      <c r="E934" t="str">
        <f>PROPER(TRIM(D934))</f>
        <v>Mary</v>
      </c>
      <c r="F934" t="s">
        <v>20</v>
      </c>
      <c r="G934">
        <v>130</v>
      </c>
      <c r="H934" t="str">
        <f>IF(AND(G934&gt;18, G934&lt;65), "Valid", "Invalid")</f>
        <v>Invalid</v>
      </c>
      <c r="I934" t="s">
        <v>53</v>
      </c>
      <c r="J934" t="str">
        <f>PROPER(TRIM(I934))</f>
        <v>Lagos</v>
      </c>
      <c r="K934" t="s">
        <v>39</v>
      </c>
      <c r="L934" t="str">
        <f>PROPER(TRIM(K934))</f>
        <v>Electronics</v>
      </c>
      <c r="M934" t="s">
        <v>40</v>
      </c>
      <c r="N934" t="str">
        <f>PROPER(TRIM(M934))</f>
        <v>Phone</v>
      </c>
      <c r="O934">
        <v>37.82</v>
      </c>
      <c r="P934">
        <v>-2</v>
      </c>
      <c r="Q934">
        <f>IF(P934&lt;1, 1, P934)</f>
        <v>1</v>
      </c>
      <c r="R934">
        <v>10</v>
      </c>
      <c r="S934" t="str">
        <f>IF(OR(R934&lt;0,R934&gt;100),"invalid","Valid")</f>
        <v>Valid</v>
      </c>
      <c r="U934" t="str">
        <f>PROPER(TRIM(T934))</f>
        <v/>
      </c>
      <c r="V934" t="s">
        <v>91</v>
      </c>
      <c r="W934" t="str">
        <f t="shared" si="28"/>
        <v>Ben</v>
      </c>
      <c r="X934" t="s">
        <v>82</v>
      </c>
      <c r="Y934">
        <v>5</v>
      </c>
      <c r="Z934" t="str">
        <f>IF(D934="", "Missing", "ok")</f>
        <v>ok</v>
      </c>
      <c r="AA934">
        <f t="shared" si="29"/>
        <v>34.038000000000004</v>
      </c>
    </row>
    <row r="935" spans="1:27" x14ac:dyDescent="0.25">
      <c r="A935" t="s">
        <v>2415</v>
      </c>
      <c r="B935" s="1" t="s">
        <v>2416</v>
      </c>
      <c r="C935" t="s">
        <v>2417</v>
      </c>
      <c r="D935" t="s">
        <v>69</v>
      </c>
      <c r="E935" t="str">
        <f>PROPER(TRIM(D935))</f>
        <v>Mary</v>
      </c>
      <c r="F935" t="s">
        <v>46</v>
      </c>
      <c r="G935">
        <v>130</v>
      </c>
      <c r="H935" t="str">
        <f>IF(AND(G935&gt;18, G935&lt;65), "Valid", "Invalid")</f>
        <v>Invalid</v>
      </c>
      <c r="I935" t="s">
        <v>86</v>
      </c>
      <c r="J935" t="str">
        <f>PROPER(TRIM(I935))</f>
        <v>Kano</v>
      </c>
      <c r="K935" t="s">
        <v>54</v>
      </c>
      <c r="L935" t="str">
        <f>PROPER(TRIM(K935))</f>
        <v>Home</v>
      </c>
      <c r="M935" t="s">
        <v>55</v>
      </c>
      <c r="N935" t="str">
        <f>PROPER(TRIM(M935))</f>
        <v>Chair</v>
      </c>
      <c r="O935">
        <v>243.87</v>
      </c>
      <c r="P935">
        <v>-2</v>
      </c>
      <c r="Q935">
        <f>IF(P935&lt;1, 1, P935)</f>
        <v>1</v>
      </c>
      <c r="R935">
        <v>10</v>
      </c>
      <c r="S935" t="str">
        <f>IF(OR(R935&lt;0,R935&gt;100),"invalid","Valid")</f>
        <v>Valid</v>
      </c>
      <c r="T935" t="s">
        <v>24</v>
      </c>
      <c r="U935" t="str">
        <f>PROPER(TRIM(T935))</f>
        <v>Pos</v>
      </c>
      <c r="V935" t="s">
        <v>91</v>
      </c>
      <c r="W935" t="str">
        <f t="shared" si="28"/>
        <v>Ben</v>
      </c>
      <c r="X935" t="s">
        <v>26</v>
      </c>
      <c r="Z935" t="str">
        <f>IF(D935="", "Missing", "ok")</f>
        <v>ok</v>
      </c>
      <c r="AA935">
        <f t="shared" si="29"/>
        <v>219.483</v>
      </c>
    </row>
    <row r="936" spans="1:27" x14ac:dyDescent="0.25">
      <c r="A936" t="s">
        <v>2418</v>
      </c>
      <c r="B936" s="1" t="s">
        <v>2419</v>
      </c>
      <c r="C936" t="s">
        <v>2420</v>
      </c>
      <c r="E936" t="str">
        <f>PROPER(TRIM(D936))</f>
        <v/>
      </c>
      <c r="F936" t="s">
        <v>20</v>
      </c>
      <c r="G936">
        <v>21</v>
      </c>
      <c r="H936" t="str">
        <f>IF(AND(G936&gt;18, G936&lt;65), "Valid", "Invalid")</f>
        <v>Valid</v>
      </c>
      <c r="I936" t="s">
        <v>86</v>
      </c>
      <c r="J936" t="str">
        <f>PROPER(TRIM(I936))</f>
        <v>Kano</v>
      </c>
      <c r="K936" t="s">
        <v>48</v>
      </c>
      <c r="L936" t="str">
        <f>PROPER(TRIM(K936))</f>
        <v>Groceries</v>
      </c>
      <c r="M936" t="s">
        <v>49</v>
      </c>
      <c r="N936" t="str">
        <f>PROPER(TRIM(M936))</f>
        <v>Rice</v>
      </c>
      <c r="O936">
        <v>92</v>
      </c>
      <c r="P936">
        <v>-2</v>
      </c>
      <c r="Q936">
        <f>IF(P936&lt;1, 1, P936)</f>
        <v>1</v>
      </c>
      <c r="R936">
        <v>15</v>
      </c>
      <c r="S936" t="str">
        <f>IF(OR(R936&lt;0,R936&gt;100),"invalid","Valid")</f>
        <v>Valid</v>
      </c>
      <c r="T936" t="s">
        <v>77</v>
      </c>
      <c r="U936" t="str">
        <f>PROPER(TRIM(T936))</f>
        <v>Cash</v>
      </c>
      <c r="V936" t="s">
        <v>81</v>
      </c>
      <c r="W936" t="str">
        <f t="shared" si="28"/>
        <v>Ada</v>
      </c>
      <c r="X936" t="s">
        <v>26</v>
      </c>
      <c r="Y936">
        <v>2</v>
      </c>
      <c r="Z936" t="str">
        <f>IF(D936="", "Missing", "ok")</f>
        <v>Missing</v>
      </c>
      <c r="AA936">
        <f t="shared" si="29"/>
        <v>78.2</v>
      </c>
    </row>
    <row r="937" spans="1:27" x14ac:dyDescent="0.25">
      <c r="A937" t="s">
        <v>2421</v>
      </c>
      <c r="B937" s="1" t="s">
        <v>1820</v>
      </c>
      <c r="C937" t="s">
        <v>2422</v>
      </c>
      <c r="D937" t="s">
        <v>45</v>
      </c>
      <c r="E937" t="str">
        <f>PROPER(TRIM(D937))</f>
        <v>James</v>
      </c>
      <c r="F937" t="s">
        <v>20</v>
      </c>
      <c r="G937">
        <v>40</v>
      </c>
      <c r="H937" t="str">
        <f>IF(AND(G937&gt;18, G937&lt;65), "Valid", "Invalid")</f>
        <v>Valid</v>
      </c>
      <c r="I937" t="s">
        <v>47</v>
      </c>
      <c r="J937" t="str">
        <f>PROPER(TRIM(I937))</f>
        <v>Enugu</v>
      </c>
      <c r="K937" t="s">
        <v>31</v>
      </c>
      <c r="L937" t="str">
        <f>PROPER(TRIM(K937))</f>
        <v>Sports</v>
      </c>
      <c r="M937" t="s">
        <v>32</v>
      </c>
      <c r="N937" t="str">
        <f>PROPER(TRIM(M937))</f>
        <v>Ball</v>
      </c>
      <c r="O937">
        <v>50</v>
      </c>
      <c r="P937">
        <v>1</v>
      </c>
      <c r="Q937">
        <f>IF(P937&lt;1, 1, P937)</f>
        <v>1</v>
      </c>
      <c r="R937">
        <v>-10</v>
      </c>
      <c r="S937" t="str">
        <f>IF(OR(R937&lt;0,R937&gt;100),"invalid","Valid")</f>
        <v>invalid</v>
      </c>
      <c r="T937" t="s">
        <v>24</v>
      </c>
      <c r="U937" t="str">
        <f>PROPER(TRIM(T937))</f>
        <v>Pos</v>
      </c>
      <c r="V937" t="s">
        <v>41</v>
      </c>
      <c r="W937" t="str">
        <f t="shared" si="28"/>
        <v>Chi</v>
      </c>
      <c r="X937" t="s">
        <v>65</v>
      </c>
      <c r="Y937">
        <v>5</v>
      </c>
      <c r="Z937" t="str">
        <f>IF(D937="", "Missing", "ok")</f>
        <v>ok</v>
      </c>
      <c r="AA937">
        <f t="shared" si="29"/>
        <v>55.000000000000007</v>
      </c>
    </row>
    <row r="938" spans="1:27" x14ac:dyDescent="0.25">
      <c r="A938" t="s">
        <v>2423</v>
      </c>
      <c r="B938" s="1" t="s">
        <v>2424</v>
      </c>
      <c r="C938" t="s">
        <v>1449</v>
      </c>
      <c r="D938" t="s">
        <v>19</v>
      </c>
      <c r="E938" t="str">
        <f>PROPER(TRIM(D938))</f>
        <v>Peter</v>
      </c>
      <c r="F938" t="s">
        <v>20</v>
      </c>
      <c r="G938">
        <v>8</v>
      </c>
      <c r="H938" t="str">
        <f>IF(AND(G938&gt;18, G938&lt;65), "Valid", "Invalid")</f>
        <v>Invalid</v>
      </c>
      <c r="I938" t="s">
        <v>53</v>
      </c>
      <c r="J938" t="str">
        <f>PROPER(TRIM(I938))</f>
        <v>Lagos</v>
      </c>
      <c r="K938" t="s">
        <v>54</v>
      </c>
      <c r="L938" t="str">
        <f>PROPER(TRIM(K938))</f>
        <v>Home</v>
      </c>
      <c r="M938" t="s">
        <v>55</v>
      </c>
      <c r="N938" t="str">
        <f>PROPER(TRIM(M938))</f>
        <v>Chair</v>
      </c>
      <c r="O938">
        <v>64.81</v>
      </c>
      <c r="P938">
        <v>2</v>
      </c>
      <c r="Q938">
        <f>IF(P938&lt;1, 1, P938)</f>
        <v>2</v>
      </c>
      <c r="R938">
        <v>-10</v>
      </c>
      <c r="S938" t="str">
        <f>IF(OR(R938&lt;0,R938&gt;100),"invalid","Valid")</f>
        <v>invalid</v>
      </c>
      <c r="T938" t="s">
        <v>77</v>
      </c>
      <c r="U938" t="str">
        <f>PROPER(TRIM(T938))</f>
        <v>Cash</v>
      </c>
      <c r="V938" t="s">
        <v>41</v>
      </c>
      <c r="W938" t="str">
        <f t="shared" si="28"/>
        <v>Chi</v>
      </c>
      <c r="X938" t="s">
        <v>65</v>
      </c>
      <c r="Y938">
        <v>5</v>
      </c>
      <c r="Z938" t="str">
        <f>IF(D938="", "Missing", "ok")</f>
        <v>ok</v>
      </c>
      <c r="AA938">
        <f t="shared" si="29"/>
        <v>142.58200000000002</v>
      </c>
    </row>
    <row r="939" spans="1:27" x14ac:dyDescent="0.25">
      <c r="A939" t="s">
        <v>2425</v>
      </c>
      <c r="B939" s="1" t="s">
        <v>2426</v>
      </c>
      <c r="C939" t="s">
        <v>2427</v>
      </c>
      <c r="D939" t="s">
        <v>45</v>
      </c>
      <c r="E939" t="str">
        <f>PROPER(TRIM(D939))</f>
        <v>James</v>
      </c>
      <c r="F939" t="s">
        <v>46</v>
      </c>
      <c r="G939">
        <v>56</v>
      </c>
      <c r="H939" t="str">
        <f>IF(AND(G939&gt;18, G939&lt;65), "Valid", "Invalid")</f>
        <v>Valid</v>
      </c>
      <c r="I939" t="s">
        <v>70</v>
      </c>
      <c r="J939" t="str">
        <f>PROPER(TRIM(I939))</f>
        <v>Abuja</v>
      </c>
      <c r="K939" t="s">
        <v>121</v>
      </c>
      <c r="L939" t="str">
        <f>PROPER(TRIM(K939))</f>
        <v>Beauty</v>
      </c>
      <c r="M939" t="s">
        <v>122</v>
      </c>
      <c r="N939" t="str">
        <f>PROPER(TRIM(M939))</f>
        <v>Cream</v>
      </c>
      <c r="O939">
        <v>315.49</v>
      </c>
      <c r="P939">
        <v>7</v>
      </c>
      <c r="Q939">
        <f>IF(P939&lt;1, 1, P939)</f>
        <v>7</v>
      </c>
      <c r="R939">
        <v>120</v>
      </c>
      <c r="S939" t="str">
        <f>IF(OR(R939&lt;0,R939&gt;100),"invalid","Valid")</f>
        <v>invalid</v>
      </c>
      <c r="T939" t="s">
        <v>77</v>
      </c>
      <c r="U939" t="str">
        <f>PROPER(TRIM(T939))</f>
        <v>Cash</v>
      </c>
      <c r="V939" t="s">
        <v>25</v>
      </c>
      <c r="W939" t="str">
        <f t="shared" si="28"/>
        <v>Dan</v>
      </c>
      <c r="X939" t="s">
        <v>82</v>
      </c>
      <c r="Y939">
        <v>3</v>
      </c>
      <c r="Z939" t="str">
        <f>IF(D939="", "Missing", "ok")</f>
        <v>ok</v>
      </c>
      <c r="AA939">
        <f t="shared" si="29"/>
        <v>-441.68599999999998</v>
      </c>
    </row>
    <row r="940" spans="1:27" x14ac:dyDescent="0.25">
      <c r="A940" t="s">
        <v>2428</v>
      </c>
      <c r="B940" s="1" t="s">
        <v>1315</v>
      </c>
      <c r="C940" t="s">
        <v>2429</v>
      </c>
      <c r="E940" t="str">
        <f>PROPER(TRIM(D940))</f>
        <v/>
      </c>
      <c r="F940" t="s">
        <v>46</v>
      </c>
      <c r="G940">
        <v>34</v>
      </c>
      <c r="H940" t="str">
        <f>IF(AND(G940&gt;18, G940&lt;65), "Valid", "Invalid")</f>
        <v>Valid</v>
      </c>
      <c r="I940" t="s">
        <v>86</v>
      </c>
      <c r="J940" t="str">
        <f>PROPER(TRIM(I940))</f>
        <v>Kano</v>
      </c>
      <c r="K940" t="s">
        <v>31</v>
      </c>
      <c r="L940" t="str">
        <f>PROPER(TRIM(K940))</f>
        <v>Sports</v>
      </c>
      <c r="M940" t="s">
        <v>32</v>
      </c>
      <c r="N940" t="str">
        <f>PROPER(TRIM(M940))</f>
        <v>Ball</v>
      </c>
      <c r="O940">
        <v>109.69</v>
      </c>
      <c r="P940">
        <v>-2</v>
      </c>
      <c r="Q940">
        <f>IF(P940&lt;1, 1, P940)</f>
        <v>1</v>
      </c>
      <c r="R940">
        <v>15</v>
      </c>
      <c r="S940" t="str">
        <f>IF(OR(R940&lt;0,R940&gt;100),"invalid","Valid")</f>
        <v>Valid</v>
      </c>
      <c r="T940" t="s">
        <v>64</v>
      </c>
      <c r="U940" t="str">
        <f>PROPER(TRIM(T940))</f>
        <v>Transfer</v>
      </c>
      <c r="V940" t="s">
        <v>41</v>
      </c>
      <c r="W940" t="str">
        <f t="shared" si="28"/>
        <v>Chi</v>
      </c>
      <c r="X940" t="s">
        <v>65</v>
      </c>
      <c r="Y940">
        <v>1</v>
      </c>
      <c r="Z940" t="str">
        <f>IF(D940="", "Missing", "ok")</f>
        <v>Missing</v>
      </c>
      <c r="AA940">
        <f t="shared" si="29"/>
        <v>93.236499999999992</v>
      </c>
    </row>
    <row r="941" spans="1:27" x14ac:dyDescent="0.25">
      <c r="A941" t="s">
        <v>2430</v>
      </c>
      <c r="B941" s="1" t="s">
        <v>273</v>
      </c>
      <c r="C941" t="s">
        <v>2431</v>
      </c>
      <c r="D941" t="s">
        <v>63</v>
      </c>
      <c r="E941" t="str">
        <f>PROPER(TRIM(D941))</f>
        <v>John</v>
      </c>
      <c r="F941" t="s">
        <v>46</v>
      </c>
      <c r="G941">
        <v>130</v>
      </c>
      <c r="H941" t="str">
        <f>IF(AND(G941&gt;18, G941&lt;65), "Valid", "Invalid")</f>
        <v>Invalid</v>
      </c>
      <c r="I941" t="s">
        <v>21</v>
      </c>
      <c r="J941" t="str">
        <f>PROPER(TRIM(I941))</f>
        <v>Lagos</v>
      </c>
      <c r="K941" t="s">
        <v>39</v>
      </c>
      <c r="L941" t="str">
        <f>PROPER(TRIM(K941))</f>
        <v>Electronics</v>
      </c>
      <c r="M941" t="s">
        <v>40</v>
      </c>
      <c r="N941" t="str">
        <f>PROPER(TRIM(M941))</f>
        <v>Phone</v>
      </c>
      <c r="O941">
        <v>445.86</v>
      </c>
      <c r="P941">
        <v>-2</v>
      </c>
      <c r="Q941">
        <f>IF(P941&lt;1, 1, P941)</f>
        <v>1</v>
      </c>
      <c r="R941">
        <v>10</v>
      </c>
      <c r="S941" t="str">
        <f>IF(OR(R941&lt;0,R941&gt;100),"invalid","Valid")</f>
        <v>Valid</v>
      </c>
      <c r="T941" t="s">
        <v>77</v>
      </c>
      <c r="U941" t="str">
        <f>PROPER(TRIM(T941))</f>
        <v>Cash</v>
      </c>
      <c r="V941" t="s">
        <v>91</v>
      </c>
      <c r="W941" t="str">
        <f t="shared" si="28"/>
        <v>Ben</v>
      </c>
      <c r="X941" t="s">
        <v>82</v>
      </c>
      <c r="Z941" t="str">
        <f>IF(D941="", "Missing", "ok")</f>
        <v>ok</v>
      </c>
      <c r="AA941">
        <f t="shared" si="29"/>
        <v>401.274</v>
      </c>
    </row>
    <row r="942" spans="1:27" x14ac:dyDescent="0.25">
      <c r="A942" t="s">
        <v>2432</v>
      </c>
      <c r="B942" s="1" t="s">
        <v>2433</v>
      </c>
      <c r="C942" t="s">
        <v>2434</v>
      </c>
      <c r="D942" t="s">
        <v>101</v>
      </c>
      <c r="E942" t="str">
        <f>PROPER(TRIM(D942))</f>
        <v>Grace</v>
      </c>
      <c r="F942" t="s">
        <v>20</v>
      </c>
      <c r="G942">
        <v>56</v>
      </c>
      <c r="H942" t="str">
        <f>IF(AND(G942&gt;18, G942&lt;65), "Valid", "Invalid")</f>
        <v>Valid</v>
      </c>
      <c r="I942" t="s">
        <v>86</v>
      </c>
      <c r="J942" t="str">
        <f>PROPER(TRIM(I942))</f>
        <v>Kano</v>
      </c>
      <c r="K942" t="s">
        <v>54</v>
      </c>
      <c r="L942" t="str">
        <f>PROPER(TRIM(K942))</f>
        <v>Home</v>
      </c>
      <c r="M942" t="s">
        <v>55</v>
      </c>
      <c r="N942" t="str">
        <f>PROPER(TRIM(M942))</f>
        <v>Chair</v>
      </c>
      <c r="O942">
        <v>93.36</v>
      </c>
      <c r="P942">
        <v>10</v>
      </c>
      <c r="Q942">
        <f>IF(P942&lt;1, 1, P942)</f>
        <v>10</v>
      </c>
      <c r="R942">
        <v>-10</v>
      </c>
      <c r="S942" t="str">
        <f>IF(OR(R942&lt;0,R942&gt;100),"invalid","Valid")</f>
        <v>invalid</v>
      </c>
      <c r="T942" t="s">
        <v>24</v>
      </c>
      <c r="U942" t="str">
        <f>PROPER(TRIM(T942))</f>
        <v>Pos</v>
      </c>
      <c r="V942" t="s">
        <v>81</v>
      </c>
      <c r="W942" t="str">
        <f t="shared" si="28"/>
        <v>Ada</v>
      </c>
      <c r="X942" t="s">
        <v>26</v>
      </c>
      <c r="Z942" t="str">
        <f>IF(D942="", "Missing", "ok")</f>
        <v>ok</v>
      </c>
      <c r="AA942">
        <f t="shared" si="29"/>
        <v>1026.96</v>
      </c>
    </row>
    <row r="943" spans="1:27" x14ac:dyDescent="0.25">
      <c r="A943" t="s">
        <v>2435</v>
      </c>
      <c r="B943" s="1" t="s">
        <v>849</v>
      </c>
      <c r="C943" t="s">
        <v>2436</v>
      </c>
      <c r="D943" t="s">
        <v>101</v>
      </c>
      <c r="E943" t="str">
        <f>PROPER(TRIM(D943))</f>
        <v>Grace</v>
      </c>
      <c r="F943" t="s">
        <v>20</v>
      </c>
      <c r="G943">
        <v>130</v>
      </c>
      <c r="H943" t="str">
        <f>IF(AND(G943&gt;18, G943&lt;65), "Valid", "Invalid")</f>
        <v>Invalid</v>
      </c>
      <c r="I943" t="s">
        <v>86</v>
      </c>
      <c r="J943" t="str">
        <f>PROPER(TRIM(I943))</f>
        <v>Kano</v>
      </c>
      <c r="K943" t="s">
        <v>48</v>
      </c>
      <c r="L943" t="str">
        <f>PROPER(TRIM(K943))</f>
        <v>Groceries</v>
      </c>
      <c r="M943" t="s">
        <v>49</v>
      </c>
      <c r="N943" t="str">
        <f>PROPER(TRIM(M943))</f>
        <v>Rice</v>
      </c>
      <c r="O943">
        <v>408.19</v>
      </c>
      <c r="P943">
        <v>-2</v>
      </c>
      <c r="Q943">
        <f>IF(P943&lt;1, 1, P943)</f>
        <v>1</v>
      </c>
      <c r="R943">
        <v>15</v>
      </c>
      <c r="S943" t="str">
        <f>IF(OR(R943&lt;0,R943&gt;100),"invalid","Valid")</f>
        <v>Valid</v>
      </c>
      <c r="T943" t="s">
        <v>59</v>
      </c>
      <c r="U943" t="str">
        <f>PROPER(TRIM(T943))</f>
        <v>Mobile Money</v>
      </c>
      <c r="V943" t="s">
        <v>81</v>
      </c>
      <c r="W943" t="str">
        <f t="shared" si="28"/>
        <v>Ada</v>
      </c>
      <c r="X943" t="s">
        <v>82</v>
      </c>
      <c r="Z943" t="str">
        <f>IF(D943="", "Missing", "ok")</f>
        <v>ok</v>
      </c>
      <c r="AA943">
        <f t="shared" si="29"/>
        <v>346.9615</v>
      </c>
    </row>
    <row r="944" spans="1:27" x14ac:dyDescent="0.25">
      <c r="A944" t="s">
        <v>2437</v>
      </c>
      <c r="B944" s="1" t="s">
        <v>2438</v>
      </c>
      <c r="C944" t="s">
        <v>2439</v>
      </c>
      <c r="D944" t="s">
        <v>45</v>
      </c>
      <c r="E944" t="str">
        <f>PROPER(TRIM(D944))</f>
        <v>James</v>
      </c>
      <c r="F944" t="s">
        <v>46</v>
      </c>
      <c r="G944">
        <v>130</v>
      </c>
      <c r="H944" t="str">
        <f>IF(AND(G944&gt;18, G944&lt;65), "Valid", "Invalid")</f>
        <v>Invalid</v>
      </c>
      <c r="I944" t="s">
        <v>30</v>
      </c>
      <c r="J944" t="str">
        <f>PROPER(TRIM(I944))</f>
        <v>Lagos</v>
      </c>
      <c r="K944" t="s">
        <v>39</v>
      </c>
      <c r="L944" t="str">
        <f>PROPER(TRIM(K944))</f>
        <v>Electronics</v>
      </c>
      <c r="M944" t="s">
        <v>40</v>
      </c>
      <c r="N944" t="str">
        <f>PROPER(TRIM(M944))</f>
        <v>Phone</v>
      </c>
      <c r="O944">
        <v>427.19</v>
      </c>
      <c r="P944">
        <v>5</v>
      </c>
      <c r="Q944">
        <f>IF(P944&lt;1, 1, P944)</f>
        <v>5</v>
      </c>
      <c r="R944">
        <v>5</v>
      </c>
      <c r="S944" t="str">
        <f>IF(OR(R944&lt;0,R944&gt;100),"invalid","Valid")</f>
        <v>Valid</v>
      </c>
      <c r="U944" t="str">
        <f>PROPER(TRIM(T944))</f>
        <v/>
      </c>
      <c r="V944" t="s">
        <v>81</v>
      </c>
      <c r="W944" t="str">
        <f t="shared" si="28"/>
        <v>Ada</v>
      </c>
      <c r="X944" t="s">
        <v>33</v>
      </c>
      <c r="Y944">
        <v>3</v>
      </c>
      <c r="Z944" t="str">
        <f>IF(D944="", "Missing", "ok")</f>
        <v>ok</v>
      </c>
      <c r="AA944">
        <f t="shared" si="29"/>
        <v>2029.1524999999997</v>
      </c>
    </row>
    <row r="945" spans="1:27" x14ac:dyDescent="0.25">
      <c r="A945" t="s">
        <v>2440</v>
      </c>
      <c r="B945" s="1" t="s">
        <v>831</v>
      </c>
      <c r="C945" t="s">
        <v>2441</v>
      </c>
      <c r="D945" t="s">
        <v>19</v>
      </c>
      <c r="E945" t="str">
        <f>PROPER(TRIM(D945))</f>
        <v>Peter</v>
      </c>
      <c r="F945" t="s">
        <v>46</v>
      </c>
      <c r="G945">
        <v>37</v>
      </c>
      <c r="H945" t="str">
        <f>IF(AND(G945&gt;18, G945&lt;65), "Valid", "Invalid")</f>
        <v>Valid</v>
      </c>
      <c r="I945" t="s">
        <v>47</v>
      </c>
      <c r="J945" t="str">
        <f>PROPER(TRIM(I945))</f>
        <v>Enugu</v>
      </c>
      <c r="K945" t="s">
        <v>87</v>
      </c>
      <c r="L945" t="str">
        <f>PROPER(TRIM(K945))</f>
        <v>Groceris</v>
      </c>
      <c r="M945" t="s">
        <v>49</v>
      </c>
      <c r="N945" t="str">
        <f>PROPER(TRIM(M945))</f>
        <v>Rice</v>
      </c>
      <c r="O945">
        <v>363.4</v>
      </c>
      <c r="P945">
        <v>-2</v>
      </c>
      <c r="Q945">
        <f>IF(P945&lt;1, 1, P945)</f>
        <v>1</v>
      </c>
      <c r="R945">
        <v>0</v>
      </c>
      <c r="S945" t="str">
        <f>IF(OR(R945&lt;0,R945&gt;100),"invalid","Valid")</f>
        <v>Valid</v>
      </c>
      <c r="T945" t="s">
        <v>59</v>
      </c>
      <c r="U945" t="str">
        <f>PROPER(TRIM(T945))</f>
        <v>Mobile Money</v>
      </c>
      <c r="V945" t="s">
        <v>25</v>
      </c>
      <c r="W945" t="str">
        <f t="shared" si="28"/>
        <v>Dan</v>
      </c>
      <c r="X945" t="s">
        <v>33</v>
      </c>
      <c r="Y945">
        <v>5</v>
      </c>
      <c r="Z945" t="str">
        <f>IF(D945="", "Missing", "ok")</f>
        <v>ok</v>
      </c>
      <c r="AA945">
        <f t="shared" si="29"/>
        <v>363.4</v>
      </c>
    </row>
    <row r="946" spans="1:27" x14ac:dyDescent="0.25">
      <c r="A946" t="s">
        <v>2442</v>
      </c>
      <c r="B946" s="1" t="s">
        <v>2443</v>
      </c>
      <c r="C946" t="s">
        <v>2444</v>
      </c>
      <c r="D946" t="s">
        <v>101</v>
      </c>
      <c r="E946" t="str">
        <f>PROPER(TRIM(D946))</f>
        <v>Grace</v>
      </c>
      <c r="F946" t="s">
        <v>46</v>
      </c>
      <c r="G946">
        <v>8</v>
      </c>
      <c r="H946" t="str">
        <f>IF(AND(G946&gt;18, G946&lt;65), "Valid", "Invalid")</f>
        <v>Invalid</v>
      </c>
      <c r="I946" t="s">
        <v>86</v>
      </c>
      <c r="J946" t="str">
        <f>PROPER(TRIM(I946))</f>
        <v>Kano</v>
      </c>
      <c r="K946" t="s">
        <v>22</v>
      </c>
      <c r="L946" t="str">
        <f>PROPER(TRIM(K946))</f>
        <v>Fashion</v>
      </c>
      <c r="M946" t="s">
        <v>23</v>
      </c>
      <c r="N946" t="str">
        <f>PROPER(TRIM(M946))</f>
        <v>Shirt</v>
      </c>
      <c r="O946">
        <v>129.28</v>
      </c>
      <c r="P946">
        <v>8</v>
      </c>
      <c r="Q946">
        <f>IF(P946&lt;1, 1, P946)</f>
        <v>8</v>
      </c>
      <c r="R946">
        <v>15</v>
      </c>
      <c r="S946" t="str">
        <f>IF(OR(R946&lt;0,R946&gt;100),"invalid","Valid")</f>
        <v>Valid</v>
      </c>
      <c r="T946" t="s">
        <v>24</v>
      </c>
      <c r="U946" t="str">
        <f>PROPER(TRIM(T946))</f>
        <v>Pos</v>
      </c>
      <c r="V946" t="s">
        <v>25</v>
      </c>
      <c r="W946" t="str">
        <f t="shared" si="28"/>
        <v>Dan</v>
      </c>
      <c r="X946" t="s">
        <v>26</v>
      </c>
      <c r="Y946">
        <v>4</v>
      </c>
      <c r="Z946" t="str">
        <f>IF(D946="", "Missing", "ok")</f>
        <v>ok</v>
      </c>
      <c r="AA946">
        <f t="shared" si="29"/>
        <v>879.10399999999993</v>
      </c>
    </row>
    <row r="947" spans="1:27" x14ac:dyDescent="0.25">
      <c r="A947" t="s">
        <v>2445</v>
      </c>
      <c r="B947" s="1" t="s">
        <v>874</v>
      </c>
      <c r="C947" t="s">
        <v>2446</v>
      </c>
      <c r="D947" t="s">
        <v>117</v>
      </c>
      <c r="E947" t="str">
        <f>PROPER(TRIM(D947))</f>
        <v>David</v>
      </c>
      <c r="F947" t="s">
        <v>46</v>
      </c>
      <c r="G947">
        <v>34</v>
      </c>
      <c r="H947" t="str">
        <f>IF(AND(G947&gt;18, G947&lt;65), "Valid", "Invalid")</f>
        <v>Valid</v>
      </c>
      <c r="I947" t="s">
        <v>70</v>
      </c>
      <c r="J947" t="str">
        <f>PROPER(TRIM(I947))</f>
        <v>Abuja</v>
      </c>
      <c r="K947" t="s">
        <v>39</v>
      </c>
      <c r="L947" t="str">
        <f>PROPER(TRIM(K947))</f>
        <v>Electronics</v>
      </c>
      <c r="M947" t="s">
        <v>40</v>
      </c>
      <c r="N947" t="str">
        <f>PROPER(TRIM(M947))</f>
        <v>Phone</v>
      </c>
      <c r="O947">
        <v>44.98</v>
      </c>
      <c r="P947">
        <v>-2</v>
      </c>
      <c r="Q947">
        <f>IF(P947&lt;1, 1, P947)</f>
        <v>1</v>
      </c>
      <c r="R947">
        <v>5</v>
      </c>
      <c r="S947" t="str">
        <f>IF(OR(R947&lt;0,R947&gt;100),"invalid","Valid")</f>
        <v>Valid</v>
      </c>
      <c r="T947" t="s">
        <v>59</v>
      </c>
      <c r="U947" t="str">
        <f>PROPER(TRIM(T947))</f>
        <v>Mobile Money</v>
      </c>
      <c r="V947" t="s">
        <v>25</v>
      </c>
      <c r="W947" t="str">
        <f t="shared" si="28"/>
        <v>Dan</v>
      </c>
      <c r="X947" t="s">
        <v>33</v>
      </c>
      <c r="Y947">
        <v>2</v>
      </c>
      <c r="Z947" t="str">
        <f>IF(D947="", "Missing", "ok")</f>
        <v>ok</v>
      </c>
      <c r="AA947">
        <f t="shared" si="29"/>
        <v>42.730999999999995</v>
      </c>
    </row>
    <row r="948" spans="1:27" x14ac:dyDescent="0.25">
      <c r="A948" t="s">
        <v>2447</v>
      </c>
      <c r="B948" s="1" t="s">
        <v>768</v>
      </c>
      <c r="C948" t="s">
        <v>2448</v>
      </c>
      <c r="D948" t="s">
        <v>101</v>
      </c>
      <c r="E948" t="str">
        <f>PROPER(TRIM(D948))</f>
        <v>Grace</v>
      </c>
      <c r="F948" t="s">
        <v>20</v>
      </c>
      <c r="G948">
        <v>8</v>
      </c>
      <c r="H948" t="str">
        <f>IF(AND(G948&gt;18, G948&lt;65), "Valid", "Invalid")</f>
        <v>Invalid</v>
      </c>
      <c r="I948" t="s">
        <v>53</v>
      </c>
      <c r="J948" t="str">
        <f>PROPER(TRIM(I948))</f>
        <v>Lagos</v>
      </c>
      <c r="K948" t="s">
        <v>48</v>
      </c>
      <c r="L948" t="str">
        <f>PROPER(TRIM(K948))</f>
        <v>Groceries</v>
      </c>
      <c r="M948" t="s">
        <v>49</v>
      </c>
      <c r="N948" t="str">
        <f>PROPER(TRIM(M948))</f>
        <v>Rice</v>
      </c>
      <c r="O948">
        <v>433.28</v>
      </c>
      <c r="P948">
        <v>-2</v>
      </c>
      <c r="Q948">
        <f>IF(P948&lt;1, 1, P948)</f>
        <v>1</v>
      </c>
      <c r="R948">
        <v>5</v>
      </c>
      <c r="S948" t="str">
        <f>IF(OR(R948&lt;0,R948&gt;100),"invalid","Valid")</f>
        <v>Valid</v>
      </c>
      <c r="U948" t="str">
        <f>PROPER(TRIM(T948))</f>
        <v/>
      </c>
      <c r="V948" t="s">
        <v>91</v>
      </c>
      <c r="W948" t="str">
        <f t="shared" si="28"/>
        <v>Ben</v>
      </c>
      <c r="X948" t="s">
        <v>65</v>
      </c>
      <c r="Y948">
        <v>1</v>
      </c>
      <c r="Z948" t="str">
        <f>IF(D948="", "Missing", "ok")</f>
        <v>ok</v>
      </c>
      <c r="AA948">
        <f t="shared" si="29"/>
        <v>411.61599999999993</v>
      </c>
    </row>
    <row r="949" spans="1:27" x14ac:dyDescent="0.25">
      <c r="A949" t="s">
        <v>2449</v>
      </c>
      <c r="B949" s="1" t="s">
        <v>437</v>
      </c>
      <c r="C949" t="s">
        <v>2450</v>
      </c>
      <c r="E949" t="str">
        <f>PROPER(TRIM(D949))</f>
        <v/>
      </c>
      <c r="F949" t="s">
        <v>46</v>
      </c>
      <c r="G949">
        <v>8</v>
      </c>
      <c r="H949" t="str">
        <f>IF(AND(G949&gt;18, G949&lt;65), "Valid", "Invalid")</f>
        <v>Invalid</v>
      </c>
      <c r="I949" t="s">
        <v>70</v>
      </c>
      <c r="J949" t="str">
        <f>PROPER(TRIM(I949))</f>
        <v>Abuja</v>
      </c>
      <c r="K949" t="s">
        <v>22</v>
      </c>
      <c r="L949" t="str">
        <f>PROPER(TRIM(K949))</f>
        <v>Fashion</v>
      </c>
      <c r="M949" t="s">
        <v>23</v>
      </c>
      <c r="N949" t="str">
        <f>PROPER(TRIM(M949))</f>
        <v>Shirt</v>
      </c>
      <c r="O949">
        <v>177.22</v>
      </c>
      <c r="P949">
        <v>-2</v>
      </c>
      <c r="Q949">
        <f>IF(P949&lt;1, 1, P949)</f>
        <v>1</v>
      </c>
      <c r="R949">
        <v>120</v>
      </c>
      <c r="S949" t="str">
        <f>IF(OR(R949&lt;0,R949&gt;100),"invalid","Valid")</f>
        <v>invalid</v>
      </c>
      <c r="U949" t="str">
        <f>PROPER(TRIM(T949))</f>
        <v/>
      </c>
      <c r="V949" t="s">
        <v>25</v>
      </c>
      <c r="W949" t="str">
        <f t="shared" si="28"/>
        <v>Dan</v>
      </c>
      <c r="X949" t="s">
        <v>82</v>
      </c>
      <c r="Y949">
        <v>2</v>
      </c>
      <c r="Z949" t="str">
        <f>IF(D949="", "Missing", "ok")</f>
        <v>Missing</v>
      </c>
      <c r="AA949">
        <f t="shared" si="29"/>
        <v>-35.443999999999988</v>
      </c>
    </row>
    <row r="950" spans="1:27" x14ac:dyDescent="0.25">
      <c r="A950" t="s">
        <v>2451</v>
      </c>
      <c r="B950" s="1" t="s">
        <v>1648</v>
      </c>
      <c r="C950" t="s">
        <v>2452</v>
      </c>
      <c r="D950" t="s">
        <v>69</v>
      </c>
      <c r="E950" t="str">
        <f>PROPER(TRIM(D950))</f>
        <v>Mary</v>
      </c>
      <c r="F950" t="s">
        <v>20</v>
      </c>
      <c r="G950">
        <v>130</v>
      </c>
      <c r="H950" t="str">
        <f>IF(AND(G950&gt;18, G950&lt;65), "Valid", "Invalid")</f>
        <v>Invalid</v>
      </c>
      <c r="I950" t="s">
        <v>70</v>
      </c>
      <c r="J950" t="str">
        <f>PROPER(TRIM(I950))</f>
        <v>Abuja</v>
      </c>
      <c r="K950" t="s">
        <v>54</v>
      </c>
      <c r="L950" t="str">
        <f>PROPER(TRIM(K950))</f>
        <v>Home</v>
      </c>
      <c r="M950" t="s">
        <v>55</v>
      </c>
      <c r="N950" t="str">
        <f>PROPER(TRIM(M950))</f>
        <v>Chair</v>
      </c>
      <c r="O950">
        <v>243.48</v>
      </c>
      <c r="P950">
        <v>2</v>
      </c>
      <c r="Q950">
        <f>IF(P950&lt;1, 1, P950)</f>
        <v>2</v>
      </c>
      <c r="R950">
        <v>0</v>
      </c>
      <c r="S950" t="str">
        <f>IF(OR(R950&lt;0,R950&gt;100),"invalid","Valid")</f>
        <v>Valid</v>
      </c>
      <c r="T950" t="s">
        <v>24</v>
      </c>
      <c r="U950" t="str">
        <f>PROPER(TRIM(T950))</f>
        <v>Pos</v>
      </c>
      <c r="V950" t="s">
        <v>41</v>
      </c>
      <c r="W950" t="str">
        <f t="shared" si="28"/>
        <v>Chi</v>
      </c>
      <c r="X950" t="s">
        <v>26</v>
      </c>
      <c r="Y950">
        <v>2</v>
      </c>
      <c r="Z950" t="str">
        <f>IF(D950="", "Missing", "ok")</f>
        <v>ok</v>
      </c>
      <c r="AA950">
        <f t="shared" si="29"/>
        <v>486.96</v>
      </c>
    </row>
    <row r="951" spans="1:27" x14ac:dyDescent="0.25">
      <c r="A951" t="s">
        <v>2453</v>
      </c>
      <c r="B951" s="1" t="s">
        <v>1633</v>
      </c>
      <c r="C951" t="s">
        <v>350</v>
      </c>
      <c r="D951" t="s">
        <v>69</v>
      </c>
      <c r="E951" t="str">
        <f>PROPER(TRIM(D951))</f>
        <v>Mary</v>
      </c>
      <c r="F951" t="s">
        <v>20</v>
      </c>
      <c r="G951">
        <v>34</v>
      </c>
      <c r="H951" t="str">
        <f>IF(AND(G951&gt;18, G951&lt;65), "Valid", "Invalid")</f>
        <v>Valid</v>
      </c>
      <c r="I951" t="s">
        <v>21</v>
      </c>
      <c r="J951" t="str">
        <f>PROPER(TRIM(I951))</f>
        <v>Lagos</v>
      </c>
      <c r="K951" t="s">
        <v>121</v>
      </c>
      <c r="L951" t="str">
        <f>PROPER(TRIM(K951))</f>
        <v>Beauty</v>
      </c>
      <c r="M951" t="s">
        <v>122</v>
      </c>
      <c r="N951" t="str">
        <f>PROPER(TRIM(M951))</f>
        <v>Cream</v>
      </c>
      <c r="O951">
        <v>289.58999999999997</v>
      </c>
      <c r="P951">
        <v>9</v>
      </c>
      <c r="Q951">
        <f>IF(P951&lt;1, 1, P951)</f>
        <v>9</v>
      </c>
      <c r="R951">
        <v>120</v>
      </c>
      <c r="S951" t="str">
        <f>IF(OR(R951&lt;0,R951&gt;100),"invalid","Valid")</f>
        <v>invalid</v>
      </c>
      <c r="T951" t="s">
        <v>77</v>
      </c>
      <c r="U951" t="str">
        <f>PROPER(TRIM(T951))</f>
        <v>Cash</v>
      </c>
      <c r="V951" t="s">
        <v>81</v>
      </c>
      <c r="W951" t="str">
        <f t="shared" si="28"/>
        <v>Ada</v>
      </c>
      <c r="X951" t="s">
        <v>82</v>
      </c>
      <c r="Y951">
        <v>5</v>
      </c>
      <c r="Z951" t="str">
        <f>IF(D951="", "Missing", "ok")</f>
        <v>ok</v>
      </c>
      <c r="AA951">
        <f t="shared" si="29"/>
        <v>-521.26199999999983</v>
      </c>
    </row>
    <row r="952" spans="1:27" x14ac:dyDescent="0.25">
      <c r="A952" t="s">
        <v>2454</v>
      </c>
      <c r="B952" s="1" t="s">
        <v>2455</v>
      </c>
      <c r="C952" t="s">
        <v>2456</v>
      </c>
      <c r="D952" t="s">
        <v>19</v>
      </c>
      <c r="E952" t="str">
        <f>PROPER(TRIM(D952))</f>
        <v>Peter</v>
      </c>
      <c r="F952" t="s">
        <v>20</v>
      </c>
      <c r="G952">
        <v>20</v>
      </c>
      <c r="H952" t="str">
        <f>IF(AND(G952&gt;18, G952&lt;65), "Valid", "Invalid")</f>
        <v>Valid</v>
      </c>
      <c r="I952" t="s">
        <v>86</v>
      </c>
      <c r="J952" t="str">
        <f>PROPER(TRIM(I952))</f>
        <v>Kano</v>
      </c>
      <c r="K952" t="s">
        <v>39</v>
      </c>
      <c r="L952" t="str">
        <f>PROPER(TRIM(K952))</f>
        <v>Electronics</v>
      </c>
      <c r="M952" t="s">
        <v>40</v>
      </c>
      <c r="N952" t="str">
        <f>PROPER(TRIM(M952))</f>
        <v>Phone</v>
      </c>
      <c r="O952">
        <v>154.01</v>
      </c>
      <c r="P952">
        <v>-2</v>
      </c>
      <c r="Q952">
        <f>IF(P952&lt;1, 1, P952)</f>
        <v>1</v>
      </c>
      <c r="R952">
        <v>120</v>
      </c>
      <c r="S952" t="str">
        <f>IF(OR(R952&lt;0,R952&gt;100),"invalid","Valid")</f>
        <v>invalid</v>
      </c>
      <c r="T952" t="s">
        <v>64</v>
      </c>
      <c r="U952" t="str">
        <f>PROPER(TRIM(T952))</f>
        <v>Transfer</v>
      </c>
      <c r="V952" t="s">
        <v>25</v>
      </c>
      <c r="W952" t="str">
        <f t="shared" si="28"/>
        <v>Dan</v>
      </c>
      <c r="X952" t="s">
        <v>33</v>
      </c>
      <c r="Z952" t="str">
        <f>IF(D952="", "Missing", "ok")</f>
        <v>ok</v>
      </c>
      <c r="AA952">
        <f t="shared" si="29"/>
        <v>-30.801999999999992</v>
      </c>
    </row>
    <row r="953" spans="1:27" x14ac:dyDescent="0.25">
      <c r="A953" t="s">
        <v>2457</v>
      </c>
      <c r="B953" s="1" t="s">
        <v>1417</v>
      </c>
      <c r="C953" t="s">
        <v>2458</v>
      </c>
      <c r="D953" t="s">
        <v>45</v>
      </c>
      <c r="E953" t="str">
        <f>PROPER(TRIM(D953))</f>
        <v>James</v>
      </c>
      <c r="F953" t="s">
        <v>46</v>
      </c>
      <c r="G953">
        <v>8</v>
      </c>
      <c r="H953" t="str">
        <f>IF(AND(G953&gt;18, G953&lt;65), "Valid", "Invalid")</f>
        <v>Invalid</v>
      </c>
      <c r="I953" t="s">
        <v>86</v>
      </c>
      <c r="J953" t="str">
        <f>PROPER(TRIM(I953))</f>
        <v>Kano</v>
      </c>
      <c r="K953" t="s">
        <v>31</v>
      </c>
      <c r="L953" t="str">
        <f>PROPER(TRIM(K953))</f>
        <v>Sports</v>
      </c>
      <c r="M953" t="s">
        <v>32</v>
      </c>
      <c r="N953" t="str">
        <f>PROPER(TRIM(M953))</f>
        <v>Ball</v>
      </c>
      <c r="O953">
        <v>291.81</v>
      </c>
      <c r="P953">
        <v>-2</v>
      </c>
      <c r="Q953">
        <f>IF(P953&lt;1, 1, P953)</f>
        <v>1</v>
      </c>
      <c r="R953">
        <v>15</v>
      </c>
      <c r="S953" t="str">
        <f>IF(OR(R953&lt;0,R953&gt;100),"invalid","Valid")</f>
        <v>Valid</v>
      </c>
      <c r="T953" t="s">
        <v>64</v>
      </c>
      <c r="U953" t="str">
        <f>PROPER(TRIM(T953))</f>
        <v>Transfer</v>
      </c>
      <c r="V953" t="s">
        <v>25</v>
      </c>
      <c r="W953" t="str">
        <f t="shared" si="28"/>
        <v>Dan</v>
      </c>
      <c r="X953" t="s">
        <v>82</v>
      </c>
      <c r="Y953">
        <v>3</v>
      </c>
      <c r="Z953" t="str">
        <f>IF(D953="", "Missing", "ok")</f>
        <v>ok</v>
      </c>
      <c r="AA953">
        <f t="shared" si="29"/>
        <v>248.0385</v>
      </c>
    </row>
    <row r="954" spans="1:27" x14ac:dyDescent="0.25">
      <c r="A954" t="s">
        <v>2459</v>
      </c>
      <c r="B954" s="1" t="s">
        <v>2460</v>
      </c>
      <c r="C954" t="s">
        <v>2461</v>
      </c>
      <c r="E954" t="str">
        <f>PROPER(TRIM(D954))</f>
        <v/>
      </c>
      <c r="F954" t="s">
        <v>20</v>
      </c>
      <c r="G954">
        <v>8</v>
      </c>
      <c r="H954" t="str">
        <f>IF(AND(G954&gt;18, G954&lt;65), "Valid", "Invalid")</f>
        <v>Invalid</v>
      </c>
      <c r="I954" t="s">
        <v>38</v>
      </c>
      <c r="J954" t="str">
        <f>PROPER(TRIM(I954))</f>
        <v>Ph</v>
      </c>
      <c r="K954" t="s">
        <v>54</v>
      </c>
      <c r="L954" t="str">
        <f>PROPER(TRIM(K954))</f>
        <v>Home</v>
      </c>
      <c r="M954" t="s">
        <v>55</v>
      </c>
      <c r="N954" t="str">
        <f>PROPER(TRIM(M954))</f>
        <v>Chair</v>
      </c>
      <c r="O954">
        <v>125.71</v>
      </c>
      <c r="P954">
        <v>-2</v>
      </c>
      <c r="Q954">
        <f>IF(P954&lt;1, 1, P954)</f>
        <v>1</v>
      </c>
      <c r="R954">
        <v>5</v>
      </c>
      <c r="S954" t="str">
        <f>IF(OR(R954&lt;0,R954&gt;100),"invalid","Valid")</f>
        <v>Valid</v>
      </c>
      <c r="T954" t="s">
        <v>64</v>
      </c>
      <c r="U954" t="str">
        <f>PROPER(TRIM(T954))</f>
        <v>Transfer</v>
      </c>
      <c r="V954" t="s">
        <v>91</v>
      </c>
      <c r="W954" t="str">
        <f t="shared" si="28"/>
        <v>Ben</v>
      </c>
      <c r="X954" t="s">
        <v>33</v>
      </c>
      <c r="Y954">
        <v>4</v>
      </c>
      <c r="Z954" t="str">
        <f>IF(D954="", "Missing", "ok")</f>
        <v>Missing</v>
      </c>
      <c r="AA954">
        <f t="shared" si="29"/>
        <v>119.42449999999999</v>
      </c>
    </row>
    <row r="955" spans="1:27" x14ac:dyDescent="0.25">
      <c r="A955" t="s">
        <v>2462</v>
      </c>
      <c r="B955" s="1" t="s">
        <v>303</v>
      </c>
      <c r="C955" t="s">
        <v>2463</v>
      </c>
      <c r="D955" t="s">
        <v>101</v>
      </c>
      <c r="E955" t="str">
        <f>PROPER(TRIM(D955))</f>
        <v>Grace</v>
      </c>
      <c r="F955" t="s">
        <v>46</v>
      </c>
      <c r="G955">
        <v>130</v>
      </c>
      <c r="H955" t="str">
        <f>IF(AND(G955&gt;18, G955&lt;65), "Valid", "Invalid")</f>
        <v>Invalid</v>
      </c>
      <c r="I955" t="s">
        <v>53</v>
      </c>
      <c r="J955" t="str">
        <f>PROPER(TRIM(I955))</f>
        <v>Lagos</v>
      </c>
      <c r="K955" t="s">
        <v>54</v>
      </c>
      <c r="L955" t="str">
        <f>PROPER(TRIM(K955))</f>
        <v>Home</v>
      </c>
      <c r="M955" t="s">
        <v>55</v>
      </c>
      <c r="N955" t="str">
        <f>PROPER(TRIM(M955))</f>
        <v>Chair</v>
      </c>
      <c r="O955">
        <v>100.48</v>
      </c>
      <c r="P955">
        <v>2</v>
      </c>
      <c r="Q955">
        <f>IF(P955&lt;1, 1, P955)</f>
        <v>2</v>
      </c>
      <c r="R955">
        <v>10</v>
      </c>
      <c r="S955" t="str">
        <f>IF(OR(R955&lt;0,R955&gt;100),"invalid","Valid")</f>
        <v>Valid</v>
      </c>
      <c r="T955" t="s">
        <v>77</v>
      </c>
      <c r="U955" t="str">
        <f>PROPER(TRIM(T955))</f>
        <v>Cash</v>
      </c>
      <c r="V955" t="s">
        <v>25</v>
      </c>
      <c r="W955" t="str">
        <f t="shared" si="28"/>
        <v>Dan</v>
      </c>
      <c r="X955" t="s">
        <v>33</v>
      </c>
      <c r="Z955" t="str">
        <f>IF(D955="", "Missing", "ok")</f>
        <v>ok</v>
      </c>
      <c r="AA955">
        <f t="shared" si="29"/>
        <v>180.864</v>
      </c>
    </row>
    <row r="956" spans="1:27" x14ac:dyDescent="0.25">
      <c r="A956" t="s">
        <v>2464</v>
      </c>
      <c r="B956" s="1" t="s">
        <v>2465</v>
      </c>
      <c r="C956" t="s">
        <v>2203</v>
      </c>
      <c r="E956" t="str">
        <f>PROPER(TRIM(D956))</f>
        <v/>
      </c>
      <c r="F956" t="s">
        <v>20</v>
      </c>
      <c r="G956">
        <v>27</v>
      </c>
      <c r="H956" t="str">
        <f>IF(AND(G956&gt;18, G956&lt;65), "Valid", "Invalid")</f>
        <v>Valid</v>
      </c>
      <c r="I956" t="s">
        <v>38</v>
      </c>
      <c r="J956" t="str">
        <f>PROPER(TRIM(I956))</f>
        <v>Ph</v>
      </c>
      <c r="K956" t="s">
        <v>87</v>
      </c>
      <c r="L956" t="str">
        <f>PROPER(TRIM(K956))</f>
        <v>Groceris</v>
      </c>
      <c r="M956" t="s">
        <v>49</v>
      </c>
      <c r="N956" t="str">
        <f>PROPER(TRIM(M956))</f>
        <v>Rice</v>
      </c>
      <c r="O956">
        <v>329.35</v>
      </c>
      <c r="P956">
        <v>1</v>
      </c>
      <c r="Q956">
        <f>IF(P956&lt;1, 1, P956)</f>
        <v>1</v>
      </c>
      <c r="R956">
        <v>5</v>
      </c>
      <c r="S956" t="str">
        <f>IF(OR(R956&lt;0,R956&gt;100),"invalid","Valid")</f>
        <v>Valid</v>
      </c>
      <c r="T956" t="s">
        <v>64</v>
      </c>
      <c r="U956" t="str">
        <f>PROPER(TRIM(T956))</f>
        <v>Transfer</v>
      </c>
      <c r="V956" t="s">
        <v>25</v>
      </c>
      <c r="W956" t="str">
        <f t="shared" si="28"/>
        <v>Dan</v>
      </c>
      <c r="X956" t="s">
        <v>82</v>
      </c>
      <c r="Y956">
        <v>3</v>
      </c>
      <c r="Z956" t="str">
        <f>IF(D956="", "Missing", "ok")</f>
        <v>Missing</v>
      </c>
      <c r="AA956">
        <f t="shared" si="29"/>
        <v>312.88249999999999</v>
      </c>
    </row>
    <row r="957" spans="1:27" x14ac:dyDescent="0.25">
      <c r="A957" t="s">
        <v>2466</v>
      </c>
      <c r="B957" s="1" t="s">
        <v>1342</v>
      </c>
      <c r="C957" t="s">
        <v>2467</v>
      </c>
      <c r="D957" t="s">
        <v>69</v>
      </c>
      <c r="E957" t="str">
        <f>PROPER(TRIM(D957))</f>
        <v>Mary</v>
      </c>
      <c r="F957" t="s">
        <v>20</v>
      </c>
      <c r="G957">
        <v>37</v>
      </c>
      <c r="H957" t="str">
        <f>IF(AND(G957&gt;18, G957&lt;65), "Valid", "Invalid")</f>
        <v>Valid</v>
      </c>
      <c r="I957" t="s">
        <v>21</v>
      </c>
      <c r="J957" t="str">
        <f>PROPER(TRIM(I957))</f>
        <v>Lagos</v>
      </c>
      <c r="K957" t="s">
        <v>54</v>
      </c>
      <c r="L957" t="str">
        <f>PROPER(TRIM(K957))</f>
        <v>Home</v>
      </c>
      <c r="M957" t="s">
        <v>55</v>
      </c>
      <c r="N957" t="str">
        <f>PROPER(TRIM(M957))</f>
        <v>Chair</v>
      </c>
      <c r="O957">
        <v>380.6</v>
      </c>
      <c r="P957">
        <v>-2</v>
      </c>
      <c r="Q957">
        <f>IF(P957&lt;1, 1, P957)</f>
        <v>1</v>
      </c>
      <c r="R957">
        <v>10</v>
      </c>
      <c r="S957" t="str">
        <f>IF(OR(R957&lt;0,R957&gt;100),"invalid","Valid")</f>
        <v>Valid</v>
      </c>
      <c r="T957" t="s">
        <v>59</v>
      </c>
      <c r="U957" t="str">
        <f>PROPER(TRIM(T957))</f>
        <v>Mobile Money</v>
      </c>
      <c r="V957" t="s">
        <v>41</v>
      </c>
      <c r="W957" t="str">
        <f t="shared" si="28"/>
        <v>Chi</v>
      </c>
      <c r="X957" t="s">
        <v>33</v>
      </c>
      <c r="Y957">
        <v>2</v>
      </c>
      <c r="Z957" t="str">
        <f>IF(D957="", "Missing", "ok")</f>
        <v>ok</v>
      </c>
      <c r="AA957">
        <f t="shared" si="29"/>
        <v>342.54</v>
      </c>
    </row>
    <row r="958" spans="1:27" x14ac:dyDescent="0.25">
      <c r="A958" t="s">
        <v>2468</v>
      </c>
      <c r="B958" s="1" t="s">
        <v>133</v>
      </c>
      <c r="C958" t="s">
        <v>2469</v>
      </c>
      <c r="D958" t="s">
        <v>117</v>
      </c>
      <c r="E958" t="str">
        <f>PROPER(TRIM(D958))</f>
        <v>David</v>
      </c>
      <c r="F958" t="s">
        <v>46</v>
      </c>
      <c r="G958">
        <v>8</v>
      </c>
      <c r="H958" t="str">
        <f>IF(AND(G958&gt;18, G958&lt;65), "Valid", "Invalid")</f>
        <v>Invalid</v>
      </c>
      <c r="I958" t="s">
        <v>47</v>
      </c>
      <c r="J958" t="str">
        <f>PROPER(TRIM(I958))</f>
        <v>Enugu</v>
      </c>
      <c r="K958" t="s">
        <v>48</v>
      </c>
      <c r="L958" t="str">
        <f>PROPER(TRIM(K958))</f>
        <v>Groceries</v>
      </c>
      <c r="M958" t="s">
        <v>49</v>
      </c>
      <c r="N958" t="str">
        <f>PROPER(TRIM(M958))</f>
        <v>Rice</v>
      </c>
      <c r="O958">
        <v>327.17</v>
      </c>
      <c r="P958">
        <v>3</v>
      </c>
      <c r="Q958">
        <f>IF(P958&lt;1, 1, P958)</f>
        <v>3</v>
      </c>
      <c r="R958">
        <v>15</v>
      </c>
      <c r="S958" t="str">
        <f>IF(OR(R958&lt;0,R958&gt;100),"invalid","Valid")</f>
        <v>Valid</v>
      </c>
      <c r="T958" t="s">
        <v>59</v>
      </c>
      <c r="U958" t="str">
        <f>PROPER(TRIM(T958))</f>
        <v>Mobile Money</v>
      </c>
      <c r="V958" t="s">
        <v>91</v>
      </c>
      <c r="W958" t="str">
        <f t="shared" si="28"/>
        <v>Ben</v>
      </c>
      <c r="X958" t="s">
        <v>26</v>
      </c>
      <c r="Z958" t="str">
        <f>IF(D958="", "Missing", "ok")</f>
        <v>ok</v>
      </c>
      <c r="AA958">
        <f t="shared" si="29"/>
        <v>834.2835</v>
      </c>
    </row>
    <row r="959" spans="1:27" x14ac:dyDescent="0.25">
      <c r="A959" t="s">
        <v>2470</v>
      </c>
      <c r="B959" s="1" t="s">
        <v>434</v>
      </c>
      <c r="C959" t="s">
        <v>2471</v>
      </c>
      <c r="E959" t="str">
        <f>PROPER(TRIM(D959))</f>
        <v/>
      </c>
      <c r="F959" t="s">
        <v>46</v>
      </c>
      <c r="G959">
        <v>8</v>
      </c>
      <c r="H959" t="str">
        <f>IF(AND(G959&gt;18, G959&lt;65), "Valid", "Invalid")</f>
        <v>Invalid</v>
      </c>
      <c r="I959" t="s">
        <v>30</v>
      </c>
      <c r="J959" t="str">
        <f>PROPER(TRIM(I959))</f>
        <v>Lagos</v>
      </c>
      <c r="K959" t="s">
        <v>54</v>
      </c>
      <c r="L959" t="str">
        <f>PROPER(TRIM(K959))</f>
        <v>Home</v>
      </c>
      <c r="M959" t="s">
        <v>55</v>
      </c>
      <c r="N959" t="str">
        <f>PROPER(TRIM(M959))</f>
        <v>Chair</v>
      </c>
      <c r="O959">
        <v>250.67</v>
      </c>
      <c r="P959">
        <v>-2</v>
      </c>
      <c r="Q959">
        <f>IF(P959&lt;1, 1, P959)</f>
        <v>1</v>
      </c>
      <c r="R959">
        <v>-10</v>
      </c>
      <c r="S959" t="str">
        <f>IF(OR(R959&lt;0,R959&gt;100),"invalid","Valid")</f>
        <v>invalid</v>
      </c>
      <c r="T959" t="s">
        <v>24</v>
      </c>
      <c r="U959" t="str">
        <f>PROPER(TRIM(T959))</f>
        <v>Pos</v>
      </c>
      <c r="V959" t="s">
        <v>41</v>
      </c>
      <c r="W959" t="str">
        <f t="shared" si="28"/>
        <v>Chi</v>
      </c>
      <c r="X959" t="s">
        <v>65</v>
      </c>
      <c r="Z959" t="str">
        <f>IF(D959="", "Missing", "ok")</f>
        <v>Missing</v>
      </c>
      <c r="AA959">
        <f t="shared" si="29"/>
        <v>275.73700000000002</v>
      </c>
    </row>
    <row r="960" spans="1:27" x14ac:dyDescent="0.25">
      <c r="A960" t="s">
        <v>2472</v>
      </c>
      <c r="B960" s="1" t="s">
        <v>961</v>
      </c>
      <c r="C960" t="s">
        <v>2473</v>
      </c>
      <c r="E960" t="str">
        <f>PROPER(TRIM(D960))</f>
        <v/>
      </c>
      <c r="F960" t="s">
        <v>46</v>
      </c>
      <c r="G960">
        <v>130</v>
      </c>
      <c r="H960" t="str">
        <f>IF(AND(G960&gt;18, G960&lt;65), "Valid", "Invalid")</f>
        <v>Invalid</v>
      </c>
      <c r="I960" t="s">
        <v>70</v>
      </c>
      <c r="J960" t="str">
        <f>PROPER(TRIM(I960))</f>
        <v>Abuja</v>
      </c>
      <c r="K960" t="s">
        <v>87</v>
      </c>
      <c r="L960" t="str">
        <f>PROPER(TRIM(K960))</f>
        <v>Groceris</v>
      </c>
      <c r="M960" t="s">
        <v>49</v>
      </c>
      <c r="N960" t="str">
        <f>PROPER(TRIM(M960))</f>
        <v>Rice</v>
      </c>
      <c r="O960">
        <v>13.18</v>
      </c>
      <c r="P960">
        <v>9</v>
      </c>
      <c r="Q960">
        <f>IF(P960&lt;1, 1, P960)</f>
        <v>9</v>
      </c>
      <c r="R960">
        <v>-10</v>
      </c>
      <c r="S960" t="str">
        <f>IF(OR(R960&lt;0,R960&gt;100),"invalid","Valid")</f>
        <v>invalid</v>
      </c>
      <c r="T960" t="s">
        <v>64</v>
      </c>
      <c r="U960" t="str">
        <f>PROPER(TRIM(T960))</f>
        <v>Transfer</v>
      </c>
      <c r="V960" t="s">
        <v>91</v>
      </c>
      <c r="W960" t="str">
        <f t="shared" si="28"/>
        <v>Ben</v>
      </c>
      <c r="X960" t="s">
        <v>33</v>
      </c>
      <c r="Y960">
        <v>4</v>
      </c>
      <c r="Z960" t="str">
        <f>IF(D960="", "Missing", "ok")</f>
        <v>Missing</v>
      </c>
      <c r="AA960">
        <f t="shared" si="29"/>
        <v>130.48200000000003</v>
      </c>
    </row>
    <row r="961" spans="1:27" x14ac:dyDescent="0.25">
      <c r="A961" t="s">
        <v>2474</v>
      </c>
      <c r="B961" s="1" t="s">
        <v>2341</v>
      </c>
      <c r="C961" t="s">
        <v>2475</v>
      </c>
      <c r="D961" t="s">
        <v>101</v>
      </c>
      <c r="E961" t="str">
        <f>PROPER(TRIM(D961))</f>
        <v>Grace</v>
      </c>
      <c r="F961" t="s">
        <v>46</v>
      </c>
      <c r="G961">
        <v>8</v>
      </c>
      <c r="H961" t="str">
        <f>IF(AND(G961&gt;18, G961&lt;65), "Valid", "Invalid")</f>
        <v>Invalid</v>
      </c>
      <c r="I961" t="s">
        <v>70</v>
      </c>
      <c r="J961" t="str">
        <f>PROPER(TRIM(I961))</f>
        <v>Abuja</v>
      </c>
      <c r="K961" t="s">
        <v>48</v>
      </c>
      <c r="L961" t="str">
        <f>PROPER(TRIM(K961))</f>
        <v>Groceries</v>
      </c>
      <c r="M961" t="s">
        <v>49</v>
      </c>
      <c r="N961" t="str">
        <f>PROPER(TRIM(M961))</f>
        <v>Rice</v>
      </c>
      <c r="O961">
        <v>320.64999999999998</v>
      </c>
      <c r="P961">
        <v>-2</v>
      </c>
      <c r="Q961">
        <f>IF(P961&lt;1, 1, P961)</f>
        <v>1</v>
      </c>
      <c r="R961">
        <v>120</v>
      </c>
      <c r="S961" t="str">
        <f>IF(OR(R961&lt;0,R961&gt;100),"invalid","Valid")</f>
        <v>invalid</v>
      </c>
      <c r="T961" t="s">
        <v>59</v>
      </c>
      <c r="U961" t="str">
        <f>PROPER(TRIM(T961))</f>
        <v>Mobile Money</v>
      </c>
      <c r="V961" t="s">
        <v>41</v>
      </c>
      <c r="W961" t="str">
        <f t="shared" si="28"/>
        <v>Chi</v>
      </c>
      <c r="X961" t="s">
        <v>26</v>
      </c>
      <c r="Y961">
        <v>3</v>
      </c>
      <c r="Z961" t="str">
        <f>IF(D961="", "Missing", "ok")</f>
        <v>ok</v>
      </c>
      <c r="AA961">
        <f t="shared" si="29"/>
        <v>-64.129999999999981</v>
      </c>
    </row>
    <row r="962" spans="1:27" x14ac:dyDescent="0.25">
      <c r="A962" t="s">
        <v>2476</v>
      </c>
      <c r="B962" s="1" t="s">
        <v>1324</v>
      </c>
      <c r="C962" t="s">
        <v>2477</v>
      </c>
      <c r="D962" t="s">
        <v>69</v>
      </c>
      <c r="E962" t="str">
        <f>PROPER(TRIM(D962))</f>
        <v>Mary</v>
      </c>
      <c r="F962" t="s">
        <v>20</v>
      </c>
      <c r="G962">
        <v>8</v>
      </c>
      <c r="H962" t="str">
        <f>IF(AND(G962&gt;18, G962&lt;65), "Valid", "Invalid")</f>
        <v>Invalid</v>
      </c>
      <c r="I962" t="s">
        <v>38</v>
      </c>
      <c r="J962" t="str">
        <f>PROPER(TRIM(I962))</f>
        <v>Ph</v>
      </c>
      <c r="K962" t="s">
        <v>39</v>
      </c>
      <c r="L962" t="str">
        <f>PROPER(TRIM(K962))</f>
        <v>Electronics</v>
      </c>
      <c r="M962" t="s">
        <v>40</v>
      </c>
      <c r="N962" t="str">
        <f>PROPER(TRIM(M962))</f>
        <v>Phone</v>
      </c>
      <c r="O962">
        <v>254.03</v>
      </c>
      <c r="P962">
        <v>-2</v>
      </c>
      <c r="Q962">
        <f>IF(P962&lt;1, 1, P962)</f>
        <v>1</v>
      </c>
      <c r="R962">
        <v>10</v>
      </c>
      <c r="S962" t="str">
        <f>IF(OR(R962&lt;0,R962&gt;100),"invalid","Valid")</f>
        <v>Valid</v>
      </c>
      <c r="T962" t="s">
        <v>77</v>
      </c>
      <c r="U962" t="str">
        <f>PROPER(TRIM(T962))</f>
        <v>Cash</v>
      </c>
      <c r="V962" t="s">
        <v>81</v>
      </c>
      <c r="W962" t="str">
        <f t="shared" ref="W962:W1025" si="30">PROPER(TRIM(V962))</f>
        <v>Ada</v>
      </c>
      <c r="X962" t="s">
        <v>65</v>
      </c>
      <c r="Y962">
        <v>5</v>
      </c>
      <c r="Z962" t="str">
        <f>IF(D962="", "Missing", "ok")</f>
        <v>ok</v>
      </c>
      <c r="AA962">
        <f t="shared" si="29"/>
        <v>228.62700000000001</v>
      </c>
    </row>
    <row r="963" spans="1:27" x14ac:dyDescent="0.25">
      <c r="A963" t="s">
        <v>2478</v>
      </c>
      <c r="B963" s="1" t="s">
        <v>2479</v>
      </c>
      <c r="C963" t="s">
        <v>2480</v>
      </c>
      <c r="D963" t="s">
        <v>37</v>
      </c>
      <c r="E963" t="str">
        <f>PROPER(TRIM(D963))</f>
        <v>Aisha</v>
      </c>
      <c r="F963" t="s">
        <v>46</v>
      </c>
      <c r="G963">
        <v>8</v>
      </c>
      <c r="H963" t="str">
        <f>IF(AND(G963&gt;18, G963&lt;65), "Valid", "Invalid")</f>
        <v>Invalid</v>
      </c>
      <c r="I963" t="s">
        <v>21</v>
      </c>
      <c r="J963" t="str">
        <f>PROPER(TRIM(I963))</f>
        <v>Lagos</v>
      </c>
      <c r="K963" t="s">
        <v>54</v>
      </c>
      <c r="L963" t="str">
        <f>PROPER(TRIM(K963))</f>
        <v>Home</v>
      </c>
      <c r="M963" t="s">
        <v>55</v>
      </c>
      <c r="N963" t="str">
        <f>PROPER(TRIM(M963))</f>
        <v>Chair</v>
      </c>
      <c r="O963">
        <v>298.57</v>
      </c>
      <c r="P963">
        <v>1</v>
      </c>
      <c r="Q963">
        <f>IF(P963&lt;1, 1, P963)</f>
        <v>1</v>
      </c>
      <c r="R963">
        <v>15</v>
      </c>
      <c r="S963" t="str">
        <f>IF(OR(R963&lt;0,R963&gt;100),"invalid","Valid")</f>
        <v>Valid</v>
      </c>
      <c r="T963" t="s">
        <v>64</v>
      </c>
      <c r="U963" t="str">
        <f>PROPER(TRIM(T963))</f>
        <v>Transfer</v>
      </c>
      <c r="V963" t="s">
        <v>25</v>
      </c>
      <c r="W963" t="str">
        <f t="shared" si="30"/>
        <v>Dan</v>
      </c>
      <c r="X963" t="s">
        <v>82</v>
      </c>
      <c r="Z963" t="str">
        <f>IF(D963="", "Missing", "ok")</f>
        <v>ok</v>
      </c>
      <c r="AA963">
        <f t="shared" ref="AA963:AA1026" si="31">(O963*Q963)*(1-R963/100)</f>
        <v>253.78449999999998</v>
      </c>
    </row>
    <row r="964" spans="1:27" x14ac:dyDescent="0.25">
      <c r="A964" t="s">
        <v>2481</v>
      </c>
      <c r="B964" s="1" t="s">
        <v>2482</v>
      </c>
      <c r="C964" t="s">
        <v>2483</v>
      </c>
      <c r="D964" t="s">
        <v>45</v>
      </c>
      <c r="E964" t="str">
        <f>PROPER(TRIM(D964))</f>
        <v>James</v>
      </c>
      <c r="F964" t="s">
        <v>20</v>
      </c>
      <c r="G964">
        <v>47</v>
      </c>
      <c r="H964" t="str">
        <f>IF(AND(G964&gt;18, G964&lt;65), "Valid", "Invalid")</f>
        <v>Valid</v>
      </c>
      <c r="I964" t="s">
        <v>86</v>
      </c>
      <c r="J964" t="str">
        <f>PROPER(TRIM(I964))</f>
        <v>Kano</v>
      </c>
      <c r="K964" t="s">
        <v>31</v>
      </c>
      <c r="L964" t="str">
        <f>PROPER(TRIM(K964))</f>
        <v>Sports</v>
      </c>
      <c r="M964" t="s">
        <v>32</v>
      </c>
      <c r="N964" t="str">
        <f>PROPER(TRIM(M964))</f>
        <v>Ball</v>
      </c>
      <c r="O964">
        <v>192.44</v>
      </c>
      <c r="P964">
        <v>-2</v>
      </c>
      <c r="Q964">
        <f>IF(P964&lt;1, 1, P964)</f>
        <v>1</v>
      </c>
      <c r="R964">
        <v>120</v>
      </c>
      <c r="S964" t="str">
        <f>IF(OR(R964&lt;0,R964&gt;100),"invalid","Valid")</f>
        <v>invalid</v>
      </c>
      <c r="T964" t="s">
        <v>24</v>
      </c>
      <c r="U964" t="str">
        <f>PROPER(TRIM(T964))</f>
        <v>Pos</v>
      </c>
      <c r="V964" t="s">
        <v>25</v>
      </c>
      <c r="W964" t="str">
        <f t="shared" si="30"/>
        <v>Dan</v>
      </c>
      <c r="X964" t="s">
        <v>82</v>
      </c>
      <c r="Z964" t="str">
        <f>IF(D964="", "Missing", "ok")</f>
        <v>ok</v>
      </c>
      <c r="AA964">
        <f t="shared" si="31"/>
        <v>-38.487999999999992</v>
      </c>
    </row>
    <row r="965" spans="1:27" x14ac:dyDescent="0.25">
      <c r="A965" t="s">
        <v>2484</v>
      </c>
      <c r="B965" s="1" t="s">
        <v>223</v>
      </c>
      <c r="C965" t="s">
        <v>2485</v>
      </c>
      <c r="D965" t="s">
        <v>101</v>
      </c>
      <c r="E965" t="str">
        <f>PROPER(TRIM(D965))</f>
        <v>Grace</v>
      </c>
      <c r="F965" t="s">
        <v>46</v>
      </c>
      <c r="G965">
        <v>31</v>
      </c>
      <c r="H965" t="str">
        <f>IF(AND(G965&gt;18, G965&lt;65), "Valid", "Invalid")</f>
        <v>Valid</v>
      </c>
      <c r="I965" t="s">
        <v>70</v>
      </c>
      <c r="J965" t="str">
        <f>PROPER(TRIM(I965))</f>
        <v>Abuja</v>
      </c>
      <c r="K965" t="s">
        <v>54</v>
      </c>
      <c r="L965" t="str">
        <f>PROPER(TRIM(K965))</f>
        <v>Home</v>
      </c>
      <c r="M965" t="s">
        <v>55</v>
      </c>
      <c r="N965" t="str">
        <f>PROPER(TRIM(M965))</f>
        <v>Chair</v>
      </c>
      <c r="O965">
        <v>64.12</v>
      </c>
      <c r="P965">
        <v>4</v>
      </c>
      <c r="Q965">
        <f>IF(P965&lt;1, 1, P965)</f>
        <v>4</v>
      </c>
      <c r="R965">
        <v>10</v>
      </c>
      <c r="S965" t="str">
        <f>IF(OR(R965&lt;0,R965&gt;100),"invalid","Valid")</f>
        <v>Valid</v>
      </c>
      <c r="U965" t="str">
        <f>PROPER(TRIM(T965))</f>
        <v/>
      </c>
      <c r="V965" t="s">
        <v>81</v>
      </c>
      <c r="W965" t="str">
        <f t="shared" si="30"/>
        <v>Ada</v>
      </c>
      <c r="X965" t="s">
        <v>82</v>
      </c>
      <c r="Y965">
        <v>5</v>
      </c>
      <c r="Z965" t="str">
        <f>IF(D965="", "Missing", "ok")</f>
        <v>ok</v>
      </c>
      <c r="AA965">
        <f t="shared" si="31"/>
        <v>230.83200000000002</v>
      </c>
    </row>
    <row r="966" spans="1:27" x14ac:dyDescent="0.25">
      <c r="A966" t="s">
        <v>2486</v>
      </c>
      <c r="B966" s="1" t="s">
        <v>951</v>
      </c>
      <c r="C966" t="s">
        <v>2487</v>
      </c>
      <c r="E966" t="str">
        <f>PROPER(TRIM(D966))</f>
        <v/>
      </c>
      <c r="F966" t="s">
        <v>46</v>
      </c>
      <c r="G966">
        <v>26</v>
      </c>
      <c r="H966" t="str">
        <f>IF(AND(G966&gt;18, G966&lt;65), "Valid", "Invalid")</f>
        <v>Valid</v>
      </c>
      <c r="I966" t="s">
        <v>30</v>
      </c>
      <c r="J966" t="str">
        <f>PROPER(TRIM(I966))</f>
        <v>Lagos</v>
      </c>
      <c r="K966" t="s">
        <v>39</v>
      </c>
      <c r="L966" t="str">
        <f>PROPER(TRIM(K966))</f>
        <v>Electronics</v>
      </c>
      <c r="M966" t="s">
        <v>40</v>
      </c>
      <c r="N966" t="str">
        <f>PROPER(TRIM(M966))</f>
        <v>Phone</v>
      </c>
      <c r="O966">
        <v>247</v>
      </c>
      <c r="P966">
        <v>8</v>
      </c>
      <c r="Q966">
        <f>IF(P966&lt;1, 1, P966)</f>
        <v>8</v>
      </c>
      <c r="R966">
        <v>5</v>
      </c>
      <c r="S966" t="str">
        <f>IF(OR(R966&lt;0,R966&gt;100),"invalid","Valid")</f>
        <v>Valid</v>
      </c>
      <c r="U966" t="str">
        <f>PROPER(TRIM(T966))</f>
        <v/>
      </c>
      <c r="V966" t="s">
        <v>81</v>
      </c>
      <c r="W966" t="str">
        <f t="shared" si="30"/>
        <v>Ada</v>
      </c>
      <c r="X966" t="s">
        <v>33</v>
      </c>
      <c r="Y966">
        <v>1</v>
      </c>
      <c r="Z966" t="str">
        <f>IF(D966="", "Missing", "ok")</f>
        <v>Missing</v>
      </c>
      <c r="AA966">
        <f t="shared" si="31"/>
        <v>1877.1999999999998</v>
      </c>
    </row>
    <row r="967" spans="1:27" x14ac:dyDescent="0.25">
      <c r="A967" t="s">
        <v>2488</v>
      </c>
      <c r="B967" s="1" t="s">
        <v>2489</v>
      </c>
      <c r="C967" t="s">
        <v>2490</v>
      </c>
      <c r="E967" t="str">
        <f>PROPER(TRIM(D967))</f>
        <v/>
      </c>
      <c r="F967" t="s">
        <v>46</v>
      </c>
      <c r="G967">
        <v>130</v>
      </c>
      <c r="H967" t="str">
        <f>IF(AND(G967&gt;18, G967&lt;65), "Valid", "Invalid")</f>
        <v>Invalid</v>
      </c>
      <c r="I967" t="s">
        <v>38</v>
      </c>
      <c r="J967" t="str">
        <f>PROPER(TRIM(I967))</f>
        <v>Ph</v>
      </c>
      <c r="K967" t="s">
        <v>39</v>
      </c>
      <c r="L967" t="str">
        <f>PROPER(TRIM(K967))</f>
        <v>Electronics</v>
      </c>
      <c r="M967" t="s">
        <v>40</v>
      </c>
      <c r="N967" t="str">
        <f>PROPER(TRIM(M967))</f>
        <v>Phone</v>
      </c>
      <c r="O967">
        <v>277.22000000000003</v>
      </c>
      <c r="P967">
        <v>5</v>
      </c>
      <c r="Q967">
        <f>IF(P967&lt;1, 1, P967)</f>
        <v>5</v>
      </c>
      <c r="R967">
        <v>10</v>
      </c>
      <c r="S967" t="str">
        <f>IF(OR(R967&lt;0,R967&gt;100),"invalid","Valid")</f>
        <v>Valid</v>
      </c>
      <c r="U967" t="str">
        <f>PROPER(TRIM(T967))</f>
        <v/>
      </c>
      <c r="V967" t="s">
        <v>41</v>
      </c>
      <c r="W967" t="str">
        <f t="shared" si="30"/>
        <v>Chi</v>
      </c>
      <c r="X967" t="s">
        <v>33</v>
      </c>
      <c r="Y967">
        <v>1</v>
      </c>
      <c r="Z967" t="str">
        <f>IF(D967="", "Missing", "ok")</f>
        <v>Missing</v>
      </c>
      <c r="AA967">
        <f t="shared" si="31"/>
        <v>1247.4900000000002</v>
      </c>
    </row>
    <row r="968" spans="1:27" x14ac:dyDescent="0.25">
      <c r="A968" t="s">
        <v>2491</v>
      </c>
      <c r="B968" s="1" t="s">
        <v>2492</v>
      </c>
      <c r="C968" t="s">
        <v>2493</v>
      </c>
      <c r="D968" t="s">
        <v>117</v>
      </c>
      <c r="E968" t="str">
        <f>PROPER(TRIM(D968))</f>
        <v>David</v>
      </c>
      <c r="F968" t="s">
        <v>46</v>
      </c>
      <c r="G968">
        <v>8</v>
      </c>
      <c r="H968" t="str">
        <f>IF(AND(G968&gt;18, G968&lt;65), "Valid", "Invalid")</f>
        <v>Invalid</v>
      </c>
      <c r="I968" t="s">
        <v>70</v>
      </c>
      <c r="J968" t="str">
        <f>PROPER(TRIM(I968))</f>
        <v>Abuja</v>
      </c>
      <c r="K968" t="s">
        <v>54</v>
      </c>
      <c r="L968" t="str">
        <f>PROPER(TRIM(K968))</f>
        <v>Home</v>
      </c>
      <c r="M968" t="s">
        <v>55</v>
      </c>
      <c r="N968" t="str">
        <f>PROPER(TRIM(M968))</f>
        <v>Chair</v>
      </c>
      <c r="O968">
        <v>126.77</v>
      </c>
      <c r="P968">
        <v>-2</v>
      </c>
      <c r="Q968">
        <f>IF(P968&lt;1, 1, P968)</f>
        <v>1</v>
      </c>
      <c r="R968">
        <v>10</v>
      </c>
      <c r="S968" t="str">
        <f>IF(OR(R968&lt;0,R968&gt;100),"invalid","Valid")</f>
        <v>Valid</v>
      </c>
      <c r="T968" t="s">
        <v>77</v>
      </c>
      <c r="U968" t="str">
        <f>PROPER(TRIM(T968))</f>
        <v>Cash</v>
      </c>
      <c r="V968" t="s">
        <v>81</v>
      </c>
      <c r="W968" t="str">
        <f t="shared" si="30"/>
        <v>Ada</v>
      </c>
      <c r="X968" t="s">
        <v>65</v>
      </c>
      <c r="Y968">
        <v>1</v>
      </c>
      <c r="Z968" t="str">
        <f>IF(D968="", "Missing", "ok")</f>
        <v>ok</v>
      </c>
      <c r="AA968">
        <f t="shared" si="31"/>
        <v>114.093</v>
      </c>
    </row>
    <row r="969" spans="1:27" x14ac:dyDescent="0.25">
      <c r="A969" t="s">
        <v>2494</v>
      </c>
      <c r="B969" s="1" t="s">
        <v>303</v>
      </c>
      <c r="C969" t="s">
        <v>2495</v>
      </c>
      <c r="E969" t="str">
        <f>PROPER(TRIM(D969))</f>
        <v/>
      </c>
      <c r="F969" t="s">
        <v>20</v>
      </c>
      <c r="G969">
        <v>51</v>
      </c>
      <c r="H969" t="str">
        <f>IF(AND(G969&gt;18, G969&lt;65), "Valid", "Invalid")</f>
        <v>Valid</v>
      </c>
      <c r="I969" t="s">
        <v>53</v>
      </c>
      <c r="J969" t="str">
        <f>PROPER(TRIM(I969))</f>
        <v>Lagos</v>
      </c>
      <c r="K969" t="s">
        <v>54</v>
      </c>
      <c r="L969" t="str">
        <f>PROPER(TRIM(K969))</f>
        <v>Home</v>
      </c>
      <c r="M969" t="s">
        <v>55</v>
      </c>
      <c r="N969" t="str">
        <f>PROPER(TRIM(M969))</f>
        <v>Chair</v>
      </c>
      <c r="O969">
        <v>26.66</v>
      </c>
      <c r="P969">
        <v>9</v>
      </c>
      <c r="Q969">
        <f>IF(P969&lt;1, 1, P969)</f>
        <v>9</v>
      </c>
      <c r="R969">
        <v>-10</v>
      </c>
      <c r="S969" t="str">
        <f>IF(OR(R969&lt;0,R969&gt;100),"invalid","Valid")</f>
        <v>invalid</v>
      </c>
      <c r="U969" t="str">
        <f>PROPER(TRIM(T969))</f>
        <v/>
      </c>
      <c r="V969" t="s">
        <v>25</v>
      </c>
      <c r="W969" t="str">
        <f t="shared" si="30"/>
        <v>Dan</v>
      </c>
      <c r="X969" t="s">
        <v>26</v>
      </c>
      <c r="Y969">
        <v>2</v>
      </c>
      <c r="Z969" t="str">
        <f>IF(D969="", "Missing", "ok")</f>
        <v>Missing</v>
      </c>
      <c r="AA969">
        <f t="shared" si="31"/>
        <v>263.93400000000003</v>
      </c>
    </row>
    <row r="970" spans="1:27" x14ac:dyDescent="0.25">
      <c r="A970" t="s">
        <v>2496</v>
      </c>
      <c r="B970" s="1" t="s">
        <v>2497</v>
      </c>
      <c r="C970" t="s">
        <v>2498</v>
      </c>
      <c r="D970" t="s">
        <v>45</v>
      </c>
      <c r="E970" t="str">
        <f>PROPER(TRIM(D970))</f>
        <v>James</v>
      </c>
      <c r="F970" t="s">
        <v>20</v>
      </c>
      <c r="G970">
        <v>8</v>
      </c>
      <c r="H970" t="str">
        <f>IF(AND(G970&gt;18, G970&lt;65), "Valid", "Invalid")</f>
        <v>Invalid</v>
      </c>
      <c r="I970" t="s">
        <v>70</v>
      </c>
      <c r="J970" t="str">
        <f>PROPER(TRIM(I970))</f>
        <v>Abuja</v>
      </c>
      <c r="K970" t="s">
        <v>54</v>
      </c>
      <c r="L970" t="str">
        <f>PROPER(TRIM(K970))</f>
        <v>Home</v>
      </c>
      <c r="M970" t="s">
        <v>55</v>
      </c>
      <c r="N970" t="str">
        <f>PROPER(TRIM(M970))</f>
        <v>Chair</v>
      </c>
      <c r="O970">
        <v>493.54</v>
      </c>
      <c r="P970">
        <v>-2</v>
      </c>
      <c r="Q970">
        <f>IF(P970&lt;1, 1, P970)</f>
        <v>1</v>
      </c>
      <c r="R970">
        <v>10</v>
      </c>
      <c r="S970" t="str">
        <f>IF(OR(R970&lt;0,R970&gt;100),"invalid","Valid")</f>
        <v>Valid</v>
      </c>
      <c r="T970" t="s">
        <v>24</v>
      </c>
      <c r="U970" t="str">
        <f>PROPER(TRIM(T970))</f>
        <v>Pos</v>
      </c>
      <c r="V970" t="s">
        <v>91</v>
      </c>
      <c r="W970" t="str">
        <f t="shared" si="30"/>
        <v>Ben</v>
      </c>
      <c r="X970" t="s">
        <v>33</v>
      </c>
      <c r="Y970">
        <v>1</v>
      </c>
      <c r="Z970" t="str">
        <f>IF(D970="", "Missing", "ok")</f>
        <v>ok</v>
      </c>
      <c r="AA970">
        <f t="shared" si="31"/>
        <v>444.18600000000004</v>
      </c>
    </row>
    <row r="971" spans="1:27" x14ac:dyDescent="0.25">
      <c r="A971" t="s">
        <v>2499</v>
      </c>
      <c r="B971" s="1" t="s">
        <v>1398</v>
      </c>
      <c r="C971" t="s">
        <v>2500</v>
      </c>
      <c r="D971" t="s">
        <v>69</v>
      </c>
      <c r="E971" t="str">
        <f>PROPER(TRIM(D971))</f>
        <v>Mary</v>
      </c>
      <c r="F971" t="s">
        <v>46</v>
      </c>
      <c r="G971">
        <v>130</v>
      </c>
      <c r="H971" t="str">
        <f>IF(AND(G971&gt;18, G971&lt;65), "Valid", "Invalid")</f>
        <v>Invalid</v>
      </c>
      <c r="I971" t="s">
        <v>70</v>
      </c>
      <c r="J971" t="str">
        <f>PROPER(TRIM(I971))</f>
        <v>Abuja</v>
      </c>
      <c r="K971" t="s">
        <v>87</v>
      </c>
      <c r="L971" t="str">
        <f>PROPER(TRIM(K971))</f>
        <v>Groceris</v>
      </c>
      <c r="M971" t="s">
        <v>49</v>
      </c>
      <c r="N971" t="str">
        <f>PROPER(TRIM(M971))</f>
        <v>Rice</v>
      </c>
      <c r="O971">
        <v>311.13</v>
      </c>
      <c r="P971">
        <v>9</v>
      </c>
      <c r="Q971">
        <f>IF(P971&lt;1, 1, P971)</f>
        <v>9</v>
      </c>
      <c r="R971">
        <v>0</v>
      </c>
      <c r="S971" t="str">
        <f>IF(OR(R971&lt;0,R971&gt;100),"invalid","Valid")</f>
        <v>Valid</v>
      </c>
      <c r="U971" t="str">
        <f>PROPER(TRIM(T971))</f>
        <v/>
      </c>
      <c r="V971" t="s">
        <v>25</v>
      </c>
      <c r="W971" t="str">
        <f t="shared" si="30"/>
        <v>Dan</v>
      </c>
      <c r="X971" t="s">
        <v>33</v>
      </c>
      <c r="Y971">
        <v>5</v>
      </c>
      <c r="Z971" t="str">
        <f>IF(D971="", "Missing", "ok")</f>
        <v>ok</v>
      </c>
      <c r="AA971">
        <f t="shared" si="31"/>
        <v>2800.17</v>
      </c>
    </row>
    <row r="972" spans="1:27" x14ac:dyDescent="0.25">
      <c r="A972" t="s">
        <v>2501</v>
      </c>
      <c r="B972" s="1" t="s">
        <v>1349</v>
      </c>
      <c r="C972" t="s">
        <v>2502</v>
      </c>
      <c r="D972" t="s">
        <v>101</v>
      </c>
      <c r="E972" t="str">
        <f>PROPER(TRIM(D972))</f>
        <v>Grace</v>
      </c>
      <c r="F972" t="s">
        <v>46</v>
      </c>
      <c r="G972">
        <v>63</v>
      </c>
      <c r="H972" t="str">
        <f>IF(AND(G972&gt;18, G972&lt;65), "Valid", "Invalid")</f>
        <v>Valid</v>
      </c>
      <c r="I972" t="s">
        <v>70</v>
      </c>
      <c r="J972" t="str">
        <f>PROPER(TRIM(I972))</f>
        <v>Abuja</v>
      </c>
      <c r="K972" t="s">
        <v>87</v>
      </c>
      <c r="L972" t="str">
        <f>PROPER(TRIM(K972))</f>
        <v>Groceris</v>
      </c>
      <c r="M972" t="s">
        <v>49</v>
      </c>
      <c r="N972" t="str">
        <f>PROPER(TRIM(M972))</f>
        <v>Rice</v>
      </c>
      <c r="O972">
        <v>280.83</v>
      </c>
      <c r="P972">
        <v>-2</v>
      </c>
      <c r="Q972">
        <f>IF(P972&lt;1, 1, P972)</f>
        <v>1</v>
      </c>
      <c r="R972">
        <v>-10</v>
      </c>
      <c r="S972" t="str">
        <f>IF(OR(R972&lt;0,R972&gt;100),"invalid","Valid")</f>
        <v>invalid</v>
      </c>
      <c r="T972" t="s">
        <v>77</v>
      </c>
      <c r="U972" t="str">
        <f>PROPER(TRIM(T972))</f>
        <v>Cash</v>
      </c>
      <c r="V972" t="s">
        <v>81</v>
      </c>
      <c r="W972" t="str">
        <f t="shared" si="30"/>
        <v>Ada</v>
      </c>
      <c r="X972" t="s">
        <v>33</v>
      </c>
      <c r="Y972">
        <v>3</v>
      </c>
      <c r="Z972" t="str">
        <f>IF(D972="", "Missing", "ok")</f>
        <v>ok</v>
      </c>
      <c r="AA972">
        <f t="shared" si="31"/>
        <v>308.91300000000001</v>
      </c>
    </row>
    <row r="973" spans="1:27" x14ac:dyDescent="0.25">
      <c r="A973" t="s">
        <v>2503</v>
      </c>
      <c r="B973" s="1" t="s">
        <v>2504</v>
      </c>
      <c r="C973" t="s">
        <v>2505</v>
      </c>
      <c r="E973" t="str">
        <f>PROPER(TRIM(D973))</f>
        <v/>
      </c>
      <c r="F973" t="s">
        <v>20</v>
      </c>
      <c r="G973">
        <v>31</v>
      </c>
      <c r="H973" t="str">
        <f>IF(AND(G973&gt;18, G973&lt;65), "Valid", "Invalid")</f>
        <v>Valid</v>
      </c>
      <c r="I973" t="s">
        <v>30</v>
      </c>
      <c r="J973" t="str">
        <f>PROPER(TRIM(I973))</f>
        <v>Lagos</v>
      </c>
      <c r="K973" t="s">
        <v>31</v>
      </c>
      <c r="L973" t="str">
        <f>PROPER(TRIM(K973))</f>
        <v>Sports</v>
      </c>
      <c r="M973" t="s">
        <v>32</v>
      </c>
      <c r="N973" t="str">
        <f>PROPER(TRIM(M973))</f>
        <v>Ball</v>
      </c>
      <c r="O973">
        <v>210.05</v>
      </c>
      <c r="P973">
        <v>-2</v>
      </c>
      <c r="Q973">
        <f>IF(P973&lt;1, 1, P973)</f>
        <v>1</v>
      </c>
      <c r="R973">
        <v>120</v>
      </c>
      <c r="S973" t="str">
        <f>IF(OR(R973&lt;0,R973&gt;100),"invalid","Valid")</f>
        <v>invalid</v>
      </c>
      <c r="U973" t="str">
        <f>PROPER(TRIM(T973))</f>
        <v/>
      </c>
      <c r="V973" t="s">
        <v>81</v>
      </c>
      <c r="W973" t="str">
        <f t="shared" si="30"/>
        <v>Ada</v>
      </c>
      <c r="X973" t="s">
        <v>82</v>
      </c>
      <c r="Y973">
        <v>3</v>
      </c>
      <c r="Z973" t="str">
        <f>IF(D973="", "Missing", "ok")</f>
        <v>Missing</v>
      </c>
      <c r="AA973">
        <f t="shared" si="31"/>
        <v>-42.009999999999991</v>
      </c>
    </row>
    <row r="974" spans="1:27" x14ac:dyDescent="0.25">
      <c r="A974" t="s">
        <v>2506</v>
      </c>
      <c r="B974" s="1" t="s">
        <v>1529</v>
      </c>
      <c r="C974" t="s">
        <v>2507</v>
      </c>
      <c r="D974" t="s">
        <v>117</v>
      </c>
      <c r="E974" t="str">
        <f>PROPER(TRIM(D974))</f>
        <v>David</v>
      </c>
      <c r="F974" t="s">
        <v>46</v>
      </c>
      <c r="G974">
        <v>130</v>
      </c>
      <c r="H974" t="str">
        <f>IF(AND(G974&gt;18, G974&lt;65), "Valid", "Invalid")</f>
        <v>Invalid</v>
      </c>
      <c r="I974" t="s">
        <v>53</v>
      </c>
      <c r="J974" t="str">
        <f>PROPER(TRIM(I974))</f>
        <v>Lagos</v>
      </c>
      <c r="K974" t="s">
        <v>39</v>
      </c>
      <c r="L974" t="str">
        <f>PROPER(TRIM(K974))</f>
        <v>Electronics</v>
      </c>
      <c r="M974" t="s">
        <v>40</v>
      </c>
      <c r="N974" t="str">
        <f>PROPER(TRIM(M974))</f>
        <v>Phone</v>
      </c>
      <c r="O974">
        <v>231.23</v>
      </c>
      <c r="P974">
        <v>6</v>
      </c>
      <c r="Q974">
        <f>IF(P974&lt;1, 1, P974)</f>
        <v>6</v>
      </c>
      <c r="R974">
        <v>15</v>
      </c>
      <c r="S974" t="str">
        <f>IF(OR(R974&lt;0,R974&gt;100),"invalid","Valid")</f>
        <v>Valid</v>
      </c>
      <c r="T974" t="s">
        <v>24</v>
      </c>
      <c r="U974" t="str">
        <f>PROPER(TRIM(T974))</f>
        <v>Pos</v>
      </c>
      <c r="V974" t="s">
        <v>41</v>
      </c>
      <c r="W974" t="str">
        <f t="shared" si="30"/>
        <v>Chi</v>
      </c>
      <c r="X974" t="s">
        <v>65</v>
      </c>
      <c r="Y974">
        <v>4</v>
      </c>
      <c r="Z974" t="str">
        <f>IF(D974="", "Missing", "ok")</f>
        <v>ok</v>
      </c>
      <c r="AA974">
        <f t="shared" si="31"/>
        <v>1179.2729999999999</v>
      </c>
    </row>
    <row r="975" spans="1:27" x14ac:dyDescent="0.25">
      <c r="A975" t="s">
        <v>2508</v>
      </c>
      <c r="B975" s="1" t="s">
        <v>2012</v>
      </c>
      <c r="C975" t="s">
        <v>2509</v>
      </c>
      <c r="E975" t="str">
        <f>PROPER(TRIM(D975))</f>
        <v/>
      </c>
      <c r="F975" t="s">
        <v>46</v>
      </c>
      <c r="G975">
        <v>130</v>
      </c>
      <c r="H975" t="str">
        <f>IF(AND(G975&gt;18, G975&lt;65), "Valid", "Invalid")</f>
        <v>Invalid</v>
      </c>
      <c r="I975" t="s">
        <v>86</v>
      </c>
      <c r="J975" t="str">
        <f>PROPER(TRIM(I975))</f>
        <v>Kano</v>
      </c>
      <c r="K975" t="s">
        <v>54</v>
      </c>
      <c r="L975" t="str">
        <f>PROPER(TRIM(K975))</f>
        <v>Home</v>
      </c>
      <c r="M975" t="s">
        <v>55</v>
      </c>
      <c r="N975" t="str">
        <f>PROPER(TRIM(M975))</f>
        <v>Chair</v>
      </c>
      <c r="O975">
        <v>91.98</v>
      </c>
      <c r="P975">
        <v>1</v>
      </c>
      <c r="Q975">
        <f>IF(P975&lt;1, 1, P975)</f>
        <v>1</v>
      </c>
      <c r="R975">
        <v>5</v>
      </c>
      <c r="S975" t="str">
        <f>IF(OR(R975&lt;0,R975&gt;100),"invalid","Valid")</f>
        <v>Valid</v>
      </c>
      <c r="T975" t="s">
        <v>59</v>
      </c>
      <c r="U975" t="str">
        <f>PROPER(TRIM(T975))</f>
        <v>Mobile Money</v>
      </c>
      <c r="V975" t="s">
        <v>91</v>
      </c>
      <c r="W975" t="str">
        <f t="shared" si="30"/>
        <v>Ben</v>
      </c>
      <c r="X975" t="s">
        <v>65</v>
      </c>
      <c r="Y975">
        <v>3</v>
      </c>
      <c r="Z975" t="str">
        <f>IF(D975="", "Missing", "ok")</f>
        <v>Missing</v>
      </c>
      <c r="AA975">
        <f t="shared" si="31"/>
        <v>87.381</v>
      </c>
    </row>
    <row r="976" spans="1:27" x14ac:dyDescent="0.25">
      <c r="A976" t="s">
        <v>2510</v>
      </c>
      <c r="B976" s="1" t="s">
        <v>719</v>
      </c>
      <c r="C976" t="s">
        <v>2511</v>
      </c>
      <c r="D976" t="s">
        <v>45</v>
      </c>
      <c r="E976" t="str">
        <f>PROPER(TRIM(D976))</f>
        <v>James</v>
      </c>
      <c r="F976" t="s">
        <v>46</v>
      </c>
      <c r="G976">
        <v>65</v>
      </c>
      <c r="H976" t="str">
        <f>IF(AND(G976&gt;18, G976&lt;65), "Valid", "Invalid")</f>
        <v>Invalid</v>
      </c>
      <c r="I976" t="s">
        <v>70</v>
      </c>
      <c r="J976" t="str">
        <f>PROPER(TRIM(I976))</f>
        <v>Abuja</v>
      </c>
      <c r="K976" t="s">
        <v>121</v>
      </c>
      <c r="L976" t="str">
        <f>PROPER(TRIM(K976))</f>
        <v>Beauty</v>
      </c>
      <c r="M976" t="s">
        <v>122</v>
      </c>
      <c r="N976" t="str">
        <f>PROPER(TRIM(M976))</f>
        <v>Cream</v>
      </c>
      <c r="O976">
        <v>80.73</v>
      </c>
      <c r="P976">
        <v>-2</v>
      </c>
      <c r="Q976">
        <f>IF(P976&lt;1, 1, P976)</f>
        <v>1</v>
      </c>
      <c r="R976">
        <v>10</v>
      </c>
      <c r="S976" t="str">
        <f>IF(OR(R976&lt;0,R976&gt;100),"invalid","Valid")</f>
        <v>Valid</v>
      </c>
      <c r="T976" t="s">
        <v>64</v>
      </c>
      <c r="U976" t="str">
        <f>PROPER(TRIM(T976))</f>
        <v>Transfer</v>
      </c>
      <c r="V976" t="s">
        <v>25</v>
      </c>
      <c r="W976" t="str">
        <f t="shared" si="30"/>
        <v>Dan</v>
      </c>
      <c r="X976" t="s">
        <v>33</v>
      </c>
      <c r="Y976">
        <v>3</v>
      </c>
      <c r="Z976" t="str">
        <f>IF(D976="", "Missing", "ok")</f>
        <v>ok</v>
      </c>
      <c r="AA976">
        <f t="shared" si="31"/>
        <v>72.657000000000011</v>
      </c>
    </row>
    <row r="977" spans="1:27" x14ac:dyDescent="0.25">
      <c r="A977" t="s">
        <v>2512</v>
      </c>
      <c r="B977" s="1" t="s">
        <v>1972</v>
      </c>
      <c r="C977" t="s">
        <v>2513</v>
      </c>
      <c r="D977" t="s">
        <v>117</v>
      </c>
      <c r="E977" t="str">
        <f>PROPER(TRIM(D977))</f>
        <v>David</v>
      </c>
      <c r="F977" t="s">
        <v>20</v>
      </c>
      <c r="G977">
        <v>130</v>
      </c>
      <c r="H977" t="str">
        <f>IF(AND(G977&gt;18, G977&lt;65), "Valid", "Invalid")</f>
        <v>Invalid</v>
      </c>
      <c r="I977" t="s">
        <v>47</v>
      </c>
      <c r="J977" t="str">
        <f>PROPER(TRIM(I977))</f>
        <v>Enugu</v>
      </c>
      <c r="K977" t="s">
        <v>54</v>
      </c>
      <c r="L977" t="str">
        <f>PROPER(TRIM(K977))</f>
        <v>Home</v>
      </c>
      <c r="M977" t="s">
        <v>55</v>
      </c>
      <c r="N977" t="str">
        <f>PROPER(TRIM(M977))</f>
        <v>Chair</v>
      </c>
      <c r="O977">
        <v>232.36</v>
      </c>
      <c r="P977">
        <v>6</v>
      </c>
      <c r="Q977">
        <f>IF(P977&lt;1, 1, P977)</f>
        <v>6</v>
      </c>
      <c r="R977">
        <v>10</v>
      </c>
      <c r="S977" t="str">
        <f>IF(OR(R977&lt;0,R977&gt;100),"invalid","Valid")</f>
        <v>Valid</v>
      </c>
      <c r="T977" t="s">
        <v>24</v>
      </c>
      <c r="U977" t="str">
        <f>PROPER(TRIM(T977))</f>
        <v>Pos</v>
      </c>
      <c r="V977" t="s">
        <v>81</v>
      </c>
      <c r="W977" t="str">
        <f t="shared" si="30"/>
        <v>Ada</v>
      </c>
      <c r="X977" t="s">
        <v>82</v>
      </c>
      <c r="Y977">
        <v>5</v>
      </c>
      <c r="Z977" t="str">
        <f>IF(D977="", "Missing", "ok")</f>
        <v>ok</v>
      </c>
      <c r="AA977">
        <f t="shared" si="31"/>
        <v>1254.7440000000001</v>
      </c>
    </row>
    <row r="978" spans="1:27" x14ac:dyDescent="0.25">
      <c r="A978" t="s">
        <v>2514</v>
      </c>
      <c r="B978" s="1" t="s">
        <v>565</v>
      </c>
      <c r="C978" t="s">
        <v>2515</v>
      </c>
      <c r="D978" t="s">
        <v>69</v>
      </c>
      <c r="E978" t="str">
        <f>PROPER(TRIM(D978))</f>
        <v>Mary</v>
      </c>
      <c r="F978" t="s">
        <v>20</v>
      </c>
      <c r="G978">
        <v>24</v>
      </c>
      <c r="H978" t="str">
        <f>IF(AND(G978&gt;18, G978&lt;65), "Valid", "Invalid")</f>
        <v>Valid</v>
      </c>
      <c r="I978" t="s">
        <v>30</v>
      </c>
      <c r="J978" t="str">
        <f>PROPER(TRIM(I978))</f>
        <v>Lagos</v>
      </c>
      <c r="K978" t="s">
        <v>22</v>
      </c>
      <c r="L978" t="str">
        <f>PROPER(TRIM(K978))</f>
        <v>Fashion</v>
      </c>
      <c r="M978" t="s">
        <v>23</v>
      </c>
      <c r="N978" t="str">
        <f>PROPER(TRIM(M978))</f>
        <v>Shirt</v>
      </c>
      <c r="O978">
        <v>140.35</v>
      </c>
      <c r="P978">
        <v>-2</v>
      </c>
      <c r="Q978">
        <f>IF(P978&lt;1, 1, P978)</f>
        <v>1</v>
      </c>
      <c r="R978">
        <v>120</v>
      </c>
      <c r="S978" t="str">
        <f>IF(OR(R978&lt;0,R978&gt;100),"invalid","Valid")</f>
        <v>invalid</v>
      </c>
      <c r="T978" t="s">
        <v>64</v>
      </c>
      <c r="U978" t="str">
        <f>PROPER(TRIM(T978))</f>
        <v>Transfer</v>
      </c>
      <c r="V978" t="s">
        <v>41</v>
      </c>
      <c r="W978" t="str">
        <f t="shared" si="30"/>
        <v>Chi</v>
      </c>
      <c r="X978" t="s">
        <v>33</v>
      </c>
      <c r="Y978">
        <v>2</v>
      </c>
      <c r="Z978" t="str">
        <f>IF(D978="", "Missing", "ok")</f>
        <v>ok</v>
      </c>
      <c r="AA978">
        <f t="shared" si="31"/>
        <v>-28.069999999999993</v>
      </c>
    </row>
    <row r="979" spans="1:27" x14ac:dyDescent="0.25">
      <c r="A979" t="s">
        <v>2516</v>
      </c>
      <c r="B979" s="1" t="s">
        <v>625</v>
      </c>
      <c r="C979" t="s">
        <v>2517</v>
      </c>
      <c r="E979" t="str">
        <f>PROPER(TRIM(D979))</f>
        <v/>
      </c>
      <c r="F979" t="s">
        <v>20</v>
      </c>
      <c r="G979">
        <v>42</v>
      </c>
      <c r="H979" t="str">
        <f>IF(AND(G979&gt;18, G979&lt;65), "Valid", "Invalid")</f>
        <v>Valid</v>
      </c>
      <c r="I979" t="s">
        <v>70</v>
      </c>
      <c r="J979" t="str">
        <f>PROPER(TRIM(I979))</f>
        <v>Abuja</v>
      </c>
      <c r="K979" t="s">
        <v>39</v>
      </c>
      <c r="L979" t="str">
        <f>PROPER(TRIM(K979))</f>
        <v>Electronics</v>
      </c>
      <c r="M979" t="s">
        <v>40</v>
      </c>
      <c r="N979" t="str">
        <f>PROPER(TRIM(M979))</f>
        <v>Phone</v>
      </c>
      <c r="O979">
        <v>450.02</v>
      </c>
      <c r="P979">
        <v>1</v>
      </c>
      <c r="Q979">
        <f>IF(P979&lt;1, 1, P979)</f>
        <v>1</v>
      </c>
      <c r="R979">
        <v>15</v>
      </c>
      <c r="S979" t="str">
        <f>IF(OR(R979&lt;0,R979&gt;100),"invalid","Valid")</f>
        <v>Valid</v>
      </c>
      <c r="T979" t="s">
        <v>59</v>
      </c>
      <c r="U979" t="str">
        <f>PROPER(TRIM(T979))</f>
        <v>Mobile Money</v>
      </c>
      <c r="V979" t="s">
        <v>91</v>
      </c>
      <c r="W979" t="str">
        <f t="shared" si="30"/>
        <v>Ben</v>
      </c>
      <c r="X979" t="s">
        <v>65</v>
      </c>
      <c r="Y979">
        <v>4</v>
      </c>
      <c r="Z979" t="str">
        <f>IF(D979="", "Missing", "ok")</f>
        <v>Missing</v>
      </c>
      <c r="AA979">
        <f t="shared" si="31"/>
        <v>382.517</v>
      </c>
    </row>
    <row r="980" spans="1:27" x14ac:dyDescent="0.25">
      <c r="A980" t="s">
        <v>2518</v>
      </c>
      <c r="B980" s="1" t="s">
        <v>831</v>
      </c>
      <c r="C980" t="s">
        <v>2519</v>
      </c>
      <c r="D980" t="s">
        <v>19</v>
      </c>
      <c r="E980" t="str">
        <f>PROPER(TRIM(D980))</f>
        <v>Peter</v>
      </c>
      <c r="F980" t="s">
        <v>20</v>
      </c>
      <c r="G980">
        <v>130</v>
      </c>
      <c r="H980" t="str">
        <f>IF(AND(G980&gt;18, G980&lt;65), "Valid", "Invalid")</f>
        <v>Invalid</v>
      </c>
      <c r="I980" t="s">
        <v>30</v>
      </c>
      <c r="J980" t="str">
        <f>PROPER(TRIM(I980))</f>
        <v>Lagos</v>
      </c>
      <c r="K980" t="s">
        <v>121</v>
      </c>
      <c r="L980" t="str">
        <f>PROPER(TRIM(K980))</f>
        <v>Beauty</v>
      </c>
      <c r="M980" t="s">
        <v>122</v>
      </c>
      <c r="N980" t="str">
        <f>PROPER(TRIM(M980))</f>
        <v>Cream</v>
      </c>
      <c r="O980">
        <v>301.79000000000002</v>
      </c>
      <c r="P980">
        <v>2</v>
      </c>
      <c r="Q980">
        <f>IF(P980&lt;1, 1, P980)</f>
        <v>2</v>
      </c>
      <c r="R980">
        <v>5</v>
      </c>
      <c r="S980" t="str">
        <f>IF(OR(R980&lt;0,R980&gt;100),"invalid","Valid")</f>
        <v>Valid</v>
      </c>
      <c r="U980" t="str">
        <f>PROPER(TRIM(T980))</f>
        <v/>
      </c>
      <c r="V980" t="s">
        <v>25</v>
      </c>
      <c r="W980" t="str">
        <f t="shared" si="30"/>
        <v>Dan</v>
      </c>
      <c r="X980" t="s">
        <v>33</v>
      </c>
      <c r="Y980">
        <v>2</v>
      </c>
      <c r="Z980" t="str">
        <f>IF(D980="", "Missing", "ok")</f>
        <v>ok</v>
      </c>
      <c r="AA980">
        <f t="shared" si="31"/>
        <v>573.40100000000007</v>
      </c>
    </row>
    <row r="981" spans="1:27" x14ac:dyDescent="0.25">
      <c r="A981" t="s">
        <v>2520</v>
      </c>
      <c r="B981" s="1" t="s">
        <v>841</v>
      </c>
      <c r="C981" t="s">
        <v>2521</v>
      </c>
      <c r="D981" t="s">
        <v>63</v>
      </c>
      <c r="E981" t="str">
        <f>PROPER(TRIM(D981))</f>
        <v>John</v>
      </c>
      <c r="F981" t="s">
        <v>46</v>
      </c>
      <c r="G981">
        <v>35</v>
      </c>
      <c r="H981" t="str">
        <f>IF(AND(G981&gt;18, G981&lt;65), "Valid", "Invalid")</f>
        <v>Valid</v>
      </c>
      <c r="I981" t="s">
        <v>21</v>
      </c>
      <c r="J981" t="str">
        <f>PROPER(TRIM(I981))</f>
        <v>Lagos</v>
      </c>
      <c r="K981" t="s">
        <v>22</v>
      </c>
      <c r="L981" t="str">
        <f>PROPER(TRIM(K981))</f>
        <v>Fashion</v>
      </c>
      <c r="M981" t="s">
        <v>23</v>
      </c>
      <c r="N981" t="str">
        <f>PROPER(TRIM(M981))</f>
        <v>Shirt</v>
      </c>
      <c r="O981">
        <v>109.08</v>
      </c>
      <c r="P981">
        <v>-2</v>
      </c>
      <c r="Q981">
        <f>IF(P981&lt;1, 1, P981)</f>
        <v>1</v>
      </c>
      <c r="R981">
        <v>10</v>
      </c>
      <c r="S981" t="str">
        <f>IF(OR(R981&lt;0,R981&gt;100),"invalid","Valid")</f>
        <v>Valid</v>
      </c>
      <c r="T981" t="s">
        <v>24</v>
      </c>
      <c r="U981" t="str">
        <f>PROPER(TRIM(T981))</f>
        <v>Pos</v>
      </c>
      <c r="V981" t="s">
        <v>25</v>
      </c>
      <c r="W981" t="str">
        <f t="shared" si="30"/>
        <v>Dan</v>
      </c>
      <c r="X981" t="s">
        <v>26</v>
      </c>
      <c r="Y981">
        <v>2</v>
      </c>
      <c r="Z981" t="str">
        <f>IF(D981="", "Missing", "ok")</f>
        <v>ok</v>
      </c>
      <c r="AA981">
        <f t="shared" si="31"/>
        <v>98.171999999999997</v>
      </c>
    </row>
    <row r="982" spans="1:27" x14ac:dyDescent="0.25">
      <c r="A982" t="s">
        <v>2522</v>
      </c>
      <c r="B982" s="1" t="s">
        <v>1280</v>
      </c>
      <c r="C982" t="s">
        <v>2523</v>
      </c>
      <c r="D982" t="s">
        <v>19</v>
      </c>
      <c r="E982" t="str">
        <f>PROPER(TRIM(D982))</f>
        <v>Peter</v>
      </c>
      <c r="F982" t="s">
        <v>46</v>
      </c>
      <c r="G982">
        <v>8</v>
      </c>
      <c r="H982" t="str">
        <f>IF(AND(G982&gt;18, G982&lt;65), "Valid", "Invalid")</f>
        <v>Invalid</v>
      </c>
      <c r="I982" t="s">
        <v>47</v>
      </c>
      <c r="J982" t="str">
        <f>PROPER(TRIM(I982))</f>
        <v>Enugu</v>
      </c>
      <c r="K982" t="s">
        <v>48</v>
      </c>
      <c r="L982" t="str">
        <f>PROPER(TRIM(K982))</f>
        <v>Groceries</v>
      </c>
      <c r="M982" t="s">
        <v>49</v>
      </c>
      <c r="N982" t="str">
        <f>PROPER(TRIM(M982))</f>
        <v>Rice</v>
      </c>
      <c r="O982">
        <v>415.23</v>
      </c>
      <c r="P982">
        <v>10</v>
      </c>
      <c r="Q982">
        <f>IF(P982&lt;1, 1, P982)</f>
        <v>10</v>
      </c>
      <c r="R982">
        <v>120</v>
      </c>
      <c r="S982" t="str">
        <f>IF(OR(R982&lt;0,R982&gt;100),"invalid","Valid")</f>
        <v>invalid</v>
      </c>
      <c r="T982" t="s">
        <v>24</v>
      </c>
      <c r="U982" t="str">
        <f>PROPER(TRIM(T982))</f>
        <v>Pos</v>
      </c>
      <c r="V982" t="s">
        <v>91</v>
      </c>
      <c r="W982" t="str">
        <f t="shared" si="30"/>
        <v>Ben</v>
      </c>
      <c r="X982" t="s">
        <v>65</v>
      </c>
      <c r="Z982" t="str">
        <f>IF(D982="", "Missing", "ok")</f>
        <v>ok</v>
      </c>
      <c r="AA982">
        <f t="shared" si="31"/>
        <v>-830.45999999999981</v>
      </c>
    </row>
    <row r="983" spans="1:27" x14ac:dyDescent="0.25">
      <c r="A983" t="s">
        <v>2524</v>
      </c>
      <c r="B983" s="1" t="s">
        <v>674</v>
      </c>
      <c r="C983" t="s">
        <v>2525</v>
      </c>
      <c r="D983" t="s">
        <v>117</v>
      </c>
      <c r="E983" t="str">
        <f>PROPER(TRIM(D983))</f>
        <v>David</v>
      </c>
      <c r="F983" t="s">
        <v>46</v>
      </c>
      <c r="G983">
        <v>8</v>
      </c>
      <c r="H983" t="str">
        <f>IF(AND(G983&gt;18, G983&lt;65), "Valid", "Invalid")</f>
        <v>Invalid</v>
      </c>
      <c r="I983" t="s">
        <v>53</v>
      </c>
      <c r="J983" t="str">
        <f>PROPER(TRIM(I983))</f>
        <v>Lagos</v>
      </c>
      <c r="K983" t="s">
        <v>39</v>
      </c>
      <c r="L983" t="str">
        <f>PROPER(TRIM(K983))</f>
        <v>Electronics</v>
      </c>
      <c r="M983" t="s">
        <v>40</v>
      </c>
      <c r="N983" t="str">
        <f>PROPER(TRIM(M983))</f>
        <v>Phone</v>
      </c>
      <c r="O983">
        <v>18.010000000000002</v>
      </c>
      <c r="P983">
        <v>-2</v>
      </c>
      <c r="Q983">
        <f>IF(P983&lt;1, 1, P983)</f>
        <v>1</v>
      </c>
      <c r="R983">
        <v>120</v>
      </c>
      <c r="S983" t="str">
        <f>IF(OR(R983&lt;0,R983&gt;100),"invalid","Valid")</f>
        <v>invalid</v>
      </c>
      <c r="U983" t="str">
        <f>PROPER(TRIM(T983))</f>
        <v/>
      </c>
      <c r="V983" t="s">
        <v>81</v>
      </c>
      <c r="W983" t="str">
        <f t="shared" si="30"/>
        <v>Ada</v>
      </c>
      <c r="X983" t="s">
        <v>33</v>
      </c>
      <c r="Y983">
        <v>2</v>
      </c>
      <c r="Z983" t="str">
        <f>IF(D983="", "Missing", "ok")</f>
        <v>ok</v>
      </c>
      <c r="AA983">
        <f t="shared" si="31"/>
        <v>-3.6019999999999994</v>
      </c>
    </row>
    <row r="984" spans="1:27" x14ac:dyDescent="0.25">
      <c r="A984" t="s">
        <v>2526</v>
      </c>
      <c r="B984" s="1" t="s">
        <v>2527</v>
      </c>
      <c r="C984" t="s">
        <v>2528</v>
      </c>
      <c r="D984" t="s">
        <v>69</v>
      </c>
      <c r="E984" t="str">
        <f>PROPER(TRIM(D984))</f>
        <v>Mary</v>
      </c>
      <c r="F984" t="s">
        <v>46</v>
      </c>
      <c r="G984">
        <v>62</v>
      </c>
      <c r="H984" t="str">
        <f>IF(AND(G984&gt;18, G984&lt;65), "Valid", "Invalid")</f>
        <v>Valid</v>
      </c>
      <c r="I984" t="s">
        <v>53</v>
      </c>
      <c r="J984" t="str">
        <f>PROPER(TRIM(I984))</f>
        <v>Lagos</v>
      </c>
      <c r="K984" t="s">
        <v>87</v>
      </c>
      <c r="L984" t="str">
        <f>PROPER(TRIM(K984))</f>
        <v>Groceris</v>
      </c>
      <c r="M984" t="s">
        <v>49</v>
      </c>
      <c r="N984" t="str">
        <f>PROPER(TRIM(M984))</f>
        <v>Rice</v>
      </c>
      <c r="O984">
        <v>308.10000000000002</v>
      </c>
      <c r="P984">
        <v>-2</v>
      </c>
      <c r="Q984">
        <f>IF(P984&lt;1, 1, P984)</f>
        <v>1</v>
      </c>
      <c r="R984">
        <v>0</v>
      </c>
      <c r="S984" t="str">
        <f>IF(OR(R984&lt;0,R984&gt;100),"invalid","Valid")</f>
        <v>Valid</v>
      </c>
      <c r="T984" t="s">
        <v>64</v>
      </c>
      <c r="U984" t="str">
        <f>PROPER(TRIM(T984))</f>
        <v>Transfer</v>
      </c>
      <c r="V984" t="s">
        <v>81</v>
      </c>
      <c r="W984" t="str">
        <f t="shared" si="30"/>
        <v>Ada</v>
      </c>
      <c r="X984" t="s">
        <v>65</v>
      </c>
      <c r="Y984">
        <v>1</v>
      </c>
      <c r="Z984" t="str">
        <f>IF(D984="", "Missing", "ok")</f>
        <v>ok</v>
      </c>
      <c r="AA984">
        <f t="shared" si="31"/>
        <v>308.10000000000002</v>
      </c>
    </row>
    <row r="985" spans="1:27" x14ac:dyDescent="0.25">
      <c r="A985" t="s">
        <v>2529</v>
      </c>
      <c r="B985" s="1" t="s">
        <v>2530</v>
      </c>
      <c r="C985" t="s">
        <v>2531</v>
      </c>
      <c r="D985" t="s">
        <v>101</v>
      </c>
      <c r="E985" t="str">
        <f>PROPER(TRIM(D985))</f>
        <v>Grace</v>
      </c>
      <c r="F985" t="s">
        <v>46</v>
      </c>
      <c r="G985">
        <v>58</v>
      </c>
      <c r="H985" t="str">
        <f>IF(AND(G985&gt;18, G985&lt;65), "Valid", "Invalid")</f>
        <v>Valid</v>
      </c>
      <c r="I985" t="s">
        <v>38</v>
      </c>
      <c r="J985" t="str">
        <f>PROPER(TRIM(I985))</f>
        <v>Ph</v>
      </c>
      <c r="K985" t="s">
        <v>22</v>
      </c>
      <c r="L985" t="str">
        <f>PROPER(TRIM(K985))</f>
        <v>Fashion</v>
      </c>
      <c r="M985" t="s">
        <v>23</v>
      </c>
      <c r="N985" t="str">
        <f>PROPER(TRIM(M985))</f>
        <v>Shirt</v>
      </c>
      <c r="O985">
        <v>188.6</v>
      </c>
      <c r="P985">
        <v>-2</v>
      </c>
      <c r="Q985">
        <f>IF(P985&lt;1, 1, P985)</f>
        <v>1</v>
      </c>
      <c r="R985">
        <v>15</v>
      </c>
      <c r="S985" t="str">
        <f>IF(OR(R985&lt;0,R985&gt;100),"invalid","Valid")</f>
        <v>Valid</v>
      </c>
      <c r="U985" t="str">
        <f>PROPER(TRIM(T985))</f>
        <v/>
      </c>
      <c r="V985" t="s">
        <v>25</v>
      </c>
      <c r="W985" t="str">
        <f t="shared" si="30"/>
        <v>Dan</v>
      </c>
      <c r="X985" t="s">
        <v>33</v>
      </c>
      <c r="Z985" t="str">
        <f>IF(D985="", "Missing", "ok")</f>
        <v>ok</v>
      </c>
      <c r="AA985">
        <f t="shared" si="31"/>
        <v>160.31</v>
      </c>
    </row>
    <row r="986" spans="1:27" x14ac:dyDescent="0.25">
      <c r="A986" t="s">
        <v>2532</v>
      </c>
      <c r="B986" s="1" t="s">
        <v>2533</v>
      </c>
      <c r="C986" t="s">
        <v>2534</v>
      </c>
      <c r="E986" t="str">
        <f>PROPER(TRIM(D986))</f>
        <v/>
      </c>
      <c r="F986" t="s">
        <v>46</v>
      </c>
      <c r="G986">
        <v>130</v>
      </c>
      <c r="H986" t="str">
        <f>IF(AND(G986&gt;18, G986&lt;65), "Valid", "Invalid")</f>
        <v>Invalid</v>
      </c>
      <c r="I986" t="s">
        <v>21</v>
      </c>
      <c r="J986" t="str">
        <f>PROPER(TRIM(I986))</f>
        <v>Lagos</v>
      </c>
      <c r="K986" t="s">
        <v>48</v>
      </c>
      <c r="L986" t="str">
        <f>PROPER(TRIM(K986))</f>
        <v>Groceries</v>
      </c>
      <c r="M986" t="s">
        <v>49</v>
      </c>
      <c r="N986" t="str">
        <f>PROPER(TRIM(M986))</f>
        <v>Rice</v>
      </c>
      <c r="O986">
        <v>151.21</v>
      </c>
      <c r="P986">
        <v>-2</v>
      </c>
      <c r="Q986">
        <f>IF(P986&lt;1, 1, P986)</f>
        <v>1</v>
      </c>
      <c r="R986">
        <v>120</v>
      </c>
      <c r="S986" t="str">
        <f>IF(OR(R986&lt;0,R986&gt;100),"invalid","Valid")</f>
        <v>invalid</v>
      </c>
      <c r="T986" t="s">
        <v>24</v>
      </c>
      <c r="U986" t="str">
        <f>PROPER(TRIM(T986))</f>
        <v>Pos</v>
      </c>
      <c r="V986" t="s">
        <v>91</v>
      </c>
      <c r="W986" t="str">
        <f t="shared" si="30"/>
        <v>Ben</v>
      </c>
      <c r="X986" t="s">
        <v>33</v>
      </c>
      <c r="Z986" t="str">
        <f>IF(D986="", "Missing", "ok")</f>
        <v>Missing</v>
      </c>
      <c r="AA986">
        <f t="shared" si="31"/>
        <v>-30.241999999999994</v>
      </c>
    </row>
    <row r="987" spans="1:27" x14ac:dyDescent="0.25">
      <c r="A987" t="s">
        <v>2535</v>
      </c>
      <c r="B987" s="1" t="s">
        <v>703</v>
      </c>
      <c r="C987" t="s">
        <v>2536</v>
      </c>
      <c r="D987" t="s">
        <v>117</v>
      </c>
      <c r="E987" t="str">
        <f>PROPER(TRIM(D987))</f>
        <v>David</v>
      </c>
      <c r="F987" t="s">
        <v>20</v>
      </c>
      <c r="G987">
        <v>8</v>
      </c>
      <c r="H987" t="str">
        <f>IF(AND(G987&gt;18, G987&lt;65), "Valid", "Invalid")</f>
        <v>Invalid</v>
      </c>
      <c r="I987" t="s">
        <v>53</v>
      </c>
      <c r="J987" t="str">
        <f>PROPER(TRIM(I987))</f>
        <v>Lagos</v>
      </c>
      <c r="K987" t="s">
        <v>54</v>
      </c>
      <c r="L987" t="str">
        <f>PROPER(TRIM(K987))</f>
        <v>Home</v>
      </c>
      <c r="M987" t="s">
        <v>55</v>
      </c>
      <c r="N987" t="str">
        <f>PROPER(TRIM(M987))</f>
        <v>Chair</v>
      </c>
      <c r="O987">
        <v>314.22000000000003</v>
      </c>
      <c r="P987">
        <v>-2</v>
      </c>
      <c r="Q987">
        <f>IF(P987&lt;1, 1, P987)</f>
        <v>1</v>
      </c>
      <c r="R987">
        <v>15</v>
      </c>
      <c r="S987" t="str">
        <f>IF(OR(R987&lt;0,R987&gt;100),"invalid","Valid")</f>
        <v>Valid</v>
      </c>
      <c r="T987" t="s">
        <v>64</v>
      </c>
      <c r="U987" t="str">
        <f>PROPER(TRIM(T987))</f>
        <v>Transfer</v>
      </c>
      <c r="V987" t="s">
        <v>91</v>
      </c>
      <c r="W987" t="str">
        <f t="shared" si="30"/>
        <v>Ben</v>
      </c>
      <c r="X987" t="s">
        <v>82</v>
      </c>
      <c r="Y987">
        <v>3</v>
      </c>
      <c r="Z987" t="str">
        <f>IF(D987="", "Missing", "ok")</f>
        <v>ok</v>
      </c>
      <c r="AA987">
        <f t="shared" si="31"/>
        <v>267.08699999999999</v>
      </c>
    </row>
    <row r="988" spans="1:27" x14ac:dyDescent="0.25">
      <c r="A988" t="s">
        <v>2537</v>
      </c>
      <c r="B988" s="1" t="s">
        <v>51</v>
      </c>
      <c r="C988" t="s">
        <v>2538</v>
      </c>
      <c r="D988" t="s">
        <v>45</v>
      </c>
      <c r="E988" t="str">
        <f>PROPER(TRIM(D988))</f>
        <v>James</v>
      </c>
      <c r="F988" t="s">
        <v>20</v>
      </c>
      <c r="G988">
        <v>130</v>
      </c>
      <c r="H988" t="str">
        <f>IF(AND(G988&gt;18, G988&lt;65), "Valid", "Invalid")</f>
        <v>Invalid</v>
      </c>
      <c r="I988" t="s">
        <v>21</v>
      </c>
      <c r="J988" t="str">
        <f>PROPER(TRIM(I988))</f>
        <v>Lagos</v>
      </c>
      <c r="K988" t="s">
        <v>121</v>
      </c>
      <c r="L988" t="str">
        <f>PROPER(TRIM(K988))</f>
        <v>Beauty</v>
      </c>
      <c r="M988" t="s">
        <v>122</v>
      </c>
      <c r="N988" t="str">
        <f>PROPER(TRIM(M988))</f>
        <v>Cream</v>
      </c>
      <c r="O988">
        <v>379.51</v>
      </c>
      <c r="P988">
        <v>-2</v>
      </c>
      <c r="Q988">
        <f>IF(P988&lt;1, 1, P988)</f>
        <v>1</v>
      </c>
      <c r="R988">
        <v>5</v>
      </c>
      <c r="S988" t="str">
        <f>IF(OR(R988&lt;0,R988&gt;100),"invalid","Valid")</f>
        <v>Valid</v>
      </c>
      <c r="U988" t="str">
        <f>PROPER(TRIM(T988))</f>
        <v/>
      </c>
      <c r="V988" t="s">
        <v>91</v>
      </c>
      <c r="W988" t="str">
        <f t="shared" si="30"/>
        <v>Ben</v>
      </c>
      <c r="X988" t="s">
        <v>33</v>
      </c>
      <c r="Y988">
        <v>1</v>
      </c>
      <c r="Z988" t="str">
        <f>IF(D988="", "Missing", "ok")</f>
        <v>ok</v>
      </c>
      <c r="AA988">
        <f t="shared" si="31"/>
        <v>360.53449999999998</v>
      </c>
    </row>
    <row r="989" spans="1:27" x14ac:dyDescent="0.25">
      <c r="A989" t="s">
        <v>2539</v>
      </c>
      <c r="B989" s="1" t="s">
        <v>2274</v>
      </c>
      <c r="C989" t="s">
        <v>2540</v>
      </c>
      <c r="D989" t="s">
        <v>117</v>
      </c>
      <c r="E989" t="str">
        <f>PROPER(TRIM(D989))</f>
        <v>David</v>
      </c>
      <c r="F989" t="s">
        <v>20</v>
      </c>
      <c r="G989">
        <v>8</v>
      </c>
      <c r="H989" t="str">
        <f>IF(AND(G989&gt;18, G989&lt;65), "Valid", "Invalid")</f>
        <v>Invalid</v>
      </c>
      <c r="I989" t="s">
        <v>47</v>
      </c>
      <c r="J989" t="str">
        <f>PROPER(TRIM(I989))</f>
        <v>Enugu</v>
      </c>
      <c r="K989" t="s">
        <v>31</v>
      </c>
      <c r="L989" t="str">
        <f>PROPER(TRIM(K989))</f>
        <v>Sports</v>
      </c>
      <c r="M989" t="s">
        <v>32</v>
      </c>
      <c r="N989" t="str">
        <f>PROPER(TRIM(M989))</f>
        <v>Ball</v>
      </c>
      <c r="O989">
        <v>361.43</v>
      </c>
      <c r="P989">
        <v>-2</v>
      </c>
      <c r="Q989">
        <f>IF(P989&lt;1, 1, P989)</f>
        <v>1</v>
      </c>
      <c r="R989">
        <v>10</v>
      </c>
      <c r="S989" t="str">
        <f>IF(OR(R989&lt;0,R989&gt;100),"invalid","Valid")</f>
        <v>Valid</v>
      </c>
      <c r="U989" t="str">
        <f>PROPER(TRIM(T989))</f>
        <v/>
      </c>
      <c r="V989" t="s">
        <v>25</v>
      </c>
      <c r="W989" t="str">
        <f t="shared" si="30"/>
        <v>Dan</v>
      </c>
      <c r="X989" t="s">
        <v>65</v>
      </c>
      <c r="Y989">
        <v>1</v>
      </c>
      <c r="Z989" t="str">
        <f>IF(D989="", "Missing", "ok")</f>
        <v>ok</v>
      </c>
      <c r="AA989">
        <f t="shared" si="31"/>
        <v>325.28700000000003</v>
      </c>
    </row>
    <row r="990" spans="1:27" x14ac:dyDescent="0.25">
      <c r="A990" t="s">
        <v>2541</v>
      </c>
      <c r="B990" s="1" t="s">
        <v>406</v>
      </c>
      <c r="C990" t="s">
        <v>2542</v>
      </c>
      <c r="D990" t="s">
        <v>19</v>
      </c>
      <c r="E990" t="str">
        <f>PROPER(TRIM(D990))</f>
        <v>Peter</v>
      </c>
      <c r="F990" t="s">
        <v>46</v>
      </c>
      <c r="G990">
        <v>130</v>
      </c>
      <c r="H990" t="str">
        <f>IF(AND(G990&gt;18, G990&lt;65), "Valid", "Invalid")</f>
        <v>Invalid</v>
      </c>
      <c r="I990" t="s">
        <v>70</v>
      </c>
      <c r="J990" t="str">
        <f>PROPER(TRIM(I990))</f>
        <v>Abuja</v>
      </c>
      <c r="K990" t="s">
        <v>54</v>
      </c>
      <c r="L990" t="str">
        <f>PROPER(TRIM(K990))</f>
        <v>Home</v>
      </c>
      <c r="M990" t="s">
        <v>55</v>
      </c>
      <c r="N990" t="str">
        <f>PROPER(TRIM(M990))</f>
        <v>Chair</v>
      </c>
      <c r="O990">
        <v>217.9</v>
      </c>
      <c r="P990">
        <v>6</v>
      </c>
      <c r="Q990">
        <f>IF(P990&lt;1, 1, P990)</f>
        <v>6</v>
      </c>
      <c r="R990">
        <v>10</v>
      </c>
      <c r="S990" t="str">
        <f>IF(OR(R990&lt;0,R990&gt;100),"invalid","Valid")</f>
        <v>Valid</v>
      </c>
      <c r="T990" t="s">
        <v>24</v>
      </c>
      <c r="U990" t="str">
        <f>PROPER(TRIM(T990))</f>
        <v>Pos</v>
      </c>
      <c r="V990" t="s">
        <v>41</v>
      </c>
      <c r="W990" t="str">
        <f t="shared" si="30"/>
        <v>Chi</v>
      </c>
      <c r="X990" t="s">
        <v>65</v>
      </c>
      <c r="Y990">
        <v>3</v>
      </c>
      <c r="Z990" t="str">
        <f>IF(D990="", "Missing", "ok")</f>
        <v>ok</v>
      </c>
      <c r="AA990">
        <f t="shared" si="31"/>
        <v>1176.6600000000001</v>
      </c>
    </row>
    <row r="991" spans="1:27" x14ac:dyDescent="0.25">
      <c r="A991" t="s">
        <v>2543</v>
      </c>
      <c r="B991" s="1" t="s">
        <v>2197</v>
      </c>
      <c r="C991" t="s">
        <v>654</v>
      </c>
      <c r="E991" t="str">
        <f>PROPER(TRIM(D991))</f>
        <v/>
      </c>
      <c r="F991" t="s">
        <v>46</v>
      </c>
      <c r="G991">
        <v>8</v>
      </c>
      <c r="H991" t="str">
        <f>IF(AND(G991&gt;18, G991&lt;65), "Valid", "Invalid")</f>
        <v>Invalid</v>
      </c>
      <c r="I991" t="s">
        <v>47</v>
      </c>
      <c r="J991" t="str">
        <f>PROPER(TRIM(I991))</f>
        <v>Enugu</v>
      </c>
      <c r="K991" t="s">
        <v>31</v>
      </c>
      <c r="L991" t="str">
        <f>PROPER(TRIM(K991))</f>
        <v>Sports</v>
      </c>
      <c r="M991" t="s">
        <v>32</v>
      </c>
      <c r="N991" t="str">
        <f>PROPER(TRIM(M991))</f>
        <v>Ball</v>
      </c>
      <c r="O991">
        <v>55.22</v>
      </c>
      <c r="P991">
        <v>5</v>
      </c>
      <c r="Q991">
        <f>IF(P991&lt;1, 1, P991)</f>
        <v>5</v>
      </c>
      <c r="R991">
        <v>0</v>
      </c>
      <c r="S991" t="str">
        <f>IF(OR(R991&lt;0,R991&gt;100),"invalid","Valid")</f>
        <v>Valid</v>
      </c>
      <c r="T991" t="s">
        <v>59</v>
      </c>
      <c r="U991" t="str">
        <f>PROPER(TRIM(T991))</f>
        <v>Mobile Money</v>
      </c>
      <c r="V991" t="s">
        <v>81</v>
      </c>
      <c r="W991" t="str">
        <f t="shared" si="30"/>
        <v>Ada</v>
      </c>
      <c r="X991" t="s">
        <v>65</v>
      </c>
      <c r="Z991" t="str">
        <f>IF(D991="", "Missing", "ok")</f>
        <v>Missing</v>
      </c>
      <c r="AA991">
        <f t="shared" si="31"/>
        <v>276.10000000000002</v>
      </c>
    </row>
    <row r="992" spans="1:27" x14ac:dyDescent="0.25">
      <c r="A992" t="s">
        <v>2544</v>
      </c>
      <c r="B992" s="1" t="s">
        <v>1117</v>
      </c>
      <c r="C992" t="s">
        <v>1924</v>
      </c>
      <c r="D992" t="s">
        <v>101</v>
      </c>
      <c r="E992" t="str">
        <f>PROPER(TRIM(D992))</f>
        <v>Grace</v>
      </c>
      <c r="F992" t="s">
        <v>46</v>
      </c>
      <c r="G992">
        <v>130</v>
      </c>
      <c r="H992" t="str">
        <f>IF(AND(G992&gt;18, G992&lt;65), "Valid", "Invalid")</f>
        <v>Invalid</v>
      </c>
      <c r="I992" t="s">
        <v>86</v>
      </c>
      <c r="J992" t="str">
        <f>PROPER(TRIM(I992))</f>
        <v>Kano</v>
      </c>
      <c r="K992" t="s">
        <v>22</v>
      </c>
      <c r="L992" t="str">
        <f>PROPER(TRIM(K992))</f>
        <v>Fashion</v>
      </c>
      <c r="M992" t="s">
        <v>23</v>
      </c>
      <c r="N992" t="str">
        <f>PROPER(TRIM(M992))</f>
        <v>Shirt</v>
      </c>
      <c r="O992">
        <v>25.5</v>
      </c>
      <c r="P992">
        <v>3</v>
      </c>
      <c r="Q992">
        <f>IF(P992&lt;1, 1, P992)</f>
        <v>3</v>
      </c>
      <c r="R992">
        <v>15</v>
      </c>
      <c r="S992" t="str">
        <f>IF(OR(R992&lt;0,R992&gt;100),"invalid","Valid")</f>
        <v>Valid</v>
      </c>
      <c r="U992" t="str">
        <f>PROPER(TRIM(T992))</f>
        <v/>
      </c>
      <c r="V992" t="s">
        <v>81</v>
      </c>
      <c r="W992" t="str">
        <f t="shared" si="30"/>
        <v>Ada</v>
      </c>
      <c r="X992" t="s">
        <v>82</v>
      </c>
      <c r="Y992">
        <v>1</v>
      </c>
      <c r="Z992" t="str">
        <f>IF(D992="", "Missing", "ok")</f>
        <v>ok</v>
      </c>
      <c r="AA992">
        <f t="shared" si="31"/>
        <v>65.024999999999991</v>
      </c>
    </row>
    <row r="993" spans="1:27" x14ac:dyDescent="0.25">
      <c r="A993" t="s">
        <v>2545</v>
      </c>
      <c r="B993" s="1" t="s">
        <v>625</v>
      </c>
      <c r="C993" t="s">
        <v>2546</v>
      </c>
      <c r="D993" t="s">
        <v>69</v>
      </c>
      <c r="E993" t="str">
        <f>PROPER(TRIM(D993))</f>
        <v>Mary</v>
      </c>
      <c r="F993" t="s">
        <v>46</v>
      </c>
      <c r="G993">
        <v>8</v>
      </c>
      <c r="H993" t="str">
        <f>IF(AND(G993&gt;18, G993&lt;65), "Valid", "Invalid")</f>
        <v>Invalid</v>
      </c>
      <c r="I993" t="s">
        <v>86</v>
      </c>
      <c r="J993" t="str">
        <f>PROPER(TRIM(I993))</f>
        <v>Kano</v>
      </c>
      <c r="K993" t="s">
        <v>39</v>
      </c>
      <c r="L993" t="str">
        <f>PROPER(TRIM(K993))</f>
        <v>Electronics</v>
      </c>
      <c r="M993" t="s">
        <v>40</v>
      </c>
      <c r="N993" t="str">
        <f>PROPER(TRIM(M993))</f>
        <v>Phone</v>
      </c>
      <c r="O993">
        <v>394.43</v>
      </c>
      <c r="P993">
        <v>6</v>
      </c>
      <c r="Q993">
        <f>IF(P993&lt;1, 1, P993)</f>
        <v>6</v>
      </c>
      <c r="R993">
        <v>5</v>
      </c>
      <c r="S993" t="str">
        <f>IF(OR(R993&lt;0,R993&gt;100),"invalid","Valid")</f>
        <v>Valid</v>
      </c>
      <c r="T993" t="s">
        <v>64</v>
      </c>
      <c r="U993" t="str">
        <f>PROPER(TRIM(T993))</f>
        <v>Transfer</v>
      </c>
      <c r="V993" t="s">
        <v>81</v>
      </c>
      <c r="W993" t="str">
        <f t="shared" si="30"/>
        <v>Ada</v>
      </c>
      <c r="X993" t="s">
        <v>26</v>
      </c>
      <c r="Y993">
        <v>2</v>
      </c>
      <c r="Z993" t="str">
        <f>IF(D993="", "Missing", "ok")</f>
        <v>ok</v>
      </c>
      <c r="AA993">
        <f t="shared" si="31"/>
        <v>2248.2509999999997</v>
      </c>
    </row>
    <row r="994" spans="1:27" x14ac:dyDescent="0.25">
      <c r="A994" t="s">
        <v>2547</v>
      </c>
      <c r="B994" s="1" t="s">
        <v>1600</v>
      </c>
      <c r="C994" t="s">
        <v>2548</v>
      </c>
      <c r="D994" t="s">
        <v>63</v>
      </c>
      <c r="E994" t="str">
        <f>PROPER(TRIM(D994))</f>
        <v>John</v>
      </c>
      <c r="F994" t="s">
        <v>20</v>
      </c>
      <c r="G994">
        <v>130</v>
      </c>
      <c r="H994" t="str">
        <f>IF(AND(G994&gt;18, G994&lt;65), "Valid", "Invalid")</f>
        <v>Invalid</v>
      </c>
      <c r="I994" t="s">
        <v>86</v>
      </c>
      <c r="J994" t="str">
        <f>PROPER(TRIM(I994))</f>
        <v>Kano</v>
      </c>
      <c r="K994" t="s">
        <v>54</v>
      </c>
      <c r="L994" t="str">
        <f>PROPER(TRIM(K994))</f>
        <v>Home</v>
      </c>
      <c r="M994" t="s">
        <v>55</v>
      </c>
      <c r="N994" t="str">
        <f>PROPER(TRIM(M994))</f>
        <v>Chair</v>
      </c>
      <c r="O994">
        <v>142.35</v>
      </c>
      <c r="P994">
        <v>-2</v>
      </c>
      <c r="Q994">
        <f>IF(P994&lt;1, 1, P994)</f>
        <v>1</v>
      </c>
      <c r="R994">
        <v>0</v>
      </c>
      <c r="S994" t="str">
        <f>IF(OR(R994&lt;0,R994&gt;100),"invalid","Valid")</f>
        <v>Valid</v>
      </c>
      <c r="T994" t="s">
        <v>24</v>
      </c>
      <c r="U994" t="str">
        <f>PROPER(TRIM(T994))</f>
        <v>Pos</v>
      </c>
      <c r="V994" t="s">
        <v>41</v>
      </c>
      <c r="W994" t="str">
        <f t="shared" si="30"/>
        <v>Chi</v>
      </c>
      <c r="X994" t="s">
        <v>82</v>
      </c>
      <c r="Y994">
        <v>1</v>
      </c>
      <c r="Z994" t="str">
        <f>IF(D994="", "Missing", "ok")</f>
        <v>ok</v>
      </c>
      <c r="AA994">
        <f t="shared" si="31"/>
        <v>142.35</v>
      </c>
    </row>
    <row r="995" spans="1:27" x14ac:dyDescent="0.25">
      <c r="A995" t="s">
        <v>2549</v>
      </c>
      <c r="B995" s="1" t="s">
        <v>631</v>
      </c>
      <c r="C995" t="s">
        <v>2550</v>
      </c>
      <c r="D995" t="s">
        <v>101</v>
      </c>
      <c r="E995" t="str">
        <f>PROPER(TRIM(D995))</f>
        <v>Grace</v>
      </c>
      <c r="F995" t="s">
        <v>20</v>
      </c>
      <c r="G995">
        <v>8</v>
      </c>
      <c r="H995" t="str">
        <f>IF(AND(G995&gt;18, G995&lt;65), "Valid", "Invalid")</f>
        <v>Invalid</v>
      </c>
      <c r="I995" t="s">
        <v>86</v>
      </c>
      <c r="J995" t="str">
        <f>PROPER(TRIM(I995))</f>
        <v>Kano</v>
      </c>
      <c r="K995" t="s">
        <v>121</v>
      </c>
      <c r="L995" t="str">
        <f>PROPER(TRIM(K995))</f>
        <v>Beauty</v>
      </c>
      <c r="M995" t="s">
        <v>122</v>
      </c>
      <c r="N995" t="str">
        <f>PROPER(TRIM(M995))</f>
        <v>Cream</v>
      </c>
      <c r="O995">
        <v>379.82</v>
      </c>
      <c r="P995">
        <v>-2</v>
      </c>
      <c r="Q995">
        <f>IF(P995&lt;1, 1, P995)</f>
        <v>1</v>
      </c>
      <c r="R995">
        <v>0</v>
      </c>
      <c r="S995" t="str">
        <f>IF(OR(R995&lt;0,R995&gt;100),"invalid","Valid")</f>
        <v>Valid</v>
      </c>
      <c r="T995" t="s">
        <v>59</v>
      </c>
      <c r="U995" t="str">
        <f>PROPER(TRIM(T995))</f>
        <v>Mobile Money</v>
      </c>
      <c r="V995" t="s">
        <v>41</v>
      </c>
      <c r="W995" t="str">
        <f t="shared" si="30"/>
        <v>Chi</v>
      </c>
      <c r="X995" t="s">
        <v>82</v>
      </c>
      <c r="Y995">
        <v>5</v>
      </c>
      <c r="Z995" t="str">
        <f>IF(D995="", "Missing", "ok")</f>
        <v>ok</v>
      </c>
      <c r="AA995">
        <f t="shared" si="31"/>
        <v>379.82</v>
      </c>
    </row>
    <row r="996" spans="1:27" x14ac:dyDescent="0.25">
      <c r="A996" t="s">
        <v>2551</v>
      </c>
      <c r="B996" s="1" t="s">
        <v>372</v>
      </c>
      <c r="C996" t="s">
        <v>2552</v>
      </c>
      <c r="D996" t="s">
        <v>37</v>
      </c>
      <c r="E996" t="str">
        <f>PROPER(TRIM(D996))</f>
        <v>Aisha</v>
      </c>
      <c r="F996" t="s">
        <v>20</v>
      </c>
      <c r="G996">
        <v>130</v>
      </c>
      <c r="H996" t="str">
        <f>IF(AND(G996&gt;18, G996&lt;65), "Valid", "Invalid")</f>
        <v>Invalid</v>
      </c>
      <c r="I996" t="s">
        <v>30</v>
      </c>
      <c r="J996" t="str">
        <f>PROPER(TRIM(I996))</f>
        <v>Lagos</v>
      </c>
      <c r="K996" t="s">
        <v>39</v>
      </c>
      <c r="L996" t="str">
        <f>PROPER(TRIM(K996))</f>
        <v>Electronics</v>
      </c>
      <c r="M996" t="s">
        <v>40</v>
      </c>
      <c r="N996" t="str">
        <f>PROPER(TRIM(M996))</f>
        <v>Phone</v>
      </c>
      <c r="O996">
        <v>138.75</v>
      </c>
      <c r="P996">
        <v>8</v>
      </c>
      <c r="Q996">
        <f>IF(P996&lt;1, 1, P996)</f>
        <v>8</v>
      </c>
      <c r="R996">
        <v>15</v>
      </c>
      <c r="S996" t="str">
        <f>IF(OR(R996&lt;0,R996&gt;100),"invalid","Valid")</f>
        <v>Valid</v>
      </c>
      <c r="T996" t="s">
        <v>24</v>
      </c>
      <c r="U996" t="str">
        <f>PROPER(TRIM(T996))</f>
        <v>Pos</v>
      </c>
      <c r="V996" t="s">
        <v>25</v>
      </c>
      <c r="W996" t="str">
        <f t="shared" si="30"/>
        <v>Dan</v>
      </c>
      <c r="X996" t="s">
        <v>82</v>
      </c>
      <c r="Y996">
        <v>5</v>
      </c>
      <c r="Z996" t="str">
        <f>IF(D996="", "Missing", "ok")</f>
        <v>ok</v>
      </c>
      <c r="AA996">
        <f t="shared" si="31"/>
        <v>943.5</v>
      </c>
    </row>
    <row r="997" spans="1:27" x14ac:dyDescent="0.25">
      <c r="A997" t="s">
        <v>2554</v>
      </c>
      <c r="B997" s="1" t="s">
        <v>1264</v>
      </c>
      <c r="C997" t="s">
        <v>2555</v>
      </c>
      <c r="E997" t="str">
        <f>PROPER(TRIM(D997))</f>
        <v/>
      </c>
      <c r="F997" t="s">
        <v>46</v>
      </c>
      <c r="G997">
        <v>130</v>
      </c>
      <c r="H997" t="str">
        <f>IF(AND(G997&gt;18, G997&lt;65), "Valid", "Invalid")</f>
        <v>Invalid</v>
      </c>
      <c r="I997" t="s">
        <v>21</v>
      </c>
      <c r="J997" t="str">
        <f>PROPER(TRIM(I997))</f>
        <v>Lagos</v>
      </c>
      <c r="K997" t="s">
        <v>121</v>
      </c>
      <c r="L997" t="str">
        <f>PROPER(TRIM(K997))</f>
        <v>Beauty</v>
      </c>
      <c r="M997" t="s">
        <v>122</v>
      </c>
      <c r="N997" t="str">
        <f>PROPER(TRIM(M997))</f>
        <v>Cream</v>
      </c>
      <c r="O997">
        <v>328.25</v>
      </c>
      <c r="P997">
        <v>-2</v>
      </c>
      <c r="Q997">
        <f>IF(P997&lt;1, 1, P997)</f>
        <v>1</v>
      </c>
      <c r="R997">
        <v>10</v>
      </c>
      <c r="S997" t="str">
        <f>IF(OR(R997&lt;0,R997&gt;100),"invalid","Valid")</f>
        <v>Valid</v>
      </c>
      <c r="T997" t="s">
        <v>59</v>
      </c>
      <c r="U997" t="str">
        <f>PROPER(TRIM(T997))</f>
        <v>Mobile Money</v>
      </c>
      <c r="V997" t="s">
        <v>25</v>
      </c>
      <c r="W997" t="str">
        <f t="shared" si="30"/>
        <v>Dan</v>
      </c>
      <c r="X997" t="s">
        <v>26</v>
      </c>
      <c r="Z997" t="str">
        <f>IF(D997="", "Missing", "ok")</f>
        <v>Missing</v>
      </c>
      <c r="AA997">
        <f t="shared" si="31"/>
        <v>295.42500000000001</v>
      </c>
    </row>
    <row r="998" spans="1:27" x14ac:dyDescent="0.25">
      <c r="A998" t="s">
        <v>2556</v>
      </c>
      <c r="B998" s="1" t="s">
        <v>562</v>
      </c>
      <c r="C998" t="s">
        <v>2557</v>
      </c>
      <c r="D998" t="s">
        <v>101</v>
      </c>
      <c r="E998" t="str">
        <f>PROPER(TRIM(D998))</f>
        <v>Grace</v>
      </c>
      <c r="F998" t="s">
        <v>46</v>
      </c>
      <c r="G998">
        <v>47</v>
      </c>
      <c r="H998" t="str">
        <f>IF(AND(G998&gt;18, G998&lt;65), "Valid", "Invalid")</f>
        <v>Valid</v>
      </c>
      <c r="I998" t="s">
        <v>86</v>
      </c>
      <c r="J998" t="str">
        <f>PROPER(TRIM(I998))</f>
        <v>Kano</v>
      </c>
      <c r="K998" t="s">
        <v>31</v>
      </c>
      <c r="L998" t="str">
        <f>PROPER(TRIM(K998))</f>
        <v>Sports</v>
      </c>
      <c r="M998" t="s">
        <v>32</v>
      </c>
      <c r="N998" t="str">
        <f>PROPER(TRIM(M998))</f>
        <v>Ball</v>
      </c>
      <c r="O998">
        <v>477.17</v>
      </c>
      <c r="P998">
        <v>-2</v>
      </c>
      <c r="Q998">
        <f>IF(P998&lt;1, 1, P998)</f>
        <v>1</v>
      </c>
      <c r="R998">
        <v>120</v>
      </c>
      <c r="S998" t="str">
        <f>IF(OR(R998&lt;0,R998&gt;100),"invalid","Valid")</f>
        <v>invalid</v>
      </c>
      <c r="T998" t="s">
        <v>77</v>
      </c>
      <c r="U998" t="str">
        <f>PROPER(TRIM(T998))</f>
        <v>Cash</v>
      </c>
      <c r="V998" t="s">
        <v>81</v>
      </c>
      <c r="W998" t="str">
        <f t="shared" si="30"/>
        <v>Ada</v>
      </c>
      <c r="X998" t="s">
        <v>26</v>
      </c>
      <c r="Y998">
        <v>1</v>
      </c>
      <c r="Z998" t="str">
        <f>IF(D998="", "Missing", "ok")</f>
        <v>ok</v>
      </c>
      <c r="AA998">
        <f t="shared" si="31"/>
        <v>-95.433999999999983</v>
      </c>
    </row>
    <row r="999" spans="1:27" x14ac:dyDescent="0.25">
      <c r="A999" t="s">
        <v>2558</v>
      </c>
      <c r="B999" s="1" t="s">
        <v>2119</v>
      </c>
      <c r="C999" t="s">
        <v>2559</v>
      </c>
      <c r="D999" t="s">
        <v>37</v>
      </c>
      <c r="E999" t="str">
        <f>PROPER(TRIM(D999))</f>
        <v>Aisha</v>
      </c>
      <c r="F999" t="s">
        <v>20</v>
      </c>
      <c r="G999">
        <v>44</v>
      </c>
      <c r="H999" t="str">
        <f>IF(AND(G999&gt;18, G999&lt;65), "Valid", "Invalid")</f>
        <v>Valid</v>
      </c>
      <c r="I999" t="s">
        <v>21</v>
      </c>
      <c r="J999" t="str">
        <f>PROPER(TRIM(I999))</f>
        <v>Lagos</v>
      </c>
      <c r="K999" t="s">
        <v>54</v>
      </c>
      <c r="L999" t="str">
        <f>PROPER(TRIM(K999))</f>
        <v>Home</v>
      </c>
      <c r="M999" t="s">
        <v>55</v>
      </c>
      <c r="N999" t="str">
        <f>PROPER(TRIM(M999))</f>
        <v>Chair</v>
      </c>
      <c r="O999">
        <v>428.16</v>
      </c>
      <c r="P999">
        <v>-2</v>
      </c>
      <c r="Q999">
        <f>IF(P999&lt;1, 1, P999)</f>
        <v>1</v>
      </c>
      <c r="R999">
        <v>5</v>
      </c>
      <c r="S999" t="str">
        <f>IF(OR(R999&lt;0,R999&gt;100),"invalid","Valid")</f>
        <v>Valid</v>
      </c>
      <c r="T999" t="s">
        <v>24</v>
      </c>
      <c r="U999" t="str">
        <f>PROPER(TRIM(T999))</f>
        <v>Pos</v>
      </c>
      <c r="V999" t="s">
        <v>81</v>
      </c>
      <c r="W999" t="str">
        <f t="shared" si="30"/>
        <v>Ada</v>
      </c>
      <c r="X999" t="s">
        <v>26</v>
      </c>
      <c r="Z999" t="str">
        <f>IF(D999="", "Missing", "ok")</f>
        <v>ok</v>
      </c>
      <c r="AA999">
        <f t="shared" si="31"/>
        <v>406.75200000000001</v>
      </c>
    </row>
    <row r="1000" spans="1:27" x14ac:dyDescent="0.25">
      <c r="A1000" t="s">
        <v>2560</v>
      </c>
      <c r="B1000" s="1" t="s">
        <v>421</v>
      </c>
      <c r="C1000" t="s">
        <v>1145</v>
      </c>
      <c r="D1000" t="s">
        <v>101</v>
      </c>
      <c r="E1000" t="str">
        <f>PROPER(TRIM(D1000))</f>
        <v>Grace</v>
      </c>
      <c r="F1000" t="s">
        <v>20</v>
      </c>
      <c r="G1000">
        <v>62</v>
      </c>
      <c r="H1000" t="str">
        <f>IF(AND(G1000&gt;18, G1000&lt;65), "Valid", "Invalid")</f>
        <v>Valid</v>
      </c>
      <c r="I1000" t="s">
        <v>47</v>
      </c>
      <c r="J1000" t="str">
        <f>PROPER(TRIM(I1000))</f>
        <v>Enugu</v>
      </c>
      <c r="K1000" t="s">
        <v>22</v>
      </c>
      <c r="L1000" t="str">
        <f>PROPER(TRIM(K1000))</f>
        <v>Fashion</v>
      </c>
      <c r="M1000" t="s">
        <v>23</v>
      </c>
      <c r="N1000" t="str">
        <f>PROPER(TRIM(M1000))</f>
        <v>Shirt</v>
      </c>
      <c r="O1000">
        <v>184.06</v>
      </c>
      <c r="P1000">
        <v>6</v>
      </c>
      <c r="Q1000">
        <f>IF(P1000&lt;1, 1, P1000)</f>
        <v>6</v>
      </c>
      <c r="R1000">
        <v>10</v>
      </c>
      <c r="S1000" t="str">
        <f>IF(OR(R1000&lt;0,R1000&gt;100),"invalid","Valid")</f>
        <v>Valid</v>
      </c>
      <c r="U1000" t="str">
        <f>PROPER(TRIM(T1000))</f>
        <v/>
      </c>
      <c r="V1000" t="s">
        <v>91</v>
      </c>
      <c r="W1000" t="str">
        <f t="shared" si="30"/>
        <v>Ben</v>
      </c>
      <c r="X1000" t="s">
        <v>26</v>
      </c>
      <c r="Y1000">
        <v>1</v>
      </c>
      <c r="Z1000" t="str">
        <f>IF(D1000="", "Missing", "ok")</f>
        <v>ok</v>
      </c>
      <c r="AA1000">
        <f t="shared" si="31"/>
        <v>993.92400000000009</v>
      </c>
    </row>
    <row r="1001" spans="1:27" x14ac:dyDescent="0.25">
      <c r="A1001" t="s">
        <v>2561</v>
      </c>
      <c r="B1001" s="1" t="s">
        <v>932</v>
      </c>
      <c r="C1001" t="s">
        <v>1445</v>
      </c>
      <c r="D1001" t="s">
        <v>19</v>
      </c>
      <c r="E1001" t="str">
        <f>PROPER(TRIM(D1001))</f>
        <v>Peter</v>
      </c>
      <c r="F1001" t="s">
        <v>46</v>
      </c>
      <c r="G1001">
        <v>130</v>
      </c>
      <c r="H1001" t="str">
        <f>IF(AND(G1001&gt;18, G1001&lt;65), "Valid", "Invalid")</f>
        <v>Invalid</v>
      </c>
      <c r="I1001" t="s">
        <v>30</v>
      </c>
      <c r="J1001" t="str">
        <f>PROPER(TRIM(I1001))</f>
        <v>Lagos</v>
      </c>
      <c r="K1001" t="s">
        <v>31</v>
      </c>
      <c r="L1001" t="str">
        <f>PROPER(TRIM(K1001))</f>
        <v>Sports</v>
      </c>
      <c r="M1001" t="s">
        <v>32</v>
      </c>
      <c r="N1001" t="str">
        <f>PROPER(TRIM(M1001))</f>
        <v>Ball</v>
      </c>
      <c r="O1001">
        <v>287.85000000000002</v>
      </c>
      <c r="P1001">
        <v>-2</v>
      </c>
      <c r="Q1001">
        <f>IF(P1001&lt;1, 1, P1001)</f>
        <v>1</v>
      </c>
      <c r="R1001">
        <v>0</v>
      </c>
      <c r="S1001" t="str">
        <f>IF(OR(R1001&lt;0,R1001&gt;100),"invalid","Valid")</f>
        <v>Valid</v>
      </c>
      <c r="T1001" t="s">
        <v>77</v>
      </c>
      <c r="U1001" t="str">
        <f>PROPER(TRIM(T1001))</f>
        <v>Cash</v>
      </c>
      <c r="V1001" t="s">
        <v>41</v>
      </c>
      <c r="W1001" t="str">
        <f t="shared" si="30"/>
        <v>Chi</v>
      </c>
      <c r="X1001" t="s">
        <v>82</v>
      </c>
      <c r="Y1001">
        <v>3</v>
      </c>
      <c r="Z1001" t="str">
        <f>IF(D1001="", "Missing", "ok")</f>
        <v>ok</v>
      </c>
      <c r="AA1001">
        <f t="shared" si="31"/>
        <v>287.85000000000002</v>
      </c>
    </row>
    <row r="1002" spans="1:27" x14ac:dyDescent="0.25">
      <c r="A1002" t="s">
        <v>2562</v>
      </c>
      <c r="B1002" s="1" t="s">
        <v>1114</v>
      </c>
      <c r="C1002" t="s">
        <v>2563</v>
      </c>
      <c r="D1002" t="s">
        <v>117</v>
      </c>
      <c r="E1002" t="str">
        <f>PROPER(TRIM(D1002))</f>
        <v>David</v>
      </c>
      <c r="F1002" t="s">
        <v>20</v>
      </c>
      <c r="G1002">
        <v>56</v>
      </c>
      <c r="H1002" t="str">
        <f>IF(AND(G1002&gt;18, G1002&lt;65), "Valid", "Invalid")</f>
        <v>Valid</v>
      </c>
      <c r="I1002" t="s">
        <v>38</v>
      </c>
      <c r="J1002" t="str">
        <f>PROPER(TRIM(I1002))</f>
        <v>Ph</v>
      </c>
      <c r="K1002" t="s">
        <v>121</v>
      </c>
      <c r="L1002" t="str">
        <f>PROPER(TRIM(K1002))</f>
        <v>Beauty</v>
      </c>
      <c r="M1002" t="s">
        <v>122</v>
      </c>
      <c r="N1002" t="str">
        <f>PROPER(TRIM(M1002))</f>
        <v>Cream</v>
      </c>
      <c r="O1002">
        <v>422.52</v>
      </c>
      <c r="P1002">
        <v>9</v>
      </c>
      <c r="Q1002">
        <f>IF(P1002&lt;1, 1, P1002)</f>
        <v>9</v>
      </c>
      <c r="R1002">
        <v>-10</v>
      </c>
      <c r="S1002" t="str">
        <f>IF(OR(R1002&lt;0,R1002&gt;100),"invalid","Valid")</f>
        <v>invalid</v>
      </c>
      <c r="T1002" t="s">
        <v>77</v>
      </c>
      <c r="U1002" t="str">
        <f>PROPER(TRIM(T1002))</f>
        <v>Cash</v>
      </c>
      <c r="V1002" t="s">
        <v>91</v>
      </c>
      <c r="W1002" t="str">
        <f t="shared" si="30"/>
        <v>Ben</v>
      </c>
      <c r="X1002" t="s">
        <v>82</v>
      </c>
      <c r="Y1002">
        <v>4</v>
      </c>
      <c r="Z1002" t="str">
        <f>IF(D1002="", "Missing", "ok")</f>
        <v>ok</v>
      </c>
      <c r="AA1002">
        <f t="shared" si="31"/>
        <v>4182.9480000000003</v>
      </c>
    </row>
    <row r="1003" spans="1:27" x14ac:dyDescent="0.25">
      <c r="A1003" t="s">
        <v>2564</v>
      </c>
      <c r="B1003" s="1" t="s">
        <v>1061</v>
      </c>
      <c r="C1003" t="s">
        <v>2565</v>
      </c>
      <c r="D1003" t="s">
        <v>45</v>
      </c>
      <c r="E1003" t="str">
        <f>PROPER(TRIM(D1003))</f>
        <v>James</v>
      </c>
      <c r="F1003" t="s">
        <v>20</v>
      </c>
      <c r="G1003">
        <v>42</v>
      </c>
      <c r="H1003" t="str">
        <f>IF(AND(G1003&gt;18, G1003&lt;65), "Valid", "Invalid")</f>
        <v>Valid</v>
      </c>
      <c r="I1003" t="s">
        <v>70</v>
      </c>
      <c r="J1003" t="str">
        <f>PROPER(TRIM(I1003))</f>
        <v>Abuja</v>
      </c>
      <c r="K1003" t="s">
        <v>54</v>
      </c>
      <c r="L1003" t="str">
        <f>PROPER(TRIM(K1003))</f>
        <v>Home</v>
      </c>
      <c r="M1003" t="s">
        <v>55</v>
      </c>
      <c r="N1003" t="str">
        <f>PROPER(TRIM(M1003))</f>
        <v>Chair</v>
      </c>
      <c r="O1003">
        <v>481</v>
      </c>
      <c r="P1003">
        <v>5</v>
      </c>
      <c r="Q1003">
        <f>IF(P1003&lt;1, 1, P1003)</f>
        <v>5</v>
      </c>
      <c r="R1003">
        <v>-10</v>
      </c>
      <c r="S1003" t="str">
        <f>IF(OR(R1003&lt;0,R1003&gt;100),"invalid","Valid")</f>
        <v>invalid</v>
      </c>
      <c r="T1003" t="s">
        <v>64</v>
      </c>
      <c r="U1003" t="str">
        <f>PROPER(TRIM(T1003))</f>
        <v>Transfer</v>
      </c>
      <c r="V1003" t="s">
        <v>81</v>
      </c>
      <c r="W1003" t="str">
        <f t="shared" si="30"/>
        <v>Ada</v>
      </c>
      <c r="X1003" t="s">
        <v>33</v>
      </c>
      <c r="Z1003" t="str">
        <f>IF(D1003="", "Missing", "ok")</f>
        <v>ok</v>
      </c>
      <c r="AA1003">
        <f t="shared" si="31"/>
        <v>2645.5</v>
      </c>
    </row>
    <row r="1004" spans="1:27" x14ac:dyDescent="0.25">
      <c r="A1004" t="s">
        <v>2566</v>
      </c>
      <c r="B1004" s="1" t="s">
        <v>2567</v>
      </c>
      <c r="C1004" t="s">
        <v>2568</v>
      </c>
      <c r="D1004" t="s">
        <v>37</v>
      </c>
      <c r="E1004" t="str">
        <f>PROPER(TRIM(D1004))</f>
        <v>Aisha</v>
      </c>
      <c r="F1004" t="s">
        <v>20</v>
      </c>
      <c r="G1004">
        <v>20</v>
      </c>
      <c r="H1004" t="str">
        <f>IF(AND(G1004&gt;18, G1004&lt;65), "Valid", "Invalid")</f>
        <v>Valid</v>
      </c>
      <c r="I1004" t="s">
        <v>47</v>
      </c>
      <c r="J1004" t="str">
        <f>PROPER(TRIM(I1004))</f>
        <v>Enugu</v>
      </c>
      <c r="K1004" t="s">
        <v>39</v>
      </c>
      <c r="L1004" t="str">
        <f>PROPER(TRIM(K1004))</f>
        <v>Electronics</v>
      </c>
      <c r="M1004" t="s">
        <v>40</v>
      </c>
      <c r="N1004" t="str">
        <f>PROPER(TRIM(M1004))</f>
        <v>Phone</v>
      </c>
      <c r="O1004">
        <v>395.06</v>
      </c>
      <c r="P1004">
        <v>10</v>
      </c>
      <c r="Q1004">
        <f>IF(P1004&lt;1, 1, P1004)</f>
        <v>10</v>
      </c>
      <c r="R1004">
        <v>10</v>
      </c>
      <c r="S1004" t="str">
        <f>IF(OR(R1004&lt;0,R1004&gt;100),"invalid","Valid")</f>
        <v>Valid</v>
      </c>
      <c r="T1004" t="s">
        <v>59</v>
      </c>
      <c r="U1004" t="str">
        <f>PROPER(TRIM(T1004))</f>
        <v>Mobile Money</v>
      </c>
      <c r="V1004" t="s">
        <v>91</v>
      </c>
      <c r="W1004" t="str">
        <f t="shared" si="30"/>
        <v>Ben</v>
      </c>
      <c r="X1004" t="s">
        <v>26</v>
      </c>
      <c r="Y1004">
        <v>5</v>
      </c>
      <c r="Z1004" t="str">
        <f>IF(D1004="", "Missing", "ok")</f>
        <v>ok</v>
      </c>
      <c r="AA1004">
        <f t="shared" si="31"/>
        <v>3555.54</v>
      </c>
    </row>
    <row r="1005" spans="1:27" x14ac:dyDescent="0.25">
      <c r="A1005" t="s">
        <v>2569</v>
      </c>
      <c r="B1005" s="1" t="s">
        <v>1432</v>
      </c>
      <c r="C1005" t="s">
        <v>2570</v>
      </c>
      <c r="D1005" t="s">
        <v>101</v>
      </c>
      <c r="E1005" t="str">
        <f>PROPER(TRIM(D1005))</f>
        <v>Grace</v>
      </c>
      <c r="F1005" t="s">
        <v>46</v>
      </c>
      <c r="G1005">
        <v>8</v>
      </c>
      <c r="H1005" t="str">
        <f>IF(AND(G1005&gt;18, G1005&lt;65), "Valid", "Invalid")</f>
        <v>Invalid</v>
      </c>
      <c r="I1005" t="s">
        <v>21</v>
      </c>
      <c r="J1005" t="str">
        <f>PROPER(TRIM(I1005))</f>
        <v>Lagos</v>
      </c>
      <c r="K1005" t="s">
        <v>87</v>
      </c>
      <c r="L1005" t="str">
        <f>PROPER(TRIM(K1005))</f>
        <v>Groceris</v>
      </c>
      <c r="M1005" t="s">
        <v>49</v>
      </c>
      <c r="N1005" t="str">
        <f>PROPER(TRIM(M1005))</f>
        <v>Rice</v>
      </c>
      <c r="O1005">
        <v>154.25</v>
      </c>
      <c r="P1005">
        <v>7</v>
      </c>
      <c r="Q1005">
        <f>IF(P1005&lt;1, 1, P1005)</f>
        <v>7</v>
      </c>
      <c r="R1005">
        <v>15</v>
      </c>
      <c r="S1005" t="str">
        <f>IF(OR(R1005&lt;0,R1005&gt;100),"invalid","Valid")</f>
        <v>Valid</v>
      </c>
      <c r="T1005" t="s">
        <v>77</v>
      </c>
      <c r="U1005" t="str">
        <f>PROPER(TRIM(T1005))</f>
        <v>Cash</v>
      </c>
      <c r="V1005" t="s">
        <v>25</v>
      </c>
      <c r="W1005" t="str">
        <f t="shared" si="30"/>
        <v>Dan</v>
      </c>
      <c r="X1005" t="s">
        <v>33</v>
      </c>
      <c r="Z1005" t="str">
        <f>IF(D1005="", "Missing", "ok")</f>
        <v>ok</v>
      </c>
      <c r="AA1005">
        <f t="shared" si="31"/>
        <v>917.78750000000002</v>
      </c>
    </row>
    <row r="1006" spans="1:27" x14ac:dyDescent="0.25">
      <c r="A1006" t="s">
        <v>2571</v>
      </c>
      <c r="B1006" s="1" t="s">
        <v>2572</v>
      </c>
      <c r="C1006" t="s">
        <v>2573</v>
      </c>
      <c r="D1006" t="s">
        <v>37</v>
      </c>
      <c r="E1006" t="str">
        <f>PROPER(TRIM(D1006))</f>
        <v>Aisha</v>
      </c>
      <c r="F1006" t="s">
        <v>20</v>
      </c>
      <c r="G1006">
        <v>8</v>
      </c>
      <c r="H1006" t="str">
        <f>IF(AND(G1006&gt;18, G1006&lt;65), "Valid", "Invalid")</f>
        <v>Invalid</v>
      </c>
      <c r="I1006" t="s">
        <v>21</v>
      </c>
      <c r="J1006" t="str">
        <f>PROPER(TRIM(I1006))</f>
        <v>Lagos</v>
      </c>
      <c r="K1006" t="s">
        <v>31</v>
      </c>
      <c r="L1006" t="str">
        <f>PROPER(TRIM(K1006))</f>
        <v>Sports</v>
      </c>
      <c r="M1006" t="s">
        <v>32</v>
      </c>
      <c r="N1006" t="str">
        <f>PROPER(TRIM(M1006))</f>
        <v>Ball</v>
      </c>
      <c r="O1006">
        <v>69.010000000000005</v>
      </c>
      <c r="P1006">
        <v>-2</v>
      </c>
      <c r="Q1006">
        <f>IF(P1006&lt;1, 1, P1006)</f>
        <v>1</v>
      </c>
      <c r="R1006">
        <v>-10</v>
      </c>
      <c r="S1006" t="str">
        <f>IF(OR(R1006&lt;0,R1006&gt;100),"invalid","Valid")</f>
        <v>invalid</v>
      </c>
      <c r="T1006" t="s">
        <v>77</v>
      </c>
      <c r="U1006" t="str">
        <f>PROPER(TRIM(T1006))</f>
        <v>Cash</v>
      </c>
      <c r="V1006" t="s">
        <v>81</v>
      </c>
      <c r="W1006" t="str">
        <f t="shared" si="30"/>
        <v>Ada</v>
      </c>
      <c r="X1006" t="s">
        <v>65</v>
      </c>
      <c r="Y1006">
        <v>1</v>
      </c>
      <c r="Z1006" t="str">
        <f>IF(D1006="", "Missing", "ok")</f>
        <v>ok</v>
      </c>
      <c r="AA1006">
        <f t="shared" si="31"/>
        <v>75.911000000000016</v>
      </c>
    </row>
    <row r="1007" spans="1:27" x14ac:dyDescent="0.25">
      <c r="A1007" t="s">
        <v>2574</v>
      </c>
      <c r="B1007" s="1" t="s">
        <v>2575</v>
      </c>
      <c r="C1007" t="s">
        <v>2542</v>
      </c>
      <c r="D1007" t="s">
        <v>19</v>
      </c>
      <c r="E1007" t="str">
        <f>PROPER(TRIM(D1007))</f>
        <v>Peter</v>
      </c>
      <c r="F1007" t="s">
        <v>46</v>
      </c>
      <c r="G1007">
        <v>8</v>
      </c>
      <c r="H1007" t="str">
        <f>IF(AND(G1007&gt;18, G1007&lt;65), "Valid", "Invalid")</f>
        <v>Invalid</v>
      </c>
      <c r="I1007" t="s">
        <v>86</v>
      </c>
      <c r="J1007" t="str">
        <f>PROPER(TRIM(I1007))</f>
        <v>Kano</v>
      </c>
      <c r="K1007" t="s">
        <v>87</v>
      </c>
      <c r="L1007" t="str">
        <f>PROPER(TRIM(K1007))</f>
        <v>Groceris</v>
      </c>
      <c r="M1007" t="s">
        <v>49</v>
      </c>
      <c r="N1007" t="str">
        <f>PROPER(TRIM(M1007))</f>
        <v>Rice</v>
      </c>
      <c r="O1007">
        <v>60.96</v>
      </c>
      <c r="P1007">
        <v>9</v>
      </c>
      <c r="Q1007">
        <f>IF(P1007&lt;1, 1, P1007)</f>
        <v>9</v>
      </c>
      <c r="R1007">
        <v>120</v>
      </c>
      <c r="S1007" t="str">
        <f>IF(OR(R1007&lt;0,R1007&gt;100),"invalid","Valid")</f>
        <v>invalid</v>
      </c>
      <c r="T1007" t="s">
        <v>59</v>
      </c>
      <c r="U1007" t="str">
        <f>PROPER(TRIM(T1007))</f>
        <v>Mobile Money</v>
      </c>
      <c r="V1007" t="s">
        <v>91</v>
      </c>
      <c r="W1007" t="str">
        <f t="shared" si="30"/>
        <v>Ben</v>
      </c>
      <c r="X1007" t="s">
        <v>65</v>
      </c>
      <c r="Z1007" t="str">
        <f>IF(D1007="", "Missing", "ok")</f>
        <v>ok</v>
      </c>
      <c r="AA1007">
        <f t="shared" si="31"/>
        <v>-109.72799999999997</v>
      </c>
    </row>
    <row r="1008" spans="1:27" x14ac:dyDescent="0.25">
      <c r="A1008" t="s">
        <v>2576</v>
      </c>
      <c r="B1008" s="1" t="s">
        <v>985</v>
      </c>
      <c r="C1008" t="s">
        <v>2577</v>
      </c>
      <c r="D1008" t="s">
        <v>37</v>
      </c>
      <c r="E1008" t="str">
        <f>PROPER(TRIM(D1008))</f>
        <v>Aisha</v>
      </c>
      <c r="F1008" t="s">
        <v>46</v>
      </c>
      <c r="G1008">
        <v>8</v>
      </c>
      <c r="H1008" t="str">
        <f>IF(AND(G1008&gt;18, G1008&lt;65), "Valid", "Invalid")</f>
        <v>Invalid</v>
      </c>
      <c r="I1008" t="s">
        <v>47</v>
      </c>
      <c r="J1008" t="str">
        <f>PROPER(TRIM(I1008))</f>
        <v>Enugu</v>
      </c>
      <c r="K1008" t="s">
        <v>121</v>
      </c>
      <c r="L1008" t="str">
        <f>PROPER(TRIM(K1008))</f>
        <v>Beauty</v>
      </c>
      <c r="M1008" t="s">
        <v>122</v>
      </c>
      <c r="N1008" t="str">
        <f>PROPER(TRIM(M1008))</f>
        <v>Cream</v>
      </c>
      <c r="O1008">
        <v>260.16000000000003</v>
      </c>
      <c r="P1008">
        <v>-2</v>
      </c>
      <c r="Q1008">
        <f>IF(P1008&lt;1, 1, P1008)</f>
        <v>1</v>
      </c>
      <c r="R1008">
        <v>15</v>
      </c>
      <c r="S1008" t="str">
        <f>IF(OR(R1008&lt;0,R1008&gt;100),"invalid","Valid")</f>
        <v>Valid</v>
      </c>
      <c r="T1008" t="s">
        <v>77</v>
      </c>
      <c r="U1008" t="str">
        <f>PROPER(TRIM(T1008))</f>
        <v>Cash</v>
      </c>
      <c r="V1008" t="s">
        <v>41</v>
      </c>
      <c r="W1008" t="str">
        <f t="shared" si="30"/>
        <v>Chi</v>
      </c>
      <c r="X1008" t="s">
        <v>33</v>
      </c>
      <c r="Y1008">
        <v>3</v>
      </c>
      <c r="Z1008" t="str">
        <f>IF(D1008="", "Missing", "ok")</f>
        <v>ok</v>
      </c>
      <c r="AA1008">
        <f t="shared" si="31"/>
        <v>221.13600000000002</v>
      </c>
    </row>
    <row r="1009" spans="1:27" x14ac:dyDescent="0.25">
      <c r="A1009" t="s">
        <v>2578</v>
      </c>
      <c r="B1009" s="1" t="s">
        <v>613</v>
      </c>
      <c r="C1009" t="s">
        <v>2579</v>
      </c>
      <c r="D1009" t="s">
        <v>45</v>
      </c>
      <c r="E1009" t="str">
        <f>PROPER(TRIM(D1009))</f>
        <v>James</v>
      </c>
      <c r="F1009" t="s">
        <v>20</v>
      </c>
      <c r="G1009">
        <v>8</v>
      </c>
      <c r="H1009" t="str">
        <f>IF(AND(G1009&gt;18, G1009&lt;65), "Valid", "Invalid")</f>
        <v>Invalid</v>
      </c>
      <c r="I1009" t="s">
        <v>86</v>
      </c>
      <c r="J1009" t="str">
        <f>PROPER(TRIM(I1009))</f>
        <v>Kano</v>
      </c>
      <c r="K1009" t="s">
        <v>48</v>
      </c>
      <c r="L1009" t="str">
        <f>PROPER(TRIM(K1009))</f>
        <v>Groceries</v>
      </c>
      <c r="M1009" t="s">
        <v>49</v>
      </c>
      <c r="N1009" t="str">
        <f>PROPER(TRIM(M1009))</f>
        <v>Rice</v>
      </c>
      <c r="O1009">
        <v>475.19</v>
      </c>
      <c r="P1009">
        <v>-2</v>
      </c>
      <c r="Q1009">
        <f>IF(P1009&lt;1, 1, P1009)</f>
        <v>1</v>
      </c>
      <c r="R1009">
        <v>120</v>
      </c>
      <c r="S1009" t="str">
        <f>IF(OR(R1009&lt;0,R1009&gt;100),"invalid","Valid")</f>
        <v>invalid</v>
      </c>
      <c r="T1009" t="s">
        <v>59</v>
      </c>
      <c r="U1009" t="str">
        <f>PROPER(TRIM(T1009))</f>
        <v>Mobile Money</v>
      </c>
      <c r="V1009" t="s">
        <v>41</v>
      </c>
      <c r="W1009" t="str">
        <f t="shared" si="30"/>
        <v>Chi</v>
      </c>
      <c r="X1009" t="s">
        <v>65</v>
      </c>
      <c r="Z1009" t="str">
        <f>IF(D1009="", "Missing", "ok")</f>
        <v>ok</v>
      </c>
      <c r="AA1009">
        <f t="shared" si="31"/>
        <v>-95.037999999999982</v>
      </c>
    </row>
    <row r="1010" spans="1:27" x14ac:dyDescent="0.25">
      <c r="A1010" t="s">
        <v>2580</v>
      </c>
      <c r="B1010" s="1" t="s">
        <v>235</v>
      </c>
      <c r="C1010" t="s">
        <v>2581</v>
      </c>
      <c r="D1010" t="s">
        <v>117</v>
      </c>
      <c r="E1010" t="str">
        <f>PROPER(TRIM(D1010))</f>
        <v>David</v>
      </c>
      <c r="F1010" t="s">
        <v>20</v>
      </c>
      <c r="G1010">
        <v>8</v>
      </c>
      <c r="H1010" t="str">
        <f>IF(AND(G1010&gt;18, G1010&lt;65), "Valid", "Invalid")</f>
        <v>Invalid</v>
      </c>
      <c r="I1010" t="s">
        <v>38</v>
      </c>
      <c r="J1010" t="str">
        <f>PROPER(TRIM(I1010))</f>
        <v>Ph</v>
      </c>
      <c r="K1010" t="s">
        <v>121</v>
      </c>
      <c r="L1010" t="str">
        <f>PROPER(TRIM(K1010))</f>
        <v>Beauty</v>
      </c>
      <c r="M1010" t="s">
        <v>122</v>
      </c>
      <c r="N1010" t="str">
        <f>PROPER(TRIM(M1010))</f>
        <v>Cream</v>
      </c>
      <c r="O1010">
        <v>497.16</v>
      </c>
      <c r="P1010">
        <v>1</v>
      </c>
      <c r="Q1010">
        <f>IF(P1010&lt;1, 1, P1010)</f>
        <v>1</v>
      </c>
      <c r="R1010">
        <v>120</v>
      </c>
      <c r="S1010" t="str">
        <f>IF(OR(R1010&lt;0,R1010&gt;100),"invalid","Valid")</f>
        <v>invalid</v>
      </c>
      <c r="T1010" t="s">
        <v>77</v>
      </c>
      <c r="U1010" t="str">
        <f>PROPER(TRIM(T1010))</f>
        <v>Cash</v>
      </c>
      <c r="V1010" t="s">
        <v>91</v>
      </c>
      <c r="W1010" t="str">
        <f t="shared" si="30"/>
        <v>Ben</v>
      </c>
      <c r="X1010" t="s">
        <v>26</v>
      </c>
      <c r="Y1010">
        <v>1</v>
      </c>
      <c r="Z1010" t="str">
        <f>IF(D1010="", "Missing", "ok")</f>
        <v>ok</v>
      </c>
      <c r="AA1010">
        <f t="shared" si="31"/>
        <v>-99.431999999999988</v>
      </c>
    </row>
    <row r="1011" spans="1:27" x14ac:dyDescent="0.25">
      <c r="A1011" t="s">
        <v>2582</v>
      </c>
      <c r="B1011" s="1" t="s">
        <v>2583</v>
      </c>
      <c r="C1011" t="s">
        <v>2584</v>
      </c>
      <c r="D1011" t="s">
        <v>37</v>
      </c>
      <c r="E1011" t="str">
        <f>PROPER(TRIM(D1011))</f>
        <v>Aisha</v>
      </c>
      <c r="F1011" t="s">
        <v>46</v>
      </c>
      <c r="G1011">
        <v>8</v>
      </c>
      <c r="H1011" t="str">
        <f>IF(AND(G1011&gt;18, G1011&lt;65), "Valid", "Invalid")</f>
        <v>Invalid</v>
      </c>
      <c r="I1011" t="s">
        <v>47</v>
      </c>
      <c r="J1011" t="str">
        <f>PROPER(TRIM(I1011))</f>
        <v>Enugu</v>
      </c>
      <c r="K1011" t="s">
        <v>39</v>
      </c>
      <c r="L1011" t="str">
        <f>PROPER(TRIM(K1011))</f>
        <v>Electronics</v>
      </c>
      <c r="M1011" t="s">
        <v>40</v>
      </c>
      <c r="N1011" t="str">
        <f>PROPER(TRIM(M1011))</f>
        <v>Phone</v>
      </c>
      <c r="O1011">
        <v>277.98</v>
      </c>
      <c r="P1011">
        <v>5</v>
      </c>
      <c r="Q1011">
        <f>IF(P1011&lt;1, 1, P1011)</f>
        <v>5</v>
      </c>
      <c r="R1011">
        <v>5</v>
      </c>
      <c r="S1011" t="str">
        <f>IF(OR(R1011&lt;0,R1011&gt;100),"invalid","Valid")</f>
        <v>Valid</v>
      </c>
      <c r="T1011" t="s">
        <v>77</v>
      </c>
      <c r="U1011" t="str">
        <f>PROPER(TRIM(T1011))</f>
        <v>Cash</v>
      </c>
      <c r="V1011" t="s">
        <v>91</v>
      </c>
      <c r="W1011" t="str">
        <f t="shared" si="30"/>
        <v>Ben</v>
      </c>
      <c r="X1011" t="s">
        <v>82</v>
      </c>
      <c r="Y1011">
        <v>4</v>
      </c>
      <c r="Z1011" t="str">
        <f>IF(D1011="", "Missing", "ok")</f>
        <v>ok</v>
      </c>
      <c r="AA1011">
        <f t="shared" si="31"/>
        <v>1320.405</v>
      </c>
    </row>
    <row r="1012" spans="1:27" x14ac:dyDescent="0.25">
      <c r="A1012" t="s">
        <v>2585</v>
      </c>
      <c r="B1012" s="1" t="s">
        <v>473</v>
      </c>
      <c r="C1012" t="s">
        <v>2586</v>
      </c>
      <c r="D1012" t="s">
        <v>101</v>
      </c>
      <c r="E1012" t="str">
        <f>PROPER(TRIM(D1012))</f>
        <v>Grace</v>
      </c>
      <c r="F1012" t="s">
        <v>46</v>
      </c>
      <c r="G1012">
        <v>130</v>
      </c>
      <c r="H1012" t="str">
        <f>IF(AND(G1012&gt;18, G1012&lt;65), "Valid", "Invalid")</f>
        <v>Invalid</v>
      </c>
      <c r="I1012" t="s">
        <v>21</v>
      </c>
      <c r="J1012" t="str">
        <f>PROPER(TRIM(I1012))</f>
        <v>Lagos</v>
      </c>
      <c r="K1012" t="s">
        <v>48</v>
      </c>
      <c r="L1012" t="str">
        <f>PROPER(TRIM(K1012))</f>
        <v>Groceries</v>
      </c>
      <c r="M1012" t="s">
        <v>49</v>
      </c>
      <c r="N1012" t="str">
        <f>PROPER(TRIM(M1012))</f>
        <v>Rice</v>
      </c>
      <c r="O1012">
        <v>289.17</v>
      </c>
      <c r="P1012">
        <v>2</v>
      </c>
      <c r="Q1012">
        <f>IF(P1012&lt;1, 1, P1012)</f>
        <v>2</v>
      </c>
      <c r="R1012">
        <v>-10</v>
      </c>
      <c r="S1012" t="str">
        <f>IF(OR(R1012&lt;0,R1012&gt;100),"invalid","Valid")</f>
        <v>invalid</v>
      </c>
      <c r="T1012" t="s">
        <v>77</v>
      </c>
      <c r="U1012" t="str">
        <f>PROPER(TRIM(T1012))</f>
        <v>Cash</v>
      </c>
      <c r="V1012" t="s">
        <v>25</v>
      </c>
      <c r="W1012" t="str">
        <f t="shared" si="30"/>
        <v>Dan</v>
      </c>
      <c r="X1012" t="s">
        <v>26</v>
      </c>
      <c r="Y1012">
        <v>2</v>
      </c>
      <c r="Z1012" t="str">
        <f>IF(D1012="", "Missing", "ok")</f>
        <v>ok</v>
      </c>
      <c r="AA1012">
        <f t="shared" si="31"/>
        <v>636.17400000000009</v>
      </c>
    </row>
    <row r="1013" spans="1:27" x14ac:dyDescent="0.25">
      <c r="A1013" t="s">
        <v>2587</v>
      </c>
      <c r="B1013" s="1" t="s">
        <v>366</v>
      </c>
      <c r="C1013" t="s">
        <v>1029</v>
      </c>
      <c r="D1013" t="s">
        <v>69</v>
      </c>
      <c r="E1013" t="str">
        <f>PROPER(TRIM(D1013))</f>
        <v>Mary</v>
      </c>
      <c r="F1013" t="s">
        <v>20</v>
      </c>
      <c r="G1013">
        <v>130</v>
      </c>
      <c r="H1013" t="str">
        <f>IF(AND(G1013&gt;18, G1013&lt;65), "Valid", "Invalid")</f>
        <v>Invalid</v>
      </c>
      <c r="I1013" t="s">
        <v>30</v>
      </c>
      <c r="J1013" t="str">
        <f>PROPER(TRIM(I1013))</f>
        <v>Lagos</v>
      </c>
      <c r="K1013" t="s">
        <v>31</v>
      </c>
      <c r="L1013" t="str">
        <f>PROPER(TRIM(K1013))</f>
        <v>Sports</v>
      </c>
      <c r="M1013" t="s">
        <v>32</v>
      </c>
      <c r="N1013" t="str">
        <f>PROPER(TRIM(M1013))</f>
        <v>Ball</v>
      </c>
      <c r="O1013">
        <v>272.14999999999998</v>
      </c>
      <c r="P1013">
        <v>-2</v>
      </c>
      <c r="Q1013">
        <f>IF(P1013&lt;1, 1, P1013)</f>
        <v>1</v>
      </c>
      <c r="R1013">
        <v>15</v>
      </c>
      <c r="S1013" t="str">
        <f>IF(OR(R1013&lt;0,R1013&gt;100),"invalid","Valid")</f>
        <v>Valid</v>
      </c>
      <c r="T1013" t="s">
        <v>59</v>
      </c>
      <c r="U1013" t="str">
        <f>PROPER(TRIM(T1013))</f>
        <v>Mobile Money</v>
      </c>
      <c r="V1013" t="s">
        <v>81</v>
      </c>
      <c r="W1013" t="str">
        <f t="shared" si="30"/>
        <v>Ada</v>
      </c>
      <c r="X1013" t="s">
        <v>26</v>
      </c>
      <c r="Y1013">
        <v>4</v>
      </c>
      <c r="Z1013" t="str">
        <f>IF(D1013="", "Missing", "ok")</f>
        <v>ok</v>
      </c>
      <c r="AA1013">
        <f t="shared" si="31"/>
        <v>231.32749999999999</v>
      </c>
    </row>
    <row r="1014" spans="1:27" x14ac:dyDescent="0.25">
      <c r="A1014" t="s">
        <v>2588</v>
      </c>
      <c r="B1014" s="1" t="s">
        <v>2589</v>
      </c>
      <c r="C1014" t="s">
        <v>2590</v>
      </c>
      <c r="D1014" t="s">
        <v>69</v>
      </c>
      <c r="E1014" t="str">
        <f>PROPER(TRIM(D1014))</f>
        <v>Mary</v>
      </c>
      <c r="F1014" t="s">
        <v>46</v>
      </c>
      <c r="G1014">
        <v>130</v>
      </c>
      <c r="H1014" t="str">
        <f>IF(AND(G1014&gt;18, G1014&lt;65), "Valid", "Invalid")</f>
        <v>Invalid</v>
      </c>
      <c r="I1014" t="s">
        <v>47</v>
      </c>
      <c r="J1014" t="str">
        <f>PROPER(TRIM(I1014))</f>
        <v>Enugu</v>
      </c>
      <c r="K1014" t="s">
        <v>31</v>
      </c>
      <c r="L1014" t="str">
        <f>PROPER(TRIM(K1014))</f>
        <v>Sports</v>
      </c>
      <c r="M1014" t="s">
        <v>32</v>
      </c>
      <c r="N1014" t="str">
        <f>PROPER(TRIM(M1014))</f>
        <v>Ball</v>
      </c>
      <c r="O1014">
        <v>15</v>
      </c>
      <c r="P1014">
        <v>-2</v>
      </c>
      <c r="Q1014">
        <f>IF(P1014&lt;1, 1, P1014)</f>
        <v>1</v>
      </c>
      <c r="R1014">
        <v>120</v>
      </c>
      <c r="S1014" t="str">
        <f>IF(OR(R1014&lt;0,R1014&gt;100),"invalid","Valid")</f>
        <v>invalid</v>
      </c>
      <c r="T1014" t="s">
        <v>64</v>
      </c>
      <c r="U1014" t="str">
        <f>PROPER(TRIM(T1014))</f>
        <v>Transfer</v>
      </c>
      <c r="V1014" t="s">
        <v>25</v>
      </c>
      <c r="W1014" t="str">
        <f t="shared" si="30"/>
        <v>Dan</v>
      </c>
      <c r="X1014" t="s">
        <v>26</v>
      </c>
      <c r="Y1014">
        <v>1</v>
      </c>
      <c r="Z1014" t="str">
        <f>IF(D1014="", "Missing", "ok")</f>
        <v>ok</v>
      </c>
      <c r="AA1014">
        <f t="shared" si="31"/>
        <v>-2.9999999999999991</v>
      </c>
    </row>
    <row r="1015" spans="1:27" x14ac:dyDescent="0.25">
      <c r="A1015" t="s">
        <v>2591</v>
      </c>
      <c r="B1015" s="1" t="s">
        <v>164</v>
      </c>
      <c r="C1015" t="s">
        <v>2592</v>
      </c>
      <c r="D1015" t="s">
        <v>117</v>
      </c>
      <c r="E1015" t="str">
        <f>PROPER(TRIM(D1015))</f>
        <v>David</v>
      </c>
      <c r="F1015" t="s">
        <v>46</v>
      </c>
      <c r="G1015">
        <v>8</v>
      </c>
      <c r="H1015" t="str">
        <f>IF(AND(G1015&gt;18, G1015&lt;65), "Valid", "Invalid")</f>
        <v>Invalid</v>
      </c>
      <c r="I1015" t="s">
        <v>86</v>
      </c>
      <c r="J1015" t="str">
        <f>PROPER(TRIM(I1015))</f>
        <v>Kano</v>
      </c>
      <c r="K1015" t="s">
        <v>31</v>
      </c>
      <c r="L1015" t="str">
        <f>PROPER(TRIM(K1015))</f>
        <v>Sports</v>
      </c>
      <c r="M1015" t="s">
        <v>32</v>
      </c>
      <c r="N1015" t="str">
        <f>PROPER(TRIM(M1015))</f>
        <v>Ball</v>
      </c>
      <c r="O1015">
        <v>71.150000000000006</v>
      </c>
      <c r="P1015">
        <v>-2</v>
      </c>
      <c r="Q1015">
        <f>IF(P1015&lt;1, 1, P1015)</f>
        <v>1</v>
      </c>
      <c r="R1015">
        <v>0</v>
      </c>
      <c r="S1015" t="str">
        <f>IF(OR(R1015&lt;0,R1015&gt;100),"invalid","Valid")</f>
        <v>Valid</v>
      </c>
      <c r="T1015" t="s">
        <v>64</v>
      </c>
      <c r="U1015" t="str">
        <f>PROPER(TRIM(T1015))</f>
        <v>Transfer</v>
      </c>
      <c r="V1015" t="s">
        <v>25</v>
      </c>
      <c r="W1015" t="str">
        <f t="shared" si="30"/>
        <v>Dan</v>
      </c>
      <c r="X1015" t="s">
        <v>82</v>
      </c>
      <c r="Y1015">
        <v>4</v>
      </c>
      <c r="Z1015" t="str">
        <f>IF(D1015="", "Missing", "ok")</f>
        <v>ok</v>
      </c>
      <c r="AA1015">
        <f t="shared" si="31"/>
        <v>71.150000000000006</v>
      </c>
    </row>
    <row r="1016" spans="1:27" x14ac:dyDescent="0.25">
      <c r="A1016" t="s">
        <v>2593</v>
      </c>
      <c r="B1016" s="1" t="s">
        <v>1717</v>
      </c>
      <c r="C1016" t="s">
        <v>2594</v>
      </c>
      <c r="D1016" t="s">
        <v>63</v>
      </c>
      <c r="E1016" t="str">
        <f>PROPER(TRIM(D1016))</f>
        <v>John</v>
      </c>
      <c r="F1016" t="s">
        <v>20</v>
      </c>
      <c r="G1016">
        <v>8</v>
      </c>
      <c r="H1016" t="str">
        <f>IF(AND(G1016&gt;18, G1016&lt;65), "Valid", "Invalid")</f>
        <v>Invalid</v>
      </c>
      <c r="I1016" t="s">
        <v>21</v>
      </c>
      <c r="J1016" t="str">
        <f>PROPER(TRIM(I1016))</f>
        <v>Lagos</v>
      </c>
      <c r="K1016" t="s">
        <v>22</v>
      </c>
      <c r="L1016" t="str">
        <f>PROPER(TRIM(K1016))</f>
        <v>Fashion</v>
      </c>
      <c r="M1016" t="s">
        <v>23</v>
      </c>
      <c r="N1016" t="str">
        <f>PROPER(TRIM(M1016))</f>
        <v>Shirt</v>
      </c>
      <c r="O1016">
        <v>131.5</v>
      </c>
      <c r="P1016">
        <v>4</v>
      </c>
      <c r="Q1016">
        <f>IF(P1016&lt;1, 1, P1016)</f>
        <v>4</v>
      </c>
      <c r="R1016">
        <v>0</v>
      </c>
      <c r="S1016" t="str">
        <f>IF(OR(R1016&lt;0,R1016&gt;100),"invalid","Valid")</f>
        <v>Valid</v>
      </c>
      <c r="T1016" t="s">
        <v>64</v>
      </c>
      <c r="U1016" t="str">
        <f>PROPER(TRIM(T1016))</f>
        <v>Transfer</v>
      </c>
      <c r="V1016" t="s">
        <v>41</v>
      </c>
      <c r="W1016" t="str">
        <f t="shared" si="30"/>
        <v>Chi</v>
      </c>
      <c r="X1016" t="s">
        <v>26</v>
      </c>
      <c r="Y1016">
        <v>2</v>
      </c>
      <c r="Z1016" t="str">
        <f>IF(D1016="", "Missing", "ok")</f>
        <v>ok</v>
      </c>
      <c r="AA1016">
        <f t="shared" si="31"/>
        <v>526</v>
      </c>
    </row>
    <row r="1017" spans="1:27" x14ac:dyDescent="0.25">
      <c r="A1017" t="s">
        <v>2595</v>
      </c>
      <c r="B1017" s="1" t="s">
        <v>641</v>
      </c>
      <c r="C1017" t="s">
        <v>2596</v>
      </c>
      <c r="D1017" t="s">
        <v>19</v>
      </c>
      <c r="E1017" t="str">
        <f>PROPER(TRIM(D1017))</f>
        <v>Peter</v>
      </c>
      <c r="F1017" t="s">
        <v>46</v>
      </c>
      <c r="G1017">
        <v>8</v>
      </c>
      <c r="H1017" t="str">
        <f>IF(AND(G1017&gt;18, G1017&lt;65), "Valid", "Invalid")</f>
        <v>Invalid</v>
      </c>
      <c r="I1017" t="s">
        <v>86</v>
      </c>
      <c r="J1017" t="str">
        <f>PROPER(TRIM(I1017))</f>
        <v>Kano</v>
      </c>
      <c r="K1017" t="s">
        <v>121</v>
      </c>
      <c r="L1017" t="str">
        <f>PROPER(TRIM(K1017))</f>
        <v>Beauty</v>
      </c>
      <c r="M1017" t="s">
        <v>122</v>
      </c>
      <c r="N1017" t="str">
        <f>PROPER(TRIM(M1017))</f>
        <v>Cream</v>
      </c>
      <c r="O1017">
        <v>99.62</v>
      </c>
      <c r="P1017">
        <v>4</v>
      </c>
      <c r="Q1017">
        <f>IF(P1017&lt;1, 1, P1017)</f>
        <v>4</v>
      </c>
      <c r="R1017">
        <v>-10</v>
      </c>
      <c r="S1017" t="str">
        <f>IF(OR(R1017&lt;0,R1017&gt;100),"invalid","Valid")</f>
        <v>invalid</v>
      </c>
      <c r="T1017" t="s">
        <v>77</v>
      </c>
      <c r="U1017" t="str">
        <f>PROPER(TRIM(T1017))</f>
        <v>Cash</v>
      </c>
      <c r="V1017" t="s">
        <v>41</v>
      </c>
      <c r="W1017" t="str">
        <f t="shared" si="30"/>
        <v>Chi</v>
      </c>
      <c r="X1017" t="s">
        <v>65</v>
      </c>
      <c r="Y1017">
        <v>3</v>
      </c>
      <c r="Z1017" t="str">
        <f>IF(D1017="", "Missing", "ok")</f>
        <v>ok</v>
      </c>
      <c r="AA1017">
        <f t="shared" si="31"/>
        <v>438.32800000000003</v>
      </c>
    </row>
    <row r="1018" spans="1:27" x14ac:dyDescent="0.25">
      <c r="A1018" t="s">
        <v>2597</v>
      </c>
      <c r="B1018" s="1" t="s">
        <v>2050</v>
      </c>
      <c r="C1018" t="s">
        <v>2422</v>
      </c>
      <c r="D1018" t="s">
        <v>45</v>
      </c>
      <c r="E1018" t="str">
        <f>PROPER(TRIM(D1018))</f>
        <v>James</v>
      </c>
      <c r="F1018" t="s">
        <v>46</v>
      </c>
      <c r="G1018">
        <v>26</v>
      </c>
      <c r="H1018" t="str">
        <f>IF(AND(G1018&gt;18, G1018&lt;65), "Valid", "Invalid")</f>
        <v>Valid</v>
      </c>
      <c r="I1018" t="s">
        <v>53</v>
      </c>
      <c r="J1018" t="str">
        <f>PROPER(TRIM(I1018))</f>
        <v>Lagos</v>
      </c>
      <c r="K1018" t="s">
        <v>121</v>
      </c>
      <c r="L1018" t="str">
        <f>PROPER(TRIM(K1018))</f>
        <v>Beauty</v>
      </c>
      <c r="M1018" t="s">
        <v>122</v>
      </c>
      <c r="N1018" t="str">
        <f>PROPER(TRIM(M1018))</f>
        <v>Cream</v>
      </c>
      <c r="O1018">
        <v>476.29</v>
      </c>
      <c r="P1018">
        <v>-2</v>
      </c>
      <c r="Q1018">
        <f>IF(P1018&lt;1, 1, P1018)</f>
        <v>1</v>
      </c>
      <c r="R1018">
        <v>0</v>
      </c>
      <c r="S1018" t="str">
        <f>IF(OR(R1018&lt;0,R1018&gt;100),"invalid","Valid")</f>
        <v>Valid</v>
      </c>
      <c r="T1018" t="s">
        <v>24</v>
      </c>
      <c r="U1018" t="str">
        <f>PROPER(TRIM(T1018))</f>
        <v>Pos</v>
      </c>
      <c r="V1018" t="s">
        <v>91</v>
      </c>
      <c r="W1018" t="str">
        <f t="shared" si="30"/>
        <v>Ben</v>
      </c>
      <c r="X1018" t="s">
        <v>82</v>
      </c>
      <c r="Y1018">
        <v>5</v>
      </c>
      <c r="Z1018" t="str">
        <f>IF(D1018="", "Missing", "ok")</f>
        <v>ok</v>
      </c>
      <c r="AA1018">
        <f t="shared" si="31"/>
        <v>476.29</v>
      </c>
    </row>
    <row r="1019" spans="1:27" x14ac:dyDescent="0.25">
      <c r="A1019" t="s">
        <v>2598</v>
      </c>
      <c r="B1019" s="1" t="s">
        <v>864</v>
      </c>
      <c r="C1019" t="s">
        <v>2599</v>
      </c>
      <c r="D1019" t="s">
        <v>63</v>
      </c>
      <c r="E1019" t="str">
        <f>PROPER(TRIM(D1019))</f>
        <v>John</v>
      </c>
      <c r="F1019" t="s">
        <v>46</v>
      </c>
      <c r="G1019">
        <v>130</v>
      </c>
      <c r="H1019" t="str">
        <f>IF(AND(G1019&gt;18, G1019&lt;65), "Valid", "Invalid")</f>
        <v>Invalid</v>
      </c>
      <c r="I1019" t="s">
        <v>53</v>
      </c>
      <c r="J1019" t="str">
        <f>PROPER(TRIM(I1019))</f>
        <v>Lagos</v>
      </c>
      <c r="K1019" t="s">
        <v>22</v>
      </c>
      <c r="L1019" t="str">
        <f>PROPER(TRIM(K1019))</f>
        <v>Fashion</v>
      </c>
      <c r="M1019" t="s">
        <v>23</v>
      </c>
      <c r="N1019" t="str">
        <f>PROPER(TRIM(M1019))</f>
        <v>Shirt</v>
      </c>
      <c r="O1019">
        <v>211.44</v>
      </c>
      <c r="P1019">
        <v>5</v>
      </c>
      <c r="Q1019">
        <f>IF(P1019&lt;1, 1, P1019)</f>
        <v>5</v>
      </c>
      <c r="R1019">
        <v>-10</v>
      </c>
      <c r="S1019" t="str">
        <f>IF(OR(R1019&lt;0,R1019&gt;100),"invalid","Valid")</f>
        <v>invalid</v>
      </c>
      <c r="T1019" t="s">
        <v>24</v>
      </c>
      <c r="U1019" t="str">
        <f>PROPER(TRIM(T1019))</f>
        <v>Pos</v>
      </c>
      <c r="V1019" t="s">
        <v>91</v>
      </c>
      <c r="W1019" t="str">
        <f t="shared" si="30"/>
        <v>Ben</v>
      </c>
      <c r="X1019" t="s">
        <v>65</v>
      </c>
      <c r="Y1019">
        <v>2</v>
      </c>
      <c r="Z1019" t="str">
        <f>IF(D1019="", "Missing", "ok")</f>
        <v>ok</v>
      </c>
      <c r="AA1019">
        <f t="shared" si="31"/>
        <v>1162.92</v>
      </c>
    </row>
    <row r="1020" spans="1:27" x14ac:dyDescent="0.25">
      <c r="A1020" t="s">
        <v>2600</v>
      </c>
      <c r="B1020" s="1" t="s">
        <v>1346</v>
      </c>
      <c r="C1020" t="s">
        <v>2601</v>
      </c>
      <c r="D1020" t="s">
        <v>37</v>
      </c>
      <c r="E1020" t="str">
        <f>PROPER(TRIM(D1020))</f>
        <v>Aisha</v>
      </c>
      <c r="F1020" t="s">
        <v>46</v>
      </c>
      <c r="G1020">
        <v>8</v>
      </c>
      <c r="H1020" t="str">
        <f>IF(AND(G1020&gt;18, G1020&lt;65), "Valid", "Invalid")</f>
        <v>Invalid</v>
      </c>
      <c r="I1020" t="s">
        <v>30</v>
      </c>
      <c r="J1020" t="str">
        <f>PROPER(TRIM(I1020))</f>
        <v>Lagos</v>
      </c>
      <c r="K1020" t="s">
        <v>31</v>
      </c>
      <c r="L1020" t="str">
        <f>PROPER(TRIM(K1020))</f>
        <v>Sports</v>
      </c>
      <c r="M1020" t="s">
        <v>32</v>
      </c>
      <c r="N1020" t="str">
        <f>PROPER(TRIM(M1020))</f>
        <v>Ball</v>
      </c>
      <c r="O1020">
        <v>356.44</v>
      </c>
      <c r="P1020">
        <v>-2</v>
      </c>
      <c r="Q1020">
        <f>IF(P1020&lt;1, 1, P1020)</f>
        <v>1</v>
      </c>
      <c r="R1020">
        <v>15</v>
      </c>
      <c r="S1020" t="str">
        <f>IF(OR(R1020&lt;0,R1020&gt;100),"invalid","Valid")</f>
        <v>Valid</v>
      </c>
      <c r="T1020" t="s">
        <v>77</v>
      </c>
      <c r="U1020" t="str">
        <f>PROPER(TRIM(T1020))</f>
        <v>Cash</v>
      </c>
      <c r="V1020" t="s">
        <v>91</v>
      </c>
      <c r="W1020" t="str">
        <f t="shared" si="30"/>
        <v>Ben</v>
      </c>
      <c r="X1020" t="s">
        <v>26</v>
      </c>
      <c r="Y1020">
        <v>4</v>
      </c>
      <c r="Z1020" t="str">
        <f>IF(D1020="", "Missing", "ok")</f>
        <v>ok</v>
      </c>
      <c r="AA1020">
        <f t="shared" si="31"/>
        <v>302.97399999999999</v>
      </c>
    </row>
    <row r="1021" spans="1:27" x14ac:dyDescent="0.25">
      <c r="A1021" t="s">
        <v>2602</v>
      </c>
      <c r="B1021" s="1" t="s">
        <v>1460</v>
      </c>
      <c r="C1021" t="s">
        <v>2603</v>
      </c>
      <c r="D1021" t="s">
        <v>19</v>
      </c>
      <c r="E1021" t="str">
        <f>PROPER(TRIM(D1021))</f>
        <v>Peter</v>
      </c>
      <c r="F1021" t="s">
        <v>46</v>
      </c>
      <c r="G1021">
        <v>130</v>
      </c>
      <c r="H1021" t="str">
        <f>IF(AND(G1021&gt;18, G1021&lt;65), "Valid", "Invalid")</f>
        <v>Invalid</v>
      </c>
      <c r="I1021" t="s">
        <v>86</v>
      </c>
      <c r="J1021" t="str">
        <f>PROPER(TRIM(I1021))</f>
        <v>Kano</v>
      </c>
      <c r="K1021" t="s">
        <v>54</v>
      </c>
      <c r="L1021" t="str">
        <f>PROPER(TRIM(K1021))</f>
        <v>Home</v>
      </c>
      <c r="M1021" t="s">
        <v>55</v>
      </c>
      <c r="N1021" t="str">
        <f>PROPER(TRIM(M1021))</f>
        <v>Chair</v>
      </c>
      <c r="O1021">
        <v>295.64</v>
      </c>
      <c r="P1021">
        <v>2</v>
      </c>
      <c r="Q1021">
        <f>IF(P1021&lt;1, 1, P1021)</f>
        <v>2</v>
      </c>
      <c r="R1021">
        <v>0</v>
      </c>
      <c r="S1021" t="str">
        <f>IF(OR(R1021&lt;0,R1021&gt;100),"invalid","Valid")</f>
        <v>Valid</v>
      </c>
      <c r="U1021" t="str">
        <f>PROPER(TRIM(T1021))</f>
        <v/>
      </c>
      <c r="V1021" t="s">
        <v>41</v>
      </c>
      <c r="W1021" t="str">
        <f t="shared" si="30"/>
        <v>Chi</v>
      </c>
      <c r="X1021" t="s">
        <v>26</v>
      </c>
      <c r="Y1021">
        <v>2</v>
      </c>
      <c r="Z1021" t="str">
        <f>IF(D1021="", "Missing", "ok")</f>
        <v>ok</v>
      </c>
      <c r="AA1021">
        <f t="shared" si="31"/>
        <v>591.28</v>
      </c>
    </row>
    <row r="1022" spans="1:27" x14ac:dyDescent="0.25">
      <c r="A1022" t="s">
        <v>2604</v>
      </c>
      <c r="B1022" s="1" t="s">
        <v>193</v>
      </c>
      <c r="C1022" t="s">
        <v>2605</v>
      </c>
      <c r="D1022" t="s">
        <v>37</v>
      </c>
      <c r="E1022" t="str">
        <f>PROPER(TRIM(D1022))</f>
        <v>Aisha</v>
      </c>
      <c r="F1022" t="s">
        <v>46</v>
      </c>
      <c r="G1022">
        <v>18</v>
      </c>
      <c r="H1022" t="str">
        <f>IF(AND(G1022&gt;18, G1022&lt;65), "Valid", "Invalid")</f>
        <v>Invalid</v>
      </c>
      <c r="I1022" t="s">
        <v>86</v>
      </c>
      <c r="J1022" t="str">
        <f>PROPER(TRIM(I1022))</f>
        <v>Kano</v>
      </c>
      <c r="K1022" t="s">
        <v>87</v>
      </c>
      <c r="L1022" t="str">
        <f>PROPER(TRIM(K1022))</f>
        <v>Groceris</v>
      </c>
      <c r="M1022" t="s">
        <v>49</v>
      </c>
      <c r="N1022" t="str">
        <f>PROPER(TRIM(M1022))</f>
        <v>Rice</v>
      </c>
      <c r="O1022">
        <v>315.98</v>
      </c>
      <c r="P1022">
        <v>-2</v>
      </c>
      <c r="Q1022">
        <f>IF(P1022&lt;1, 1, P1022)</f>
        <v>1</v>
      </c>
      <c r="R1022">
        <v>-10</v>
      </c>
      <c r="S1022" t="str">
        <f>IF(OR(R1022&lt;0,R1022&gt;100),"invalid","Valid")</f>
        <v>invalid</v>
      </c>
      <c r="U1022" t="str">
        <f>PROPER(TRIM(T1022))</f>
        <v/>
      </c>
      <c r="V1022" t="s">
        <v>25</v>
      </c>
      <c r="W1022" t="str">
        <f t="shared" si="30"/>
        <v>Dan</v>
      </c>
      <c r="X1022" t="s">
        <v>82</v>
      </c>
      <c r="Y1022">
        <v>3</v>
      </c>
      <c r="Z1022" t="str">
        <f>IF(D1022="", "Missing", "ok")</f>
        <v>ok</v>
      </c>
      <c r="AA1022">
        <f t="shared" si="31"/>
        <v>347.57800000000003</v>
      </c>
    </row>
    <row r="1023" spans="1:27" x14ac:dyDescent="0.25">
      <c r="A1023" t="s">
        <v>2606</v>
      </c>
      <c r="B1023" s="1" t="s">
        <v>2607</v>
      </c>
      <c r="C1023" t="s">
        <v>2608</v>
      </c>
      <c r="D1023" t="s">
        <v>63</v>
      </c>
      <c r="E1023" t="str">
        <f>PROPER(TRIM(D1023))</f>
        <v>John</v>
      </c>
      <c r="F1023" t="s">
        <v>20</v>
      </c>
      <c r="G1023">
        <v>8</v>
      </c>
      <c r="H1023" t="str">
        <f>IF(AND(G1023&gt;18, G1023&lt;65), "Valid", "Invalid")</f>
        <v>Invalid</v>
      </c>
      <c r="I1023" t="s">
        <v>53</v>
      </c>
      <c r="J1023" t="str">
        <f>PROPER(TRIM(I1023))</f>
        <v>Lagos</v>
      </c>
      <c r="K1023" t="s">
        <v>54</v>
      </c>
      <c r="L1023" t="str">
        <f>PROPER(TRIM(K1023))</f>
        <v>Home</v>
      </c>
      <c r="M1023" t="s">
        <v>55</v>
      </c>
      <c r="N1023" t="str">
        <f>PROPER(TRIM(M1023))</f>
        <v>Chair</v>
      </c>
      <c r="O1023">
        <v>102.03</v>
      </c>
      <c r="P1023">
        <v>6</v>
      </c>
      <c r="Q1023">
        <f>IF(P1023&lt;1, 1, P1023)</f>
        <v>6</v>
      </c>
      <c r="R1023">
        <v>-10</v>
      </c>
      <c r="S1023" t="str">
        <f>IF(OR(R1023&lt;0,R1023&gt;100),"invalid","Valid")</f>
        <v>invalid</v>
      </c>
      <c r="T1023" t="s">
        <v>59</v>
      </c>
      <c r="U1023" t="str">
        <f>PROPER(TRIM(T1023))</f>
        <v>Mobile Money</v>
      </c>
      <c r="V1023" t="s">
        <v>25</v>
      </c>
      <c r="W1023" t="str">
        <f t="shared" si="30"/>
        <v>Dan</v>
      </c>
      <c r="X1023" t="s">
        <v>26</v>
      </c>
      <c r="Y1023">
        <v>2</v>
      </c>
      <c r="Z1023" t="str">
        <f>IF(D1023="", "Missing", "ok")</f>
        <v>ok</v>
      </c>
      <c r="AA1023">
        <f t="shared" si="31"/>
        <v>673.39800000000014</v>
      </c>
    </row>
    <row r="1024" spans="1:27" x14ac:dyDescent="0.25">
      <c r="A1024" t="s">
        <v>2609</v>
      </c>
      <c r="B1024" s="1" t="s">
        <v>618</v>
      </c>
      <c r="C1024" t="s">
        <v>2610</v>
      </c>
      <c r="D1024" t="s">
        <v>19</v>
      </c>
      <c r="E1024" t="str">
        <f>PROPER(TRIM(D1024))</f>
        <v>Peter</v>
      </c>
      <c r="F1024" t="s">
        <v>46</v>
      </c>
      <c r="G1024">
        <v>37</v>
      </c>
      <c r="H1024" t="str">
        <f>IF(AND(G1024&gt;18, G1024&lt;65), "Valid", "Invalid")</f>
        <v>Valid</v>
      </c>
      <c r="I1024" t="s">
        <v>38</v>
      </c>
      <c r="J1024" t="str">
        <f>PROPER(TRIM(I1024))</f>
        <v>Ph</v>
      </c>
      <c r="K1024" t="s">
        <v>54</v>
      </c>
      <c r="L1024" t="str">
        <f>PROPER(TRIM(K1024))</f>
        <v>Home</v>
      </c>
      <c r="M1024" t="s">
        <v>55</v>
      </c>
      <c r="N1024" t="str">
        <f>PROPER(TRIM(M1024))</f>
        <v>Chair</v>
      </c>
      <c r="O1024">
        <v>241.44</v>
      </c>
      <c r="P1024">
        <v>-2</v>
      </c>
      <c r="Q1024">
        <f>IF(P1024&lt;1, 1, P1024)</f>
        <v>1</v>
      </c>
      <c r="R1024">
        <v>-10</v>
      </c>
      <c r="S1024" t="str">
        <f>IF(OR(R1024&lt;0,R1024&gt;100),"invalid","Valid")</f>
        <v>invalid</v>
      </c>
      <c r="T1024" t="s">
        <v>24</v>
      </c>
      <c r="U1024" t="str">
        <f>PROPER(TRIM(T1024))</f>
        <v>Pos</v>
      </c>
      <c r="V1024" t="s">
        <v>41</v>
      </c>
      <c r="W1024" t="str">
        <f t="shared" si="30"/>
        <v>Chi</v>
      </c>
      <c r="X1024" t="s">
        <v>65</v>
      </c>
      <c r="Y1024">
        <v>4</v>
      </c>
      <c r="Z1024" t="str">
        <f>IF(D1024="", "Missing", "ok")</f>
        <v>ok</v>
      </c>
      <c r="AA1024">
        <f t="shared" si="31"/>
        <v>265.584</v>
      </c>
    </row>
    <row r="1025" spans="1:27" x14ac:dyDescent="0.25">
      <c r="A1025" t="s">
        <v>2611</v>
      </c>
      <c r="B1025" s="1" t="s">
        <v>2612</v>
      </c>
      <c r="C1025" t="s">
        <v>2613</v>
      </c>
      <c r="D1025" t="s">
        <v>37</v>
      </c>
      <c r="E1025" t="str">
        <f>PROPER(TRIM(D1025))</f>
        <v>Aisha</v>
      </c>
      <c r="F1025" t="s">
        <v>46</v>
      </c>
      <c r="G1025">
        <v>18</v>
      </c>
      <c r="H1025" t="str">
        <f>IF(AND(G1025&gt;18, G1025&lt;65), "Valid", "Invalid")</f>
        <v>Invalid</v>
      </c>
      <c r="I1025" t="s">
        <v>30</v>
      </c>
      <c r="J1025" t="str">
        <f>PROPER(TRIM(I1025))</f>
        <v>Lagos</v>
      </c>
      <c r="K1025" t="s">
        <v>22</v>
      </c>
      <c r="L1025" t="str">
        <f>PROPER(TRIM(K1025))</f>
        <v>Fashion</v>
      </c>
      <c r="M1025" t="s">
        <v>23</v>
      </c>
      <c r="N1025" t="str">
        <f>PROPER(TRIM(M1025))</f>
        <v>Shirt</v>
      </c>
      <c r="O1025">
        <v>56.24</v>
      </c>
      <c r="P1025">
        <v>-2</v>
      </c>
      <c r="Q1025">
        <f>IF(P1025&lt;1, 1, P1025)</f>
        <v>1</v>
      </c>
      <c r="R1025">
        <v>120</v>
      </c>
      <c r="S1025" t="str">
        <f>IF(OR(R1025&lt;0,R1025&gt;100),"invalid","Valid")</f>
        <v>invalid</v>
      </c>
      <c r="T1025" t="s">
        <v>59</v>
      </c>
      <c r="U1025" t="str">
        <f>PROPER(TRIM(T1025))</f>
        <v>Mobile Money</v>
      </c>
      <c r="V1025" t="s">
        <v>81</v>
      </c>
      <c r="W1025" t="str">
        <f t="shared" si="30"/>
        <v>Ada</v>
      </c>
      <c r="X1025" t="s">
        <v>26</v>
      </c>
      <c r="Z1025" t="str">
        <f>IF(D1025="", "Missing", "ok")</f>
        <v>ok</v>
      </c>
      <c r="AA1025">
        <f t="shared" si="31"/>
        <v>-11.247999999999998</v>
      </c>
    </row>
    <row r="1026" spans="1:27" x14ac:dyDescent="0.25">
      <c r="A1026" t="s">
        <v>2614</v>
      </c>
      <c r="B1026" s="1" t="s">
        <v>2419</v>
      </c>
      <c r="C1026" t="s">
        <v>2615</v>
      </c>
      <c r="D1026" t="s">
        <v>69</v>
      </c>
      <c r="E1026" t="str">
        <f>PROPER(TRIM(D1026))</f>
        <v>Mary</v>
      </c>
      <c r="F1026" t="s">
        <v>20</v>
      </c>
      <c r="G1026">
        <v>8</v>
      </c>
      <c r="H1026" t="str">
        <f>IF(AND(G1026&gt;18, G1026&lt;65), "Valid", "Invalid")</f>
        <v>Invalid</v>
      </c>
      <c r="I1026" t="s">
        <v>47</v>
      </c>
      <c r="J1026" t="str">
        <f>PROPER(TRIM(I1026))</f>
        <v>Enugu</v>
      </c>
      <c r="K1026" t="s">
        <v>48</v>
      </c>
      <c r="L1026" t="str">
        <f>PROPER(TRIM(K1026))</f>
        <v>Groceries</v>
      </c>
      <c r="M1026" t="s">
        <v>49</v>
      </c>
      <c r="N1026" t="str">
        <f>PROPER(TRIM(M1026))</f>
        <v>Rice</v>
      </c>
      <c r="O1026">
        <v>193.14</v>
      </c>
      <c r="P1026">
        <v>-2</v>
      </c>
      <c r="Q1026">
        <f>IF(P1026&lt;1, 1, P1026)</f>
        <v>1</v>
      </c>
      <c r="R1026">
        <v>15</v>
      </c>
      <c r="S1026" t="str">
        <f>IF(OR(R1026&lt;0,R1026&gt;100),"invalid","Valid")</f>
        <v>Valid</v>
      </c>
      <c r="T1026" t="s">
        <v>64</v>
      </c>
      <c r="U1026" t="str">
        <f>PROPER(TRIM(T1026))</f>
        <v>Transfer</v>
      </c>
      <c r="V1026" t="s">
        <v>25</v>
      </c>
      <c r="W1026" t="str">
        <f t="shared" ref="W1026:W1089" si="32">PROPER(TRIM(V1026))</f>
        <v>Dan</v>
      </c>
      <c r="X1026" t="s">
        <v>82</v>
      </c>
      <c r="Z1026" t="str">
        <f>IF(D1026="", "Missing", "ok")</f>
        <v>ok</v>
      </c>
      <c r="AA1026">
        <f t="shared" si="31"/>
        <v>164.16899999999998</v>
      </c>
    </row>
    <row r="1027" spans="1:27" x14ac:dyDescent="0.25">
      <c r="A1027" t="s">
        <v>2616</v>
      </c>
      <c r="B1027" s="1" t="s">
        <v>223</v>
      </c>
      <c r="C1027" t="s">
        <v>2617</v>
      </c>
      <c r="D1027" t="s">
        <v>37</v>
      </c>
      <c r="E1027" t="str">
        <f>PROPER(TRIM(D1027))</f>
        <v>Aisha</v>
      </c>
      <c r="F1027" t="s">
        <v>20</v>
      </c>
      <c r="G1027">
        <v>19</v>
      </c>
      <c r="H1027" t="str">
        <f>IF(AND(G1027&gt;18, G1027&lt;65), "Valid", "Invalid")</f>
        <v>Valid</v>
      </c>
      <c r="I1027" t="s">
        <v>30</v>
      </c>
      <c r="J1027" t="str">
        <f>PROPER(TRIM(I1027))</f>
        <v>Lagos</v>
      </c>
      <c r="K1027" t="s">
        <v>31</v>
      </c>
      <c r="L1027" t="str">
        <f>PROPER(TRIM(K1027))</f>
        <v>Sports</v>
      </c>
      <c r="M1027" t="s">
        <v>32</v>
      </c>
      <c r="N1027" t="str">
        <f>PROPER(TRIM(M1027))</f>
        <v>Ball</v>
      </c>
      <c r="O1027">
        <v>165.06</v>
      </c>
      <c r="P1027">
        <v>9</v>
      </c>
      <c r="Q1027">
        <f>IF(P1027&lt;1, 1, P1027)</f>
        <v>9</v>
      </c>
      <c r="R1027">
        <v>15</v>
      </c>
      <c r="S1027" t="str">
        <f>IF(OR(R1027&lt;0,R1027&gt;100),"invalid","Valid")</f>
        <v>Valid</v>
      </c>
      <c r="T1027" t="s">
        <v>59</v>
      </c>
      <c r="U1027" t="str">
        <f>PROPER(TRIM(T1027))</f>
        <v>Mobile Money</v>
      </c>
      <c r="V1027" t="s">
        <v>81</v>
      </c>
      <c r="W1027" t="str">
        <f t="shared" si="32"/>
        <v>Ada</v>
      </c>
      <c r="X1027" t="s">
        <v>26</v>
      </c>
      <c r="Y1027">
        <v>3</v>
      </c>
      <c r="Z1027" t="str">
        <f>IF(D1027="", "Missing", "ok")</f>
        <v>ok</v>
      </c>
      <c r="AA1027">
        <f t="shared" ref="AA1027:AA1090" si="33">(O1027*Q1027)*(1-R1027/100)</f>
        <v>1262.7089999999998</v>
      </c>
    </row>
    <row r="1028" spans="1:27" x14ac:dyDescent="0.25">
      <c r="A1028" t="s">
        <v>2618</v>
      </c>
      <c r="B1028" s="1" t="s">
        <v>2619</v>
      </c>
      <c r="C1028" t="s">
        <v>2620</v>
      </c>
      <c r="D1028" t="s">
        <v>63</v>
      </c>
      <c r="E1028" t="str">
        <f>PROPER(TRIM(D1028))</f>
        <v>John</v>
      </c>
      <c r="F1028" t="s">
        <v>46</v>
      </c>
      <c r="G1028">
        <v>8</v>
      </c>
      <c r="H1028" t="str">
        <f>IF(AND(G1028&gt;18, G1028&lt;65), "Valid", "Invalid")</f>
        <v>Invalid</v>
      </c>
      <c r="I1028" t="s">
        <v>38</v>
      </c>
      <c r="J1028" t="str">
        <f>PROPER(TRIM(I1028))</f>
        <v>Ph</v>
      </c>
      <c r="K1028" t="s">
        <v>48</v>
      </c>
      <c r="L1028" t="str">
        <f>PROPER(TRIM(K1028))</f>
        <v>Groceries</v>
      </c>
      <c r="M1028" t="s">
        <v>49</v>
      </c>
      <c r="N1028" t="str">
        <f>PROPER(TRIM(M1028))</f>
        <v>Rice</v>
      </c>
      <c r="O1028">
        <v>196.3</v>
      </c>
      <c r="P1028">
        <v>1</v>
      </c>
      <c r="Q1028">
        <f>IF(P1028&lt;1, 1, P1028)</f>
        <v>1</v>
      </c>
      <c r="R1028">
        <v>0</v>
      </c>
      <c r="S1028" t="str">
        <f>IF(OR(R1028&lt;0,R1028&gt;100),"invalid","Valid")</f>
        <v>Valid</v>
      </c>
      <c r="U1028" t="str">
        <f>PROPER(TRIM(T1028))</f>
        <v/>
      </c>
      <c r="V1028" t="s">
        <v>91</v>
      </c>
      <c r="W1028" t="str">
        <f t="shared" si="32"/>
        <v>Ben</v>
      </c>
      <c r="X1028" t="s">
        <v>26</v>
      </c>
      <c r="Y1028">
        <v>3</v>
      </c>
      <c r="Z1028" t="str">
        <f>IF(D1028="", "Missing", "ok")</f>
        <v>ok</v>
      </c>
      <c r="AA1028">
        <f t="shared" si="33"/>
        <v>196.3</v>
      </c>
    </row>
    <row r="1029" spans="1:27" x14ac:dyDescent="0.25">
      <c r="A1029" t="s">
        <v>2621</v>
      </c>
      <c r="B1029" s="1" t="s">
        <v>51</v>
      </c>
      <c r="C1029" t="s">
        <v>2622</v>
      </c>
      <c r="D1029" t="s">
        <v>63</v>
      </c>
      <c r="E1029" t="str">
        <f>PROPER(TRIM(D1029))</f>
        <v>John</v>
      </c>
      <c r="F1029" t="s">
        <v>20</v>
      </c>
      <c r="G1029">
        <v>8</v>
      </c>
      <c r="H1029" t="str">
        <f>IF(AND(G1029&gt;18, G1029&lt;65), "Valid", "Invalid")</f>
        <v>Invalid</v>
      </c>
      <c r="I1029" t="s">
        <v>47</v>
      </c>
      <c r="J1029" t="str">
        <f>PROPER(TRIM(I1029))</f>
        <v>Enugu</v>
      </c>
      <c r="K1029" t="s">
        <v>39</v>
      </c>
      <c r="L1029" t="str">
        <f>PROPER(TRIM(K1029))</f>
        <v>Electronics</v>
      </c>
      <c r="M1029" t="s">
        <v>40</v>
      </c>
      <c r="N1029" t="str">
        <f>PROPER(TRIM(M1029))</f>
        <v>Phone</v>
      </c>
      <c r="O1029">
        <v>90.94</v>
      </c>
      <c r="P1029">
        <v>-2</v>
      </c>
      <c r="Q1029">
        <f>IF(P1029&lt;1, 1, P1029)</f>
        <v>1</v>
      </c>
      <c r="R1029">
        <v>-10</v>
      </c>
      <c r="S1029" t="str">
        <f>IF(OR(R1029&lt;0,R1029&gt;100),"invalid","Valid")</f>
        <v>invalid</v>
      </c>
      <c r="T1029" t="s">
        <v>59</v>
      </c>
      <c r="U1029" t="str">
        <f>PROPER(TRIM(T1029))</f>
        <v>Mobile Money</v>
      </c>
      <c r="V1029" t="s">
        <v>91</v>
      </c>
      <c r="W1029" t="str">
        <f t="shared" si="32"/>
        <v>Ben</v>
      </c>
      <c r="X1029" t="s">
        <v>65</v>
      </c>
      <c r="Y1029">
        <v>1</v>
      </c>
      <c r="Z1029" t="str">
        <f>IF(D1029="", "Missing", "ok")</f>
        <v>ok</v>
      </c>
      <c r="AA1029">
        <f t="shared" si="33"/>
        <v>100.03400000000001</v>
      </c>
    </row>
    <row r="1030" spans="1:27" x14ac:dyDescent="0.25">
      <c r="A1030" t="s">
        <v>2623</v>
      </c>
      <c r="B1030" s="1" t="s">
        <v>483</v>
      </c>
      <c r="C1030" t="s">
        <v>2624</v>
      </c>
      <c r="E1030" t="str">
        <f>PROPER(TRIM(D1030))</f>
        <v/>
      </c>
      <c r="F1030" t="s">
        <v>20</v>
      </c>
      <c r="G1030">
        <v>130</v>
      </c>
      <c r="H1030" t="str">
        <f>IF(AND(G1030&gt;18, G1030&lt;65), "Valid", "Invalid")</f>
        <v>Invalid</v>
      </c>
      <c r="I1030" t="s">
        <v>38</v>
      </c>
      <c r="J1030" t="str">
        <f>PROPER(TRIM(I1030))</f>
        <v>Ph</v>
      </c>
      <c r="K1030" t="s">
        <v>31</v>
      </c>
      <c r="L1030" t="str">
        <f>PROPER(TRIM(K1030))</f>
        <v>Sports</v>
      </c>
      <c r="M1030" t="s">
        <v>32</v>
      </c>
      <c r="N1030" t="str">
        <f>PROPER(TRIM(M1030))</f>
        <v>Ball</v>
      </c>
      <c r="O1030">
        <v>189.23</v>
      </c>
      <c r="P1030">
        <v>-2</v>
      </c>
      <c r="Q1030">
        <f>IF(P1030&lt;1, 1, P1030)</f>
        <v>1</v>
      </c>
      <c r="R1030">
        <v>120</v>
      </c>
      <c r="S1030" t="str">
        <f>IF(OR(R1030&lt;0,R1030&gt;100),"invalid","Valid")</f>
        <v>invalid</v>
      </c>
      <c r="U1030" t="str">
        <f>PROPER(TRIM(T1030))</f>
        <v/>
      </c>
      <c r="V1030" t="s">
        <v>25</v>
      </c>
      <c r="W1030" t="str">
        <f t="shared" si="32"/>
        <v>Dan</v>
      </c>
      <c r="X1030" t="s">
        <v>26</v>
      </c>
      <c r="Y1030">
        <v>5</v>
      </c>
      <c r="Z1030" t="str">
        <f>IF(D1030="", "Missing", "ok")</f>
        <v>Missing</v>
      </c>
      <c r="AA1030">
        <f t="shared" si="33"/>
        <v>-37.845999999999989</v>
      </c>
    </row>
    <row r="1031" spans="1:27" x14ac:dyDescent="0.25">
      <c r="A1031" t="s">
        <v>2625</v>
      </c>
      <c r="B1031" s="1" t="s">
        <v>2626</v>
      </c>
      <c r="C1031" t="s">
        <v>2627</v>
      </c>
      <c r="D1031" t="s">
        <v>117</v>
      </c>
      <c r="E1031" t="str">
        <f>PROPER(TRIM(D1031))</f>
        <v>David</v>
      </c>
      <c r="F1031" t="s">
        <v>46</v>
      </c>
      <c r="G1031">
        <v>8</v>
      </c>
      <c r="H1031" t="str">
        <f>IF(AND(G1031&gt;18, G1031&lt;65), "Valid", "Invalid")</f>
        <v>Invalid</v>
      </c>
      <c r="I1031" t="s">
        <v>21</v>
      </c>
      <c r="J1031" t="str">
        <f>PROPER(TRIM(I1031))</f>
        <v>Lagos</v>
      </c>
      <c r="K1031" t="s">
        <v>31</v>
      </c>
      <c r="L1031" t="str">
        <f>PROPER(TRIM(K1031))</f>
        <v>Sports</v>
      </c>
      <c r="M1031" t="s">
        <v>32</v>
      </c>
      <c r="N1031" t="str">
        <f>PROPER(TRIM(M1031))</f>
        <v>Ball</v>
      </c>
      <c r="O1031">
        <v>168.68</v>
      </c>
      <c r="P1031">
        <v>2</v>
      </c>
      <c r="Q1031">
        <f>IF(P1031&lt;1, 1, P1031)</f>
        <v>2</v>
      </c>
      <c r="R1031">
        <v>120</v>
      </c>
      <c r="S1031" t="str">
        <f>IF(OR(R1031&lt;0,R1031&gt;100),"invalid","Valid")</f>
        <v>invalid</v>
      </c>
      <c r="T1031" t="s">
        <v>24</v>
      </c>
      <c r="U1031" t="str">
        <f>PROPER(TRIM(T1031))</f>
        <v>Pos</v>
      </c>
      <c r="V1031" t="s">
        <v>25</v>
      </c>
      <c r="W1031" t="str">
        <f t="shared" si="32"/>
        <v>Dan</v>
      </c>
      <c r="X1031" t="s">
        <v>82</v>
      </c>
      <c r="Y1031">
        <v>1</v>
      </c>
      <c r="Z1031" t="str">
        <f>IF(D1031="", "Missing", "ok")</f>
        <v>ok</v>
      </c>
      <c r="AA1031">
        <f t="shared" si="33"/>
        <v>-67.471999999999994</v>
      </c>
    </row>
    <row r="1032" spans="1:27" x14ac:dyDescent="0.25">
      <c r="A1032" t="s">
        <v>2628</v>
      </c>
      <c r="B1032" s="1" t="s">
        <v>2629</v>
      </c>
      <c r="C1032" t="s">
        <v>1685</v>
      </c>
      <c r="D1032" t="s">
        <v>101</v>
      </c>
      <c r="E1032" t="str">
        <f>PROPER(TRIM(D1032))</f>
        <v>Grace</v>
      </c>
      <c r="F1032" t="s">
        <v>46</v>
      </c>
      <c r="G1032">
        <v>26</v>
      </c>
      <c r="H1032" t="str">
        <f>IF(AND(G1032&gt;18, G1032&lt;65), "Valid", "Invalid")</f>
        <v>Valid</v>
      </c>
      <c r="I1032" t="s">
        <v>30</v>
      </c>
      <c r="J1032" t="str">
        <f>PROPER(TRIM(I1032))</f>
        <v>Lagos</v>
      </c>
      <c r="K1032" t="s">
        <v>54</v>
      </c>
      <c r="L1032" t="str">
        <f>PROPER(TRIM(K1032))</f>
        <v>Home</v>
      </c>
      <c r="M1032" t="s">
        <v>55</v>
      </c>
      <c r="N1032" t="str">
        <f>PROPER(TRIM(M1032))</f>
        <v>Chair</v>
      </c>
      <c r="O1032">
        <v>234.85</v>
      </c>
      <c r="P1032">
        <v>-2</v>
      </c>
      <c r="Q1032">
        <f>IF(P1032&lt;1, 1, P1032)</f>
        <v>1</v>
      </c>
      <c r="R1032">
        <v>0</v>
      </c>
      <c r="S1032" t="str">
        <f>IF(OR(R1032&lt;0,R1032&gt;100),"invalid","Valid")</f>
        <v>Valid</v>
      </c>
      <c r="U1032" t="str">
        <f>PROPER(TRIM(T1032))</f>
        <v/>
      </c>
      <c r="V1032" t="s">
        <v>81</v>
      </c>
      <c r="W1032" t="str">
        <f t="shared" si="32"/>
        <v>Ada</v>
      </c>
      <c r="X1032" t="s">
        <v>26</v>
      </c>
      <c r="Y1032">
        <v>2</v>
      </c>
      <c r="Z1032" t="str">
        <f>IF(D1032="", "Missing", "ok")</f>
        <v>ok</v>
      </c>
      <c r="AA1032">
        <f t="shared" si="33"/>
        <v>234.85</v>
      </c>
    </row>
    <row r="1033" spans="1:27" x14ac:dyDescent="0.25">
      <c r="A1033" t="s">
        <v>2630</v>
      </c>
      <c r="B1033" s="1" t="s">
        <v>72</v>
      </c>
      <c r="C1033" t="s">
        <v>480</v>
      </c>
      <c r="D1033" t="s">
        <v>45</v>
      </c>
      <c r="E1033" t="str">
        <f>PROPER(TRIM(D1033))</f>
        <v>James</v>
      </c>
      <c r="F1033" t="s">
        <v>46</v>
      </c>
      <c r="G1033">
        <v>8</v>
      </c>
      <c r="H1033" t="str">
        <f>IF(AND(G1033&gt;18, G1033&lt;65), "Valid", "Invalid")</f>
        <v>Invalid</v>
      </c>
      <c r="I1033" t="s">
        <v>30</v>
      </c>
      <c r="J1033" t="str">
        <f>PROPER(TRIM(I1033))</f>
        <v>Lagos</v>
      </c>
      <c r="K1033" t="s">
        <v>54</v>
      </c>
      <c r="L1033" t="str">
        <f>PROPER(TRIM(K1033))</f>
        <v>Home</v>
      </c>
      <c r="M1033" t="s">
        <v>55</v>
      </c>
      <c r="N1033" t="str">
        <f>PROPER(TRIM(M1033))</f>
        <v>Chair</v>
      </c>
      <c r="O1033">
        <v>326.06</v>
      </c>
      <c r="P1033">
        <v>-2</v>
      </c>
      <c r="Q1033">
        <f>IF(P1033&lt;1, 1, P1033)</f>
        <v>1</v>
      </c>
      <c r="R1033">
        <v>15</v>
      </c>
      <c r="S1033" t="str">
        <f>IF(OR(R1033&lt;0,R1033&gt;100),"invalid","Valid")</f>
        <v>Valid</v>
      </c>
      <c r="T1033" t="s">
        <v>24</v>
      </c>
      <c r="U1033" t="str">
        <f>PROPER(TRIM(T1033))</f>
        <v>Pos</v>
      </c>
      <c r="V1033" t="s">
        <v>91</v>
      </c>
      <c r="W1033" t="str">
        <f t="shared" si="32"/>
        <v>Ben</v>
      </c>
      <c r="X1033" t="s">
        <v>26</v>
      </c>
      <c r="Z1033" t="str">
        <f>IF(D1033="", "Missing", "ok")</f>
        <v>ok</v>
      </c>
      <c r="AA1033">
        <f t="shared" si="33"/>
        <v>277.15100000000001</v>
      </c>
    </row>
    <row r="1034" spans="1:27" x14ac:dyDescent="0.25">
      <c r="A1034" t="s">
        <v>2631</v>
      </c>
      <c r="B1034" s="1" t="s">
        <v>1020</v>
      </c>
      <c r="C1034" t="s">
        <v>2632</v>
      </c>
      <c r="D1034" t="s">
        <v>19</v>
      </c>
      <c r="E1034" t="str">
        <f>PROPER(TRIM(D1034))</f>
        <v>Peter</v>
      </c>
      <c r="F1034" t="s">
        <v>46</v>
      </c>
      <c r="G1034">
        <v>130</v>
      </c>
      <c r="H1034" t="str">
        <f>IF(AND(G1034&gt;18, G1034&lt;65), "Valid", "Invalid")</f>
        <v>Invalid</v>
      </c>
      <c r="I1034" t="s">
        <v>47</v>
      </c>
      <c r="J1034" t="str">
        <f>PROPER(TRIM(I1034))</f>
        <v>Enugu</v>
      </c>
      <c r="K1034" t="s">
        <v>87</v>
      </c>
      <c r="L1034" t="str">
        <f>PROPER(TRIM(K1034))</f>
        <v>Groceris</v>
      </c>
      <c r="M1034" t="s">
        <v>49</v>
      </c>
      <c r="N1034" t="str">
        <f>PROPER(TRIM(M1034))</f>
        <v>Rice</v>
      </c>
      <c r="O1034">
        <v>278.16000000000003</v>
      </c>
      <c r="P1034">
        <v>-2</v>
      </c>
      <c r="Q1034">
        <f>IF(P1034&lt;1, 1, P1034)</f>
        <v>1</v>
      </c>
      <c r="R1034">
        <v>-10</v>
      </c>
      <c r="S1034" t="str">
        <f>IF(OR(R1034&lt;0,R1034&gt;100),"invalid","Valid")</f>
        <v>invalid</v>
      </c>
      <c r="T1034" t="s">
        <v>77</v>
      </c>
      <c r="U1034" t="str">
        <f>PROPER(TRIM(T1034))</f>
        <v>Cash</v>
      </c>
      <c r="V1034" t="s">
        <v>25</v>
      </c>
      <c r="W1034" t="str">
        <f t="shared" si="32"/>
        <v>Dan</v>
      </c>
      <c r="X1034" t="s">
        <v>82</v>
      </c>
      <c r="Y1034">
        <v>5</v>
      </c>
      <c r="Z1034" t="str">
        <f>IF(D1034="", "Missing", "ok")</f>
        <v>ok</v>
      </c>
      <c r="AA1034">
        <f t="shared" si="33"/>
        <v>305.97600000000006</v>
      </c>
    </row>
    <row r="1035" spans="1:27" x14ac:dyDescent="0.25">
      <c r="A1035" t="s">
        <v>2633</v>
      </c>
      <c r="B1035" s="1" t="s">
        <v>1135</v>
      </c>
      <c r="C1035" t="s">
        <v>2634</v>
      </c>
      <c r="D1035" t="s">
        <v>69</v>
      </c>
      <c r="E1035" t="str">
        <f>PROPER(TRIM(D1035))</f>
        <v>Mary</v>
      </c>
      <c r="F1035" t="s">
        <v>46</v>
      </c>
      <c r="G1035">
        <v>8</v>
      </c>
      <c r="H1035" t="str">
        <f>IF(AND(G1035&gt;18, G1035&lt;65), "Valid", "Invalid")</f>
        <v>Invalid</v>
      </c>
      <c r="I1035" t="s">
        <v>86</v>
      </c>
      <c r="J1035" t="str">
        <f>PROPER(TRIM(I1035))</f>
        <v>Kano</v>
      </c>
      <c r="K1035" t="s">
        <v>22</v>
      </c>
      <c r="L1035" t="str">
        <f>PROPER(TRIM(K1035))</f>
        <v>Fashion</v>
      </c>
      <c r="M1035" t="s">
        <v>23</v>
      </c>
      <c r="N1035" t="str">
        <f>PROPER(TRIM(M1035))</f>
        <v>Shirt</v>
      </c>
      <c r="O1035">
        <v>188.67</v>
      </c>
      <c r="P1035">
        <v>-2</v>
      </c>
      <c r="Q1035">
        <f>IF(P1035&lt;1, 1, P1035)</f>
        <v>1</v>
      </c>
      <c r="R1035">
        <v>5</v>
      </c>
      <c r="S1035" t="str">
        <f>IF(OR(R1035&lt;0,R1035&gt;100),"invalid","Valid")</f>
        <v>Valid</v>
      </c>
      <c r="T1035" t="s">
        <v>24</v>
      </c>
      <c r="U1035" t="str">
        <f>PROPER(TRIM(T1035))</f>
        <v>Pos</v>
      </c>
      <c r="V1035" t="s">
        <v>91</v>
      </c>
      <c r="W1035" t="str">
        <f t="shared" si="32"/>
        <v>Ben</v>
      </c>
      <c r="X1035" t="s">
        <v>82</v>
      </c>
      <c r="Y1035">
        <v>5</v>
      </c>
      <c r="Z1035" t="str">
        <f>IF(D1035="", "Missing", "ok")</f>
        <v>ok</v>
      </c>
      <c r="AA1035">
        <f t="shared" si="33"/>
        <v>179.23649999999998</v>
      </c>
    </row>
    <row r="1036" spans="1:27" x14ac:dyDescent="0.25">
      <c r="A1036" t="s">
        <v>2635</v>
      </c>
      <c r="B1036" s="1" t="s">
        <v>1832</v>
      </c>
      <c r="C1036" t="s">
        <v>2636</v>
      </c>
      <c r="D1036" t="s">
        <v>117</v>
      </c>
      <c r="E1036" t="str">
        <f>PROPER(TRIM(D1036))</f>
        <v>David</v>
      </c>
      <c r="F1036" t="s">
        <v>20</v>
      </c>
      <c r="G1036">
        <v>18</v>
      </c>
      <c r="H1036" t="str">
        <f>IF(AND(G1036&gt;18, G1036&lt;65), "Valid", "Invalid")</f>
        <v>Invalid</v>
      </c>
      <c r="I1036" t="s">
        <v>38</v>
      </c>
      <c r="J1036" t="str">
        <f>PROPER(TRIM(I1036))</f>
        <v>Ph</v>
      </c>
      <c r="K1036" t="s">
        <v>39</v>
      </c>
      <c r="L1036" t="str">
        <f>PROPER(TRIM(K1036))</f>
        <v>Electronics</v>
      </c>
      <c r="M1036" t="s">
        <v>40</v>
      </c>
      <c r="N1036" t="str">
        <f>PROPER(TRIM(M1036))</f>
        <v>Phone</v>
      </c>
      <c r="O1036">
        <v>418.44</v>
      </c>
      <c r="P1036">
        <v>-2</v>
      </c>
      <c r="Q1036">
        <f>IF(P1036&lt;1, 1, P1036)</f>
        <v>1</v>
      </c>
      <c r="R1036">
        <v>15</v>
      </c>
      <c r="S1036" t="str">
        <f>IF(OR(R1036&lt;0,R1036&gt;100),"invalid","Valid")</f>
        <v>Valid</v>
      </c>
      <c r="T1036" t="s">
        <v>59</v>
      </c>
      <c r="U1036" t="str">
        <f>PROPER(TRIM(T1036))</f>
        <v>Mobile Money</v>
      </c>
      <c r="V1036" t="s">
        <v>25</v>
      </c>
      <c r="W1036" t="str">
        <f t="shared" si="32"/>
        <v>Dan</v>
      </c>
      <c r="X1036" t="s">
        <v>26</v>
      </c>
      <c r="Z1036" t="str">
        <f>IF(D1036="", "Missing", "ok")</f>
        <v>ok</v>
      </c>
      <c r="AA1036">
        <f t="shared" si="33"/>
        <v>355.67399999999998</v>
      </c>
    </row>
    <row r="1037" spans="1:27" x14ac:dyDescent="0.25">
      <c r="A1037" t="s">
        <v>2637</v>
      </c>
      <c r="B1037" s="1" t="s">
        <v>2073</v>
      </c>
      <c r="C1037" t="s">
        <v>2638</v>
      </c>
      <c r="E1037" t="str">
        <f>PROPER(TRIM(D1037))</f>
        <v/>
      </c>
      <c r="F1037" t="s">
        <v>46</v>
      </c>
      <c r="G1037">
        <v>130</v>
      </c>
      <c r="H1037" t="str">
        <f>IF(AND(G1037&gt;18, G1037&lt;65), "Valid", "Invalid")</f>
        <v>Invalid</v>
      </c>
      <c r="I1037" t="s">
        <v>30</v>
      </c>
      <c r="J1037" t="str">
        <f>PROPER(TRIM(I1037))</f>
        <v>Lagos</v>
      </c>
      <c r="K1037" t="s">
        <v>87</v>
      </c>
      <c r="L1037" t="str">
        <f>PROPER(TRIM(K1037))</f>
        <v>Groceris</v>
      </c>
      <c r="M1037" t="s">
        <v>49</v>
      </c>
      <c r="N1037" t="str">
        <f>PROPER(TRIM(M1037))</f>
        <v>Rice</v>
      </c>
      <c r="O1037">
        <v>96.76</v>
      </c>
      <c r="P1037">
        <v>-2</v>
      </c>
      <c r="Q1037">
        <f>IF(P1037&lt;1, 1, P1037)</f>
        <v>1</v>
      </c>
      <c r="R1037">
        <v>15</v>
      </c>
      <c r="S1037" t="str">
        <f>IF(OR(R1037&lt;0,R1037&gt;100),"invalid","Valid")</f>
        <v>Valid</v>
      </c>
      <c r="T1037" t="s">
        <v>59</v>
      </c>
      <c r="U1037" t="str">
        <f>PROPER(TRIM(T1037))</f>
        <v>Mobile Money</v>
      </c>
      <c r="V1037" t="s">
        <v>91</v>
      </c>
      <c r="W1037" t="str">
        <f t="shared" si="32"/>
        <v>Ben</v>
      </c>
      <c r="X1037" t="s">
        <v>82</v>
      </c>
      <c r="Y1037">
        <v>2</v>
      </c>
      <c r="Z1037" t="str">
        <f>IF(D1037="", "Missing", "ok")</f>
        <v>Missing</v>
      </c>
      <c r="AA1037">
        <f t="shared" si="33"/>
        <v>82.245999999999995</v>
      </c>
    </row>
    <row r="1038" spans="1:27" x14ac:dyDescent="0.25">
      <c r="A1038" t="s">
        <v>2639</v>
      </c>
      <c r="B1038" s="1" t="s">
        <v>130</v>
      </c>
      <c r="C1038" t="s">
        <v>2640</v>
      </c>
      <c r="D1038" t="s">
        <v>69</v>
      </c>
      <c r="E1038" t="str">
        <f>PROPER(TRIM(D1038))</f>
        <v>Mary</v>
      </c>
      <c r="F1038" t="s">
        <v>46</v>
      </c>
      <c r="G1038">
        <v>36</v>
      </c>
      <c r="H1038" t="str">
        <f>IF(AND(G1038&gt;18, G1038&lt;65), "Valid", "Invalid")</f>
        <v>Valid</v>
      </c>
      <c r="I1038" t="s">
        <v>30</v>
      </c>
      <c r="J1038" t="str">
        <f>PROPER(TRIM(I1038))</f>
        <v>Lagos</v>
      </c>
      <c r="K1038" t="s">
        <v>48</v>
      </c>
      <c r="L1038" t="str">
        <f>PROPER(TRIM(K1038))</f>
        <v>Groceries</v>
      </c>
      <c r="M1038" t="s">
        <v>49</v>
      </c>
      <c r="N1038" t="str">
        <f>PROPER(TRIM(M1038))</f>
        <v>Rice</v>
      </c>
      <c r="O1038">
        <v>277.2</v>
      </c>
      <c r="P1038">
        <v>10</v>
      </c>
      <c r="Q1038">
        <f>IF(P1038&lt;1, 1, P1038)</f>
        <v>10</v>
      </c>
      <c r="R1038">
        <v>120</v>
      </c>
      <c r="S1038" t="str">
        <f>IF(OR(R1038&lt;0,R1038&gt;100),"invalid","Valid")</f>
        <v>invalid</v>
      </c>
      <c r="T1038" t="s">
        <v>24</v>
      </c>
      <c r="U1038" t="str">
        <f>PROPER(TRIM(T1038))</f>
        <v>Pos</v>
      </c>
      <c r="V1038" t="s">
        <v>25</v>
      </c>
      <c r="W1038" t="str">
        <f t="shared" si="32"/>
        <v>Dan</v>
      </c>
      <c r="X1038" t="s">
        <v>65</v>
      </c>
      <c r="Y1038">
        <v>5</v>
      </c>
      <c r="Z1038" t="str">
        <f>IF(D1038="", "Missing", "ok")</f>
        <v>ok</v>
      </c>
      <c r="AA1038">
        <f t="shared" si="33"/>
        <v>-554.39999999999986</v>
      </c>
    </row>
    <row r="1039" spans="1:27" x14ac:dyDescent="0.25">
      <c r="A1039" t="s">
        <v>2641</v>
      </c>
      <c r="B1039" s="1" t="s">
        <v>1103</v>
      </c>
      <c r="C1039" t="s">
        <v>2642</v>
      </c>
      <c r="E1039" t="str">
        <f>PROPER(TRIM(D1039))</f>
        <v/>
      </c>
      <c r="F1039" t="s">
        <v>46</v>
      </c>
      <c r="G1039">
        <v>8</v>
      </c>
      <c r="H1039" t="str">
        <f>IF(AND(G1039&gt;18, G1039&lt;65), "Valid", "Invalid")</f>
        <v>Invalid</v>
      </c>
      <c r="I1039" t="s">
        <v>53</v>
      </c>
      <c r="J1039" t="str">
        <f>PROPER(TRIM(I1039))</f>
        <v>Lagos</v>
      </c>
      <c r="K1039" t="s">
        <v>87</v>
      </c>
      <c r="L1039" t="str">
        <f>PROPER(TRIM(K1039))</f>
        <v>Groceris</v>
      </c>
      <c r="M1039" t="s">
        <v>49</v>
      </c>
      <c r="N1039" t="str">
        <f>PROPER(TRIM(M1039))</f>
        <v>Rice</v>
      </c>
      <c r="O1039">
        <v>438.72</v>
      </c>
      <c r="P1039">
        <v>-2</v>
      </c>
      <c r="Q1039">
        <f>IF(P1039&lt;1, 1, P1039)</f>
        <v>1</v>
      </c>
      <c r="R1039">
        <v>5</v>
      </c>
      <c r="S1039" t="str">
        <f>IF(OR(R1039&lt;0,R1039&gt;100),"invalid","Valid")</f>
        <v>Valid</v>
      </c>
      <c r="U1039" t="str">
        <f>PROPER(TRIM(T1039))</f>
        <v/>
      </c>
      <c r="V1039" t="s">
        <v>25</v>
      </c>
      <c r="W1039" t="str">
        <f t="shared" si="32"/>
        <v>Dan</v>
      </c>
      <c r="X1039" t="s">
        <v>26</v>
      </c>
      <c r="Z1039" t="str">
        <f>IF(D1039="", "Missing", "ok")</f>
        <v>Missing</v>
      </c>
      <c r="AA1039">
        <f t="shared" si="33"/>
        <v>416.78399999999999</v>
      </c>
    </row>
    <row r="1040" spans="1:27" x14ac:dyDescent="0.25">
      <c r="A1040" t="s">
        <v>2643</v>
      </c>
      <c r="B1040" s="1" t="s">
        <v>2644</v>
      </c>
      <c r="C1040" t="s">
        <v>2645</v>
      </c>
      <c r="D1040" t="s">
        <v>117</v>
      </c>
      <c r="E1040" t="str">
        <f>PROPER(TRIM(D1040))</f>
        <v>David</v>
      </c>
      <c r="F1040" t="s">
        <v>20</v>
      </c>
      <c r="G1040">
        <v>130</v>
      </c>
      <c r="H1040" t="str">
        <f>IF(AND(G1040&gt;18, G1040&lt;65), "Valid", "Invalid")</f>
        <v>Invalid</v>
      </c>
      <c r="I1040" t="s">
        <v>70</v>
      </c>
      <c r="J1040" t="str">
        <f>PROPER(TRIM(I1040))</f>
        <v>Abuja</v>
      </c>
      <c r="K1040" t="s">
        <v>39</v>
      </c>
      <c r="L1040" t="str">
        <f>PROPER(TRIM(K1040))</f>
        <v>Electronics</v>
      </c>
      <c r="M1040" t="s">
        <v>40</v>
      </c>
      <c r="N1040" t="str">
        <f>PROPER(TRIM(M1040))</f>
        <v>Phone</v>
      </c>
      <c r="O1040">
        <v>298.45999999999998</v>
      </c>
      <c r="P1040">
        <v>2</v>
      </c>
      <c r="Q1040">
        <f>IF(P1040&lt;1, 1, P1040)</f>
        <v>2</v>
      </c>
      <c r="R1040">
        <v>15</v>
      </c>
      <c r="S1040" t="str">
        <f>IF(OR(R1040&lt;0,R1040&gt;100),"invalid","Valid")</f>
        <v>Valid</v>
      </c>
      <c r="T1040" t="s">
        <v>24</v>
      </c>
      <c r="U1040" t="str">
        <f>PROPER(TRIM(T1040))</f>
        <v>Pos</v>
      </c>
      <c r="V1040" t="s">
        <v>81</v>
      </c>
      <c r="W1040" t="str">
        <f t="shared" si="32"/>
        <v>Ada</v>
      </c>
      <c r="X1040" t="s">
        <v>33</v>
      </c>
      <c r="Y1040">
        <v>4</v>
      </c>
      <c r="Z1040" t="str">
        <f>IF(D1040="", "Missing", "ok")</f>
        <v>ok</v>
      </c>
      <c r="AA1040">
        <f t="shared" si="33"/>
        <v>507.38199999999995</v>
      </c>
    </row>
    <row r="1041" spans="1:27" x14ac:dyDescent="0.25">
      <c r="A1041" t="s">
        <v>2646</v>
      </c>
      <c r="B1041" s="1" t="s">
        <v>1625</v>
      </c>
      <c r="C1041" t="s">
        <v>2647</v>
      </c>
      <c r="D1041" t="s">
        <v>45</v>
      </c>
      <c r="E1041" t="str">
        <f>PROPER(TRIM(D1041))</f>
        <v>James</v>
      </c>
      <c r="F1041" t="s">
        <v>20</v>
      </c>
      <c r="G1041">
        <v>8</v>
      </c>
      <c r="H1041" t="str">
        <f>IF(AND(G1041&gt;18, G1041&lt;65), "Valid", "Invalid")</f>
        <v>Invalid</v>
      </c>
      <c r="I1041" t="s">
        <v>53</v>
      </c>
      <c r="J1041" t="str">
        <f>PROPER(TRIM(I1041))</f>
        <v>Lagos</v>
      </c>
      <c r="K1041" t="s">
        <v>39</v>
      </c>
      <c r="L1041" t="str">
        <f>PROPER(TRIM(K1041))</f>
        <v>Electronics</v>
      </c>
      <c r="M1041" t="s">
        <v>40</v>
      </c>
      <c r="N1041" t="str">
        <f>PROPER(TRIM(M1041))</f>
        <v>Phone</v>
      </c>
      <c r="O1041">
        <v>341.93</v>
      </c>
      <c r="P1041">
        <v>42</v>
      </c>
      <c r="Q1041">
        <f>IF(P1041&lt;1, 1, P1041)</f>
        <v>42</v>
      </c>
      <c r="R1041">
        <v>10</v>
      </c>
      <c r="S1041" t="str">
        <f>IF(OR(R1041&lt;0,R1041&gt;100),"invalid","Valid")</f>
        <v>Valid</v>
      </c>
      <c r="T1041" t="s">
        <v>77</v>
      </c>
      <c r="U1041" t="str">
        <f>PROPER(TRIM(T1041))</f>
        <v>Cash</v>
      </c>
      <c r="V1041" t="s">
        <v>81</v>
      </c>
      <c r="W1041" t="str">
        <f t="shared" si="32"/>
        <v>Ada</v>
      </c>
      <c r="X1041" t="s">
        <v>82</v>
      </c>
      <c r="Y1041">
        <v>5</v>
      </c>
      <c r="Z1041" t="str">
        <f>IF(D1041="", "Missing", "ok")</f>
        <v>ok</v>
      </c>
      <c r="AA1041">
        <f t="shared" si="33"/>
        <v>12924.954</v>
      </c>
    </row>
    <row r="1042" spans="1:27" x14ac:dyDescent="0.25">
      <c r="A1042" t="s">
        <v>2648</v>
      </c>
      <c r="B1042" s="1" t="s">
        <v>2099</v>
      </c>
      <c r="C1042" t="s">
        <v>2649</v>
      </c>
      <c r="D1042" t="s">
        <v>45</v>
      </c>
      <c r="E1042" t="str">
        <f>PROPER(TRIM(D1042))</f>
        <v>James</v>
      </c>
      <c r="F1042" t="s">
        <v>46</v>
      </c>
      <c r="G1042">
        <v>29</v>
      </c>
      <c r="H1042" t="str">
        <f>IF(AND(G1042&gt;18, G1042&lt;65), "Valid", "Invalid")</f>
        <v>Valid</v>
      </c>
      <c r="I1042" t="s">
        <v>30</v>
      </c>
      <c r="J1042" t="str">
        <f>PROPER(TRIM(I1042))</f>
        <v>Lagos</v>
      </c>
      <c r="K1042" t="s">
        <v>87</v>
      </c>
      <c r="L1042" t="str">
        <f>PROPER(TRIM(K1042))</f>
        <v>Groceris</v>
      </c>
      <c r="M1042" t="s">
        <v>49</v>
      </c>
      <c r="N1042" t="str">
        <f>PROPER(TRIM(M1042))</f>
        <v>Rice</v>
      </c>
      <c r="O1042">
        <v>45.93</v>
      </c>
      <c r="P1042">
        <v>4</v>
      </c>
      <c r="Q1042">
        <f>IF(P1042&lt;1, 1, P1042)</f>
        <v>4</v>
      </c>
      <c r="R1042">
        <v>120</v>
      </c>
      <c r="S1042" t="str">
        <f>IF(OR(R1042&lt;0,R1042&gt;100),"invalid","Valid")</f>
        <v>invalid</v>
      </c>
      <c r="T1042" t="s">
        <v>24</v>
      </c>
      <c r="U1042" t="str">
        <f>PROPER(TRIM(T1042))</f>
        <v>Pos</v>
      </c>
      <c r="V1042" t="s">
        <v>25</v>
      </c>
      <c r="W1042" t="str">
        <f t="shared" si="32"/>
        <v>Dan</v>
      </c>
      <c r="X1042" t="s">
        <v>33</v>
      </c>
      <c r="Z1042" t="str">
        <f>IF(D1042="", "Missing", "ok")</f>
        <v>ok</v>
      </c>
      <c r="AA1042">
        <f t="shared" si="33"/>
        <v>-36.743999999999993</v>
      </c>
    </row>
    <row r="1043" spans="1:27" x14ac:dyDescent="0.25">
      <c r="A1043" t="s">
        <v>2650</v>
      </c>
      <c r="B1043" s="1" t="s">
        <v>985</v>
      </c>
      <c r="C1043" t="s">
        <v>2651</v>
      </c>
      <c r="E1043" t="str">
        <f>PROPER(TRIM(D1043))</f>
        <v/>
      </c>
      <c r="F1043" t="s">
        <v>20</v>
      </c>
      <c r="G1043">
        <v>29</v>
      </c>
      <c r="H1043" t="str">
        <f>IF(AND(G1043&gt;18, G1043&lt;65), "Valid", "Invalid")</f>
        <v>Valid</v>
      </c>
      <c r="I1043" t="s">
        <v>47</v>
      </c>
      <c r="J1043" t="str">
        <f>PROPER(TRIM(I1043))</f>
        <v>Enugu</v>
      </c>
      <c r="K1043" t="s">
        <v>39</v>
      </c>
      <c r="L1043" t="str">
        <f>PROPER(TRIM(K1043))</f>
        <v>Electronics</v>
      </c>
      <c r="M1043" t="s">
        <v>40</v>
      </c>
      <c r="N1043" t="str">
        <f>PROPER(TRIM(M1043))</f>
        <v>Phone</v>
      </c>
      <c r="O1043">
        <v>137.54</v>
      </c>
      <c r="P1043">
        <v>3</v>
      </c>
      <c r="Q1043">
        <f>IF(P1043&lt;1, 1, P1043)</f>
        <v>3</v>
      </c>
      <c r="R1043">
        <v>15</v>
      </c>
      <c r="S1043" t="str">
        <f>IF(OR(R1043&lt;0,R1043&gt;100),"invalid","Valid")</f>
        <v>Valid</v>
      </c>
      <c r="T1043" t="s">
        <v>64</v>
      </c>
      <c r="U1043" t="str">
        <f>PROPER(TRIM(T1043))</f>
        <v>Transfer</v>
      </c>
      <c r="V1043" t="s">
        <v>41</v>
      </c>
      <c r="W1043" t="str">
        <f t="shared" si="32"/>
        <v>Chi</v>
      </c>
      <c r="X1043" t="s">
        <v>26</v>
      </c>
      <c r="Y1043">
        <v>1</v>
      </c>
      <c r="Z1043" t="str">
        <f>IF(D1043="", "Missing", "ok")</f>
        <v>Missing</v>
      </c>
      <c r="AA1043">
        <f t="shared" si="33"/>
        <v>350.72699999999998</v>
      </c>
    </row>
    <row r="1044" spans="1:27" x14ac:dyDescent="0.25">
      <c r="A1044" t="s">
        <v>2652</v>
      </c>
      <c r="B1044" s="1" t="s">
        <v>757</v>
      </c>
      <c r="C1044" t="s">
        <v>2155</v>
      </c>
      <c r="E1044" t="str">
        <f>PROPER(TRIM(D1044))</f>
        <v/>
      </c>
      <c r="F1044" t="s">
        <v>20</v>
      </c>
      <c r="G1044">
        <v>8</v>
      </c>
      <c r="H1044" t="str">
        <f>IF(AND(G1044&gt;18, G1044&lt;65), "Valid", "Invalid")</f>
        <v>Invalid</v>
      </c>
      <c r="I1044" t="s">
        <v>70</v>
      </c>
      <c r="J1044" t="str">
        <f>PROPER(TRIM(I1044))</f>
        <v>Abuja</v>
      </c>
      <c r="K1044" t="s">
        <v>22</v>
      </c>
      <c r="L1044" t="str">
        <f>PROPER(TRIM(K1044))</f>
        <v>Fashion</v>
      </c>
      <c r="M1044" t="s">
        <v>23</v>
      </c>
      <c r="N1044" t="str">
        <f>PROPER(TRIM(M1044))</f>
        <v>Shirt</v>
      </c>
      <c r="O1044">
        <v>12.6</v>
      </c>
      <c r="P1044">
        <v>3</v>
      </c>
      <c r="Q1044">
        <f>IF(P1044&lt;1, 1, P1044)</f>
        <v>3</v>
      </c>
      <c r="R1044">
        <v>5</v>
      </c>
      <c r="S1044" t="str">
        <f>IF(OR(R1044&lt;0,R1044&gt;100),"invalid","Valid")</f>
        <v>Valid</v>
      </c>
      <c r="T1044" t="s">
        <v>59</v>
      </c>
      <c r="U1044" t="str">
        <f>PROPER(TRIM(T1044))</f>
        <v>Mobile Money</v>
      </c>
      <c r="V1044" t="s">
        <v>81</v>
      </c>
      <c r="W1044" t="str">
        <f t="shared" si="32"/>
        <v>Ada</v>
      </c>
      <c r="X1044" t="s">
        <v>26</v>
      </c>
      <c r="Y1044">
        <v>3</v>
      </c>
      <c r="Z1044" t="str">
        <f>IF(D1044="", "Missing", "ok")</f>
        <v>Missing</v>
      </c>
      <c r="AA1044">
        <f t="shared" si="33"/>
        <v>35.909999999999997</v>
      </c>
    </row>
    <row r="1045" spans="1:27" x14ac:dyDescent="0.25">
      <c r="A1045" t="s">
        <v>2653</v>
      </c>
      <c r="B1045" s="1" t="s">
        <v>725</v>
      </c>
      <c r="C1045" t="s">
        <v>2654</v>
      </c>
      <c r="D1045" t="s">
        <v>69</v>
      </c>
      <c r="E1045" t="str">
        <f>PROPER(TRIM(D1045))</f>
        <v>Mary</v>
      </c>
      <c r="F1045" t="s">
        <v>20</v>
      </c>
      <c r="G1045">
        <v>8</v>
      </c>
      <c r="H1045" t="str">
        <f>IF(AND(G1045&gt;18, G1045&lt;65), "Valid", "Invalid")</f>
        <v>Invalid</v>
      </c>
      <c r="I1045" t="s">
        <v>47</v>
      </c>
      <c r="J1045" t="str">
        <f>PROPER(TRIM(I1045))</f>
        <v>Enugu</v>
      </c>
      <c r="K1045" t="s">
        <v>54</v>
      </c>
      <c r="L1045" t="str">
        <f>PROPER(TRIM(K1045))</f>
        <v>Home</v>
      </c>
      <c r="M1045" t="s">
        <v>55</v>
      </c>
      <c r="N1045" t="str">
        <f>PROPER(TRIM(M1045))</f>
        <v>Chair</v>
      </c>
      <c r="O1045">
        <v>194.43</v>
      </c>
      <c r="P1045">
        <v>3</v>
      </c>
      <c r="Q1045">
        <f>IF(P1045&lt;1, 1, P1045)</f>
        <v>3</v>
      </c>
      <c r="R1045">
        <v>15</v>
      </c>
      <c r="S1045" t="str">
        <f>IF(OR(R1045&lt;0,R1045&gt;100),"invalid","Valid")</f>
        <v>Valid</v>
      </c>
      <c r="U1045" t="str">
        <f>PROPER(TRIM(T1045))</f>
        <v/>
      </c>
      <c r="V1045" t="s">
        <v>41</v>
      </c>
      <c r="W1045" t="str">
        <f t="shared" si="32"/>
        <v>Chi</v>
      </c>
      <c r="X1045" t="s">
        <v>65</v>
      </c>
      <c r="Z1045" t="str">
        <f>IF(D1045="", "Missing", "ok")</f>
        <v>ok</v>
      </c>
      <c r="AA1045">
        <f t="shared" si="33"/>
        <v>495.79649999999998</v>
      </c>
    </row>
    <row r="1046" spans="1:27" x14ac:dyDescent="0.25">
      <c r="A1046" t="s">
        <v>2655</v>
      </c>
      <c r="B1046" s="1" t="s">
        <v>2290</v>
      </c>
      <c r="C1046" t="s">
        <v>2656</v>
      </c>
      <c r="D1046" t="s">
        <v>37</v>
      </c>
      <c r="E1046" t="str">
        <f>PROPER(TRIM(D1046))</f>
        <v>Aisha</v>
      </c>
      <c r="F1046" t="s">
        <v>20</v>
      </c>
      <c r="G1046">
        <v>8</v>
      </c>
      <c r="H1046" t="str">
        <f>IF(AND(G1046&gt;18, G1046&lt;65), "Valid", "Invalid")</f>
        <v>Invalid</v>
      </c>
      <c r="I1046" t="s">
        <v>21</v>
      </c>
      <c r="J1046" t="str">
        <f>PROPER(TRIM(I1046))</f>
        <v>Lagos</v>
      </c>
      <c r="K1046" t="s">
        <v>39</v>
      </c>
      <c r="L1046" t="str">
        <f>PROPER(TRIM(K1046))</f>
        <v>Electronics</v>
      </c>
      <c r="M1046" t="s">
        <v>40</v>
      </c>
      <c r="N1046" t="str">
        <f>PROPER(TRIM(M1046))</f>
        <v>Phone</v>
      </c>
      <c r="O1046">
        <v>47.35</v>
      </c>
      <c r="P1046">
        <v>2</v>
      </c>
      <c r="Q1046">
        <f>IF(P1046&lt;1, 1, P1046)</f>
        <v>2</v>
      </c>
      <c r="R1046">
        <v>12</v>
      </c>
      <c r="S1046" t="str">
        <f>IF(OR(R1046&lt;0,R1046&gt;100),"invalid","Valid")</f>
        <v>Valid</v>
      </c>
      <c r="T1046" t="s">
        <v>24</v>
      </c>
      <c r="U1046" t="str">
        <f>PROPER(TRIM(T1046))</f>
        <v>Pos</v>
      </c>
      <c r="V1046" t="s">
        <v>41</v>
      </c>
      <c r="W1046" t="str">
        <f t="shared" si="32"/>
        <v>Chi</v>
      </c>
      <c r="X1046" t="s">
        <v>82</v>
      </c>
      <c r="Z1046" t="str">
        <f>IF(D1046="", "Missing", "ok")</f>
        <v>ok</v>
      </c>
      <c r="AA1046">
        <f t="shared" si="33"/>
        <v>83.335999999999999</v>
      </c>
    </row>
    <row r="1047" spans="1:27" x14ac:dyDescent="0.25">
      <c r="A1047" t="s">
        <v>2657</v>
      </c>
      <c r="B1047" s="1" t="s">
        <v>193</v>
      </c>
      <c r="C1047" t="s">
        <v>2658</v>
      </c>
      <c r="D1047" t="s">
        <v>63</v>
      </c>
      <c r="E1047" t="str">
        <f>PROPER(TRIM(D1047))</f>
        <v>John</v>
      </c>
      <c r="F1047" t="s">
        <v>46</v>
      </c>
      <c r="G1047">
        <v>8</v>
      </c>
      <c r="H1047" t="str">
        <f>IF(AND(G1047&gt;18, G1047&lt;65), "Valid", "Invalid")</f>
        <v>Invalid</v>
      </c>
      <c r="I1047" t="s">
        <v>30</v>
      </c>
      <c r="J1047" t="str">
        <f>PROPER(TRIM(I1047))</f>
        <v>Lagos</v>
      </c>
      <c r="K1047" t="s">
        <v>54</v>
      </c>
      <c r="L1047" t="str">
        <f>PROPER(TRIM(K1047))</f>
        <v>Home</v>
      </c>
      <c r="M1047" t="s">
        <v>55</v>
      </c>
      <c r="N1047" t="str">
        <f>PROPER(TRIM(M1047))</f>
        <v>Chair</v>
      </c>
      <c r="O1047">
        <v>178.63</v>
      </c>
      <c r="P1047">
        <v>6</v>
      </c>
      <c r="Q1047">
        <f>IF(P1047&lt;1, 1, P1047)</f>
        <v>6</v>
      </c>
      <c r="R1047">
        <v>15</v>
      </c>
      <c r="S1047" t="str">
        <f>IF(OR(R1047&lt;0,R1047&gt;100),"invalid","Valid")</f>
        <v>Valid</v>
      </c>
      <c r="T1047" t="s">
        <v>59</v>
      </c>
      <c r="U1047" t="str">
        <f>PROPER(TRIM(T1047))</f>
        <v>Mobile Money</v>
      </c>
      <c r="V1047" t="s">
        <v>41</v>
      </c>
      <c r="W1047" t="str">
        <f t="shared" si="32"/>
        <v>Chi</v>
      </c>
      <c r="X1047" t="s">
        <v>33</v>
      </c>
      <c r="Y1047">
        <v>1</v>
      </c>
      <c r="Z1047" t="str">
        <f>IF(D1047="", "Missing", "ok")</f>
        <v>ok</v>
      </c>
      <c r="AA1047">
        <f t="shared" si="33"/>
        <v>911.01299999999992</v>
      </c>
    </row>
    <row r="1048" spans="1:27" x14ac:dyDescent="0.25">
      <c r="A1048" t="s">
        <v>2659</v>
      </c>
      <c r="B1048" s="1" t="s">
        <v>517</v>
      </c>
      <c r="C1048" t="s">
        <v>2660</v>
      </c>
      <c r="E1048" t="str">
        <f>PROPER(TRIM(D1048))</f>
        <v/>
      </c>
      <c r="F1048" t="s">
        <v>46</v>
      </c>
      <c r="G1048">
        <v>8</v>
      </c>
      <c r="H1048" t="str">
        <f>IF(AND(G1048&gt;18, G1048&lt;65), "Valid", "Invalid")</f>
        <v>Invalid</v>
      </c>
      <c r="I1048" t="s">
        <v>21</v>
      </c>
      <c r="J1048" t="str">
        <f>PROPER(TRIM(I1048))</f>
        <v>Lagos</v>
      </c>
      <c r="K1048" t="s">
        <v>39</v>
      </c>
      <c r="L1048" t="str">
        <f>PROPER(TRIM(K1048))</f>
        <v>Electronics</v>
      </c>
      <c r="M1048" t="s">
        <v>40</v>
      </c>
      <c r="N1048" t="str">
        <f>PROPER(TRIM(M1048))</f>
        <v>Phone</v>
      </c>
      <c r="O1048">
        <v>142.63</v>
      </c>
      <c r="P1048">
        <v>3</v>
      </c>
      <c r="Q1048">
        <f>IF(P1048&lt;1, 1, P1048)</f>
        <v>3</v>
      </c>
      <c r="R1048">
        <v>10</v>
      </c>
      <c r="S1048" t="str">
        <f>IF(OR(R1048&lt;0,R1048&gt;100),"invalid","Valid")</f>
        <v>Valid</v>
      </c>
      <c r="U1048" t="str">
        <f>PROPER(TRIM(T1048))</f>
        <v/>
      </c>
      <c r="V1048" t="s">
        <v>91</v>
      </c>
      <c r="W1048" t="str">
        <f t="shared" si="32"/>
        <v>Ben</v>
      </c>
      <c r="X1048" t="s">
        <v>65</v>
      </c>
      <c r="Y1048">
        <v>2</v>
      </c>
      <c r="Z1048" t="str">
        <f>IF(D1048="", "Missing", "ok")</f>
        <v>Missing</v>
      </c>
      <c r="AA1048">
        <f t="shared" si="33"/>
        <v>385.101</v>
      </c>
    </row>
    <row r="1049" spans="1:27" x14ac:dyDescent="0.25">
      <c r="A1049" t="s">
        <v>2661</v>
      </c>
      <c r="B1049" s="1" t="s">
        <v>2360</v>
      </c>
      <c r="C1049" t="s">
        <v>2662</v>
      </c>
      <c r="D1049" t="s">
        <v>19</v>
      </c>
      <c r="E1049" t="str">
        <f>PROPER(TRIM(D1049))</f>
        <v>Peter</v>
      </c>
      <c r="F1049" t="s">
        <v>20</v>
      </c>
      <c r="G1049">
        <v>8</v>
      </c>
      <c r="H1049" t="str">
        <f>IF(AND(G1049&gt;18, G1049&lt;65), "Valid", "Invalid")</f>
        <v>Invalid</v>
      </c>
      <c r="I1049" t="s">
        <v>86</v>
      </c>
      <c r="J1049" t="str">
        <f>PROPER(TRIM(I1049))</f>
        <v>Kano</v>
      </c>
      <c r="K1049" t="s">
        <v>39</v>
      </c>
      <c r="L1049" t="str">
        <f>PROPER(TRIM(K1049))</f>
        <v>Electronics</v>
      </c>
      <c r="M1049" t="s">
        <v>40</v>
      </c>
      <c r="N1049" t="str">
        <f>PROPER(TRIM(M1049))</f>
        <v>Phone</v>
      </c>
      <c r="O1049">
        <v>157.87</v>
      </c>
      <c r="P1049">
        <v>2</v>
      </c>
      <c r="Q1049">
        <f>IF(P1049&lt;1, 1, P1049)</f>
        <v>2</v>
      </c>
      <c r="R1049">
        <v>12</v>
      </c>
      <c r="S1049" t="str">
        <f>IF(OR(R1049&lt;0,R1049&gt;100),"invalid","Valid")</f>
        <v>Valid</v>
      </c>
      <c r="T1049" t="s">
        <v>77</v>
      </c>
      <c r="U1049" t="str">
        <f>PROPER(TRIM(T1049))</f>
        <v>Cash</v>
      </c>
      <c r="V1049" t="s">
        <v>25</v>
      </c>
      <c r="W1049" t="str">
        <f t="shared" si="32"/>
        <v>Dan</v>
      </c>
      <c r="X1049" t="s">
        <v>82</v>
      </c>
      <c r="Y1049">
        <v>5</v>
      </c>
      <c r="Z1049" t="str">
        <f>IF(D1049="", "Missing", "ok")</f>
        <v>ok</v>
      </c>
      <c r="AA1049">
        <f t="shared" si="33"/>
        <v>277.85120000000001</v>
      </c>
    </row>
    <row r="1050" spans="1:27" x14ac:dyDescent="0.25">
      <c r="A1050" t="s">
        <v>2663</v>
      </c>
      <c r="B1050" s="1" t="s">
        <v>2664</v>
      </c>
      <c r="C1050" t="s">
        <v>2665</v>
      </c>
      <c r="E1050" t="str">
        <f>PROPER(TRIM(D1050))</f>
        <v/>
      </c>
      <c r="F1050" t="s">
        <v>20</v>
      </c>
      <c r="G1050">
        <v>130</v>
      </c>
      <c r="H1050" t="str">
        <f>IF(AND(G1050&gt;18, G1050&lt;65), "Valid", "Invalid")</f>
        <v>Invalid</v>
      </c>
      <c r="I1050" t="s">
        <v>38</v>
      </c>
      <c r="J1050" t="str">
        <f>PROPER(TRIM(I1050))</f>
        <v>Ph</v>
      </c>
      <c r="K1050" t="s">
        <v>31</v>
      </c>
      <c r="L1050" t="str">
        <f>PROPER(TRIM(K1050))</f>
        <v>Sports</v>
      </c>
      <c r="M1050" t="s">
        <v>32</v>
      </c>
      <c r="N1050" t="str">
        <f>PROPER(TRIM(M1050))</f>
        <v>Ball</v>
      </c>
      <c r="O1050">
        <v>328.08</v>
      </c>
      <c r="P1050">
        <v>7</v>
      </c>
      <c r="Q1050">
        <f>IF(P1050&lt;1, 1, P1050)</f>
        <v>7</v>
      </c>
      <c r="R1050">
        <v>15</v>
      </c>
      <c r="S1050" t="str">
        <f>IF(OR(R1050&lt;0,R1050&gt;100),"invalid","Valid")</f>
        <v>Valid</v>
      </c>
      <c r="T1050" t="s">
        <v>77</v>
      </c>
      <c r="U1050" t="str">
        <f>PROPER(TRIM(T1050))</f>
        <v>Cash</v>
      </c>
      <c r="V1050" t="s">
        <v>25</v>
      </c>
      <c r="W1050" t="str">
        <f t="shared" si="32"/>
        <v>Dan</v>
      </c>
      <c r="X1050" t="s">
        <v>82</v>
      </c>
      <c r="Y1050">
        <v>5</v>
      </c>
      <c r="Z1050" t="str">
        <f>IF(D1050="", "Missing", "ok")</f>
        <v>Missing</v>
      </c>
      <c r="AA1050">
        <f t="shared" si="33"/>
        <v>1952.0759999999998</v>
      </c>
    </row>
    <row r="1051" spans="1:27" x14ac:dyDescent="0.25">
      <c r="A1051" t="s">
        <v>2666</v>
      </c>
      <c r="B1051" s="1" t="s">
        <v>638</v>
      </c>
      <c r="C1051" t="s">
        <v>688</v>
      </c>
      <c r="D1051" t="s">
        <v>69</v>
      </c>
      <c r="E1051" t="str">
        <f>PROPER(TRIM(D1051))</f>
        <v>Mary</v>
      </c>
      <c r="F1051" t="s">
        <v>46</v>
      </c>
      <c r="G1051">
        <v>8</v>
      </c>
      <c r="H1051" t="str">
        <f>IF(AND(G1051&gt;18, G1051&lt;65), "Valid", "Invalid")</f>
        <v>Invalid</v>
      </c>
      <c r="I1051" t="s">
        <v>47</v>
      </c>
      <c r="J1051" t="str">
        <f>PROPER(TRIM(I1051))</f>
        <v>Enugu</v>
      </c>
      <c r="K1051" t="s">
        <v>87</v>
      </c>
      <c r="L1051" t="str">
        <f>PROPER(TRIM(K1051))</f>
        <v>Groceris</v>
      </c>
      <c r="M1051" t="s">
        <v>49</v>
      </c>
      <c r="N1051" t="str">
        <f>PROPER(TRIM(M1051))</f>
        <v>Rice</v>
      </c>
      <c r="O1051">
        <v>222.21</v>
      </c>
      <c r="P1051">
        <v>-2</v>
      </c>
      <c r="Q1051">
        <f>IF(P1051&lt;1, 1, P1051)</f>
        <v>1</v>
      </c>
      <c r="R1051">
        <v>15</v>
      </c>
      <c r="S1051" t="str">
        <f>IF(OR(R1051&lt;0,R1051&gt;100),"invalid","Valid")</f>
        <v>Valid</v>
      </c>
      <c r="T1051" t="s">
        <v>59</v>
      </c>
      <c r="U1051" t="str">
        <f>PROPER(TRIM(T1051))</f>
        <v>Mobile Money</v>
      </c>
      <c r="V1051" t="s">
        <v>81</v>
      </c>
      <c r="W1051" t="str">
        <f t="shared" si="32"/>
        <v>Ada</v>
      </c>
      <c r="X1051" t="s">
        <v>26</v>
      </c>
      <c r="Z1051" t="str">
        <f>IF(D1051="", "Missing", "ok")</f>
        <v>ok</v>
      </c>
      <c r="AA1051">
        <f t="shared" si="33"/>
        <v>188.8785</v>
      </c>
    </row>
    <row r="1052" spans="1:27" x14ac:dyDescent="0.25">
      <c r="A1052" t="s">
        <v>2667</v>
      </c>
      <c r="B1052" s="1" t="s">
        <v>434</v>
      </c>
      <c r="C1052" t="s">
        <v>2668</v>
      </c>
      <c r="D1052" t="s">
        <v>19</v>
      </c>
      <c r="E1052" t="str">
        <f>PROPER(TRIM(D1052))</f>
        <v>Peter</v>
      </c>
      <c r="F1052" t="s">
        <v>46</v>
      </c>
      <c r="G1052">
        <v>130</v>
      </c>
      <c r="H1052" t="str">
        <f>IF(AND(G1052&gt;18, G1052&lt;65), "Valid", "Invalid")</f>
        <v>Invalid</v>
      </c>
      <c r="I1052" t="s">
        <v>53</v>
      </c>
      <c r="J1052" t="str">
        <f>PROPER(TRIM(I1052))</f>
        <v>Lagos</v>
      </c>
      <c r="K1052" t="s">
        <v>87</v>
      </c>
      <c r="L1052" t="str">
        <f>PROPER(TRIM(K1052))</f>
        <v>Groceris</v>
      </c>
      <c r="M1052" t="s">
        <v>49</v>
      </c>
      <c r="N1052" t="str">
        <f>PROPER(TRIM(M1052))</f>
        <v>Rice</v>
      </c>
      <c r="O1052">
        <v>443.43</v>
      </c>
      <c r="P1052">
        <v>4</v>
      </c>
      <c r="Q1052">
        <f>IF(P1052&lt;1, 1, P1052)</f>
        <v>4</v>
      </c>
      <c r="R1052">
        <v>120</v>
      </c>
      <c r="S1052" t="str">
        <f>IF(OR(R1052&lt;0,R1052&gt;100),"invalid","Valid")</f>
        <v>invalid</v>
      </c>
      <c r="U1052" t="str">
        <f>PROPER(TRIM(T1052))</f>
        <v/>
      </c>
      <c r="V1052" t="s">
        <v>91</v>
      </c>
      <c r="W1052" t="str">
        <f t="shared" si="32"/>
        <v>Ben</v>
      </c>
      <c r="X1052" t="s">
        <v>33</v>
      </c>
      <c r="Y1052">
        <v>3</v>
      </c>
      <c r="Z1052" t="str">
        <f>IF(D1052="", "Missing", "ok")</f>
        <v>ok</v>
      </c>
      <c r="AA1052">
        <f t="shared" si="33"/>
        <v>-354.74399999999991</v>
      </c>
    </row>
    <row r="1053" spans="1:27" x14ac:dyDescent="0.25">
      <c r="A1053" t="s">
        <v>2669</v>
      </c>
      <c r="B1053" s="1" t="s">
        <v>437</v>
      </c>
      <c r="C1053" t="s">
        <v>2670</v>
      </c>
      <c r="D1053" t="s">
        <v>101</v>
      </c>
      <c r="E1053" t="str">
        <f>PROPER(TRIM(D1053))</f>
        <v>Grace</v>
      </c>
      <c r="F1053" t="s">
        <v>20</v>
      </c>
      <c r="G1053">
        <v>50</v>
      </c>
      <c r="H1053" t="str">
        <f>IF(AND(G1053&gt;18, G1053&lt;65), "Valid", "Invalid")</f>
        <v>Valid</v>
      </c>
      <c r="I1053" t="s">
        <v>86</v>
      </c>
      <c r="J1053" t="str">
        <f>PROPER(TRIM(I1053))</f>
        <v>Kano</v>
      </c>
      <c r="K1053" t="s">
        <v>54</v>
      </c>
      <c r="L1053" t="str">
        <f>PROPER(TRIM(K1053))</f>
        <v>Home</v>
      </c>
      <c r="M1053" t="s">
        <v>55</v>
      </c>
      <c r="N1053" t="str">
        <f>PROPER(TRIM(M1053))</f>
        <v>Chair</v>
      </c>
      <c r="O1053">
        <v>312.91000000000003</v>
      </c>
      <c r="P1053">
        <v>-2</v>
      </c>
      <c r="Q1053">
        <f>IF(P1053&lt;1, 1, P1053)</f>
        <v>1</v>
      </c>
      <c r="R1053">
        <v>10</v>
      </c>
      <c r="S1053" t="str">
        <f>IF(OR(R1053&lt;0,R1053&gt;100),"invalid","Valid")</f>
        <v>Valid</v>
      </c>
      <c r="U1053" t="str">
        <f>PROPER(TRIM(T1053))</f>
        <v/>
      </c>
      <c r="V1053" t="s">
        <v>25</v>
      </c>
      <c r="W1053" t="str">
        <f t="shared" si="32"/>
        <v>Dan</v>
      </c>
      <c r="X1053" t="s">
        <v>33</v>
      </c>
      <c r="Y1053">
        <v>2</v>
      </c>
      <c r="Z1053" t="str">
        <f>IF(D1053="", "Missing", "ok")</f>
        <v>ok</v>
      </c>
      <c r="AA1053">
        <f t="shared" si="33"/>
        <v>281.61900000000003</v>
      </c>
    </row>
    <row r="1054" spans="1:27" x14ac:dyDescent="0.25">
      <c r="A1054" t="s">
        <v>2671</v>
      </c>
      <c r="B1054" s="1" t="s">
        <v>400</v>
      </c>
      <c r="C1054" t="s">
        <v>2672</v>
      </c>
      <c r="D1054" t="s">
        <v>101</v>
      </c>
      <c r="E1054" t="str">
        <f>PROPER(TRIM(D1054))</f>
        <v>Grace</v>
      </c>
      <c r="F1054" t="s">
        <v>20</v>
      </c>
      <c r="G1054">
        <v>130</v>
      </c>
      <c r="H1054" t="str">
        <f>IF(AND(G1054&gt;18, G1054&lt;65), "Valid", "Invalid")</f>
        <v>Invalid</v>
      </c>
      <c r="I1054" t="s">
        <v>86</v>
      </c>
      <c r="J1054" t="str">
        <f>PROPER(TRIM(I1054))</f>
        <v>Kano</v>
      </c>
      <c r="K1054" t="s">
        <v>121</v>
      </c>
      <c r="L1054" t="str">
        <f>PROPER(TRIM(K1054))</f>
        <v>Beauty</v>
      </c>
      <c r="M1054" t="s">
        <v>122</v>
      </c>
      <c r="N1054" t="str">
        <f>PROPER(TRIM(M1054))</f>
        <v>Cream</v>
      </c>
      <c r="O1054">
        <v>177.48</v>
      </c>
      <c r="P1054">
        <v>4</v>
      </c>
      <c r="Q1054">
        <f>IF(P1054&lt;1, 1, P1054)</f>
        <v>4</v>
      </c>
      <c r="R1054">
        <v>-10</v>
      </c>
      <c r="S1054" t="str">
        <f>IF(OR(R1054&lt;0,R1054&gt;100),"invalid","Valid")</f>
        <v>invalid</v>
      </c>
      <c r="T1054" t="s">
        <v>64</v>
      </c>
      <c r="U1054" t="str">
        <f>PROPER(TRIM(T1054))</f>
        <v>Transfer</v>
      </c>
      <c r="V1054" t="s">
        <v>91</v>
      </c>
      <c r="W1054" t="str">
        <f t="shared" si="32"/>
        <v>Ben</v>
      </c>
      <c r="X1054" t="s">
        <v>33</v>
      </c>
      <c r="Z1054" t="str">
        <f>IF(D1054="", "Missing", "ok")</f>
        <v>ok</v>
      </c>
      <c r="AA1054">
        <f t="shared" si="33"/>
        <v>780.91200000000003</v>
      </c>
    </row>
    <row r="1055" spans="1:27" x14ac:dyDescent="0.25">
      <c r="A1055" t="s">
        <v>2673</v>
      </c>
      <c r="B1055" s="1" t="s">
        <v>464</v>
      </c>
      <c r="C1055" t="s">
        <v>2674</v>
      </c>
      <c r="E1055" t="str">
        <f>PROPER(TRIM(D1055))</f>
        <v/>
      </c>
      <c r="F1055" t="s">
        <v>20</v>
      </c>
      <c r="G1055">
        <v>130</v>
      </c>
      <c r="H1055" t="str">
        <f>IF(AND(G1055&gt;18, G1055&lt;65), "Valid", "Invalid")</f>
        <v>Invalid</v>
      </c>
      <c r="I1055" t="s">
        <v>70</v>
      </c>
      <c r="J1055" t="str">
        <f>PROPER(TRIM(I1055))</f>
        <v>Abuja</v>
      </c>
      <c r="K1055" t="s">
        <v>31</v>
      </c>
      <c r="L1055" t="str">
        <f>PROPER(TRIM(K1055))</f>
        <v>Sports</v>
      </c>
      <c r="M1055" t="s">
        <v>32</v>
      </c>
      <c r="N1055" t="str">
        <f>PROPER(TRIM(M1055))</f>
        <v>Ball</v>
      </c>
      <c r="O1055">
        <v>408.51</v>
      </c>
      <c r="P1055">
        <v>1</v>
      </c>
      <c r="Q1055">
        <f>IF(P1055&lt;1, 1, P1055)</f>
        <v>1</v>
      </c>
      <c r="R1055">
        <v>-10</v>
      </c>
      <c r="S1055" t="str">
        <f>IF(OR(R1055&lt;0,R1055&gt;100),"invalid","Valid")</f>
        <v>invalid</v>
      </c>
      <c r="T1055" t="s">
        <v>64</v>
      </c>
      <c r="U1055" t="str">
        <f>PROPER(TRIM(T1055))</f>
        <v>Transfer</v>
      </c>
      <c r="V1055" t="s">
        <v>25</v>
      </c>
      <c r="W1055" t="str">
        <f t="shared" si="32"/>
        <v>Dan</v>
      </c>
      <c r="X1055" t="s">
        <v>26</v>
      </c>
      <c r="Y1055">
        <v>5</v>
      </c>
      <c r="Z1055" t="str">
        <f>IF(D1055="", "Missing", "ok")</f>
        <v>Missing</v>
      </c>
      <c r="AA1055">
        <f t="shared" si="33"/>
        <v>449.36100000000005</v>
      </c>
    </row>
    <row r="1056" spans="1:27" x14ac:dyDescent="0.25">
      <c r="A1056" t="s">
        <v>2675</v>
      </c>
      <c r="B1056" s="1" t="s">
        <v>2676</v>
      </c>
      <c r="C1056" t="s">
        <v>2677</v>
      </c>
      <c r="D1056" t="s">
        <v>69</v>
      </c>
      <c r="E1056" t="str">
        <f>PROPER(TRIM(D1056))</f>
        <v>Mary</v>
      </c>
      <c r="F1056" t="s">
        <v>46</v>
      </c>
      <c r="G1056">
        <v>130</v>
      </c>
      <c r="H1056" t="str">
        <f>IF(AND(G1056&gt;18, G1056&lt;65), "Valid", "Invalid")</f>
        <v>Invalid</v>
      </c>
      <c r="I1056" t="s">
        <v>86</v>
      </c>
      <c r="J1056" t="str">
        <f>PROPER(TRIM(I1056))</f>
        <v>Kano</v>
      </c>
      <c r="K1056" t="s">
        <v>22</v>
      </c>
      <c r="L1056" t="str">
        <f>PROPER(TRIM(K1056))</f>
        <v>Fashion</v>
      </c>
      <c r="M1056" t="s">
        <v>23</v>
      </c>
      <c r="N1056" t="str">
        <f>PROPER(TRIM(M1056))</f>
        <v>Shirt</v>
      </c>
      <c r="O1056">
        <v>208.95</v>
      </c>
      <c r="P1056">
        <v>-2</v>
      </c>
      <c r="Q1056">
        <f>IF(P1056&lt;1, 1, P1056)</f>
        <v>1</v>
      </c>
      <c r="R1056">
        <v>120</v>
      </c>
      <c r="S1056" t="str">
        <f>IF(OR(R1056&lt;0,R1056&gt;100),"invalid","Valid")</f>
        <v>invalid</v>
      </c>
      <c r="T1056" t="s">
        <v>24</v>
      </c>
      <c r="U1056" t="str">
        <f>PROPER(TRIM(T1056))</f>
        <v>Pos</v>
      </c>
      <c r="V1056" t="s">
        <v>91</v>
      </c>
      <c r="W1056" t="str">
        <f t="shared" si="32"/>
        <v>Ben</v>
      </c>
      <c r="X1056" t="s">
        <v>82</v>
      </c>
      <c r="Y1056">
        <v>1</v>
      </c>
      <c r="Z1056" t="str">
        <f>IF(D1056="", "Missing", "ok")</f>
        <v>ok</v>
      </c>
      <c r="AA1056">
        <f t="shared" si="33"/>
        <v>-41.789999999999985</v>
      </c>
    </row>
    <row r="1057" spans="1:27" x14ac:dyDescent="0.25">
      <c r="A1057" t="s">
        <v>2678</v>
      </c>
      <c r="B1057" s="1" t="s">
        <v>1628</v>
      </c>
      <c r="C1057" t="s">
        <v>2679</v>
      </c>
      <c r="D1057" t="s">
        <v>45</v>
      </c>
      <c r="E1057" t="str">
        <f>PROPER(TRIM(D1057))</f>
        <v>James</v>
      </c>
      <c r="F1057" t="s">
        <v>20</v>
      </c>
      <c r="G1057">
        <v>8</v>
      </c>
      <c r="H1057" t="str">
        <f>IF(AND(G1057&gt;18, G1057&lt;65), "Valid", "Invalid")</f>
        <v>Invalid</v>
      </c>
      <c r="I1057" t="s">
        <v>70</v>
      </c>
      <c r="J1057" t="str">
        <f>PROPER(TRIM(I1057))</f>
        <v>Abuja</v>
      </c>
      <c r="K1057" t="s">
        <v>31</v>
      </c>
      <c r="L1057" t="str">
        <f>PROPER(TRIM(K1057))</f>
        <v>Sports</v>
      </c>
      <c r="M1057" t="s">
        <v>32</v>
      </c>
      <c r="N1057" t="str">
        <f>PROPER(TRIM(M1057))</f>
        <v>Ball</v>
      </c>
      <c r="O1057">
        <v>318.93</v>
      </c>
      <c r="P1057">
        <v>2</v>
      </c>
      <c r="Q1057">
        <f>IF(P1057&lt;1, 1, P1057)</f>
        <v>2</v>
      </c>
      <c r="R1057">
        <v>0</v>
      </c>
      <c r="S1057" t="str">
        <f>IF(OR(R1057&lt;0,R1057&gt;100),"invalid","Valid")</f>
        <v>Valid</v>
      </c>
      <c r="T1057" t="s">
        <v>64</v>
      </c>
      <c r="U1057" t="str">
        <f>PROPER(TRIM(T1057))</f>
        <v>Transfer</v>
      </c>
      <c r="V1057" t="s">
        <v>81</v>
      </c>
      <c r="W1057" t="str">
        <f t="shared" si="32"/>
        <v>Ada</v>
      </c>
      <c r="X1057" t="s">
        <v>65</v>
      </c>
      <c r="Y1057">
        <v>5</v>
      </c>
      <c r="Z1057" t="str">
        <f>IF(D1057="", "Missing", "ok")</f>
        <v>ok</v>
      </c>
      <c r="AA1057">
        <f t="shared" si="33"/>
        <v>637.86</v>
      </c>
    </row>
    <row r="1058" spans="1:27" x14ac:dyDescent="0.25">
      <c r="A1058" t="s">
        <v>2680</v>
      </c>
      <c r="B1058" s="1" t="s">
        <v>1509</v>
      </c>
      <c r="C1058" t="s">
        <v>2681</v>
      </c>
      <c r="E1058" t="str">
        <f>PROPER(TRIM(D1058))</f>
        <v/>
      </c>
      <c r="F1058" t="s">
        <v>46</v>
      </c>
      <c r="G1058">
        <v>8</v>
      </c>
      <c r="H1058" t="str">
        <f>IF(AND(G1058&gt;18, G1058&lt;65), "Valid", "Invalid")</f>
        <v>Invalid</v>
      </c>
      <c r="I1058" t="s">
        <v>21</v>
      </c>
      <c r="J1058" t="str">
        <f>PROPER(TRIM(I1058))</f>
        <v>Lagos</v>
      </c>
      <c r="K1058" t="s">
        <v>39</v>
      </c>
      <c r="L1058" t="str">
        <f>PROPER(TRIM(K1058))</f>
        <v>Electronics</v>
      </c>
      <c r="M1058" t="s">
        <v>40</v>
      </c>
      <c r="N1058" t="str">
        <f>PROPER(TRIM(M1058))</f>
        <v>Phone</v>
      </c>
      <c r="O1058">
        <v>102.46</v>
      </c>
      <c r="P1058">
        <v>-2</v>
      </c>
      <c r="Q1058">
        <f>IF(P1058&lt;1, 1, P1058)</f>
        <v>1</v>
      </c>
      <c r="R1058">
        <v>-10</v>
      </c>
      <c r="S1058" t="str">
        <f>IF(OR(R1058&lt;0,R1058&gt;100),"invalid","Valid")</f>
        <v>invalid</v>
      </c>
      <c r="T1058" t="s">
        <v>77</v>
      </c>
      <c r="U1058" t="str">
        <f>PROPER(TRIM(T1058))</f>
        <v>Cash</v>
      </c>
      <c r="V1058" t="s">
        <v>41</v>
      </c>
      <c r="W1058" t="str">
        <f t="shared" si="32"/>
        <v>Chi</v>
      </c>
      <c r="X1058" t="s">
        <v>82</v>
      </c>
      <c r="Y1058">
        <v>4</v>
      </c>
      <c r="Z1058" t="str">
        <f>IF(D1058="", "Missing", "ok")</f>
        <v>Missing</v>
      </c>
      <c r="AA1058">
        <f t="shared" si="33"/>
        <v>112.706</v>
      </c>
    </row>
    <row r="1059" spans="1:27" x14ac:dyDescent="0.25">
      <c r="A1059" t="s">
        <v>2682</v>
      </c>
      <c r="B1059" s="1" t="s">
        <v>2341</v>
      </c>
      <c r="C1059" t="s">
        <v>2683</v>
      </c>
      <c r="D1059" t="s">
        <v>63</v>
      </c>
      <c r="E1059" t="str">
        <f>PROPER(TRIM(D1059))</f>
        <v>John</v>
      </c>
      <c r="F1059" t="s">
        <v>20</v>
      </c>
      <c r="G1059">
        <v>130</v>
      </c>
      <c r="H1059" t="str">
        <f>IF(AND(G1059&gt;18, G1059&lt;65), "Valid", "Invalid")</f>
        <v>Invalid</v>
      </c>
      <c r="I1059" t="s">
        <v>30</v>
      </c>
      <c r="J1059" t="str">
        <f>PROPER(TRIM(I1059))</f>
        <v>Lagos</v>
      </c>
      <c r="K1059" t="s">
        <v>22</v>
      </c>
      <c r="L1059" t="str">
        <f>PROPER(TRIM(K1059))</f>
        <v>Fashion</v>
      </c>
      <c r="M1059" t="s">
        <v>23</v>
      </c>
      <c r="N1059" t="str">
        <f>PROPER(TRIM(M1059))</f>
        <v>Shirt</v>
      </c>
      <c r="O1059">
        <v>319.35000000000002</v>
      </c>
      <c r="P1059">
        <v>5</v>
      </c>
      <c r="Q1059">
        <f>IF(P1059&lt;1, 1, P1059)</f>
        <v>5</v>
      </c>
      <c r="R1059">
        <v>0</v>
      </c>
      <c r="S1059" t="str">
        <f>IF(OR(R1059&lt;0,R1059&gt;100),"invalid","Valid")</f>
        <v>Valid</v>
      </c>
      <c r="T1059" t="s">
        <v>77</v>
      </c>
      <c r="U1059" t="str">
        <f>PROPER(TRIM(T1059))</f>
        <v>Cash</v>
      </c>
      <c r="V1059" t="s">
        <v>41</v>
      </c>
      <c r="W1059" t="str">
        <f t="shared" si="32"/>
        <v>Chi</v>
      </c>
      <c r="X1059" t="s">
        <v>33</v>
      </c>
      <c r="Z1059" t="str">
        <f>IF(D1059="", "Missing", "ok")</f>
        <v>ok</v>
      </c>
      <c r="AA1059">
        <f t="shared" si="33"/>
        <v>1596.75</v>
      </c>
    </row>
    <row r="1060" spans="1:27" x14ac:dyDescent="0.25">
      <c r="A1060" t="s">
        <v>2684</v>
      </c>
      <c r="B1060" s="1" t="s">
        <v>1245</v>
      </c>
      <c r="C1060" t="s">
        <v>2348</v>
      </c>
      <c r="D1060" t="s">
        <v>37</v>
      </c>
      <c r="E1060" t="str">
        <f>PROPER(TRIM(D1060))</f>
        <v>Aisha</v>
      </c>
      <c r="F1060" t="s">
        <v>20</v>
      </c>
      <c r="G1060">
        <v>8</v>
      </c>
      <c r="H1060" t="str">
        <f>IF(AND(G1060&gt;18, G1060&lt;65), "Valid", "Invalid")</f>
        <v>Invalid</v>
      </c>
      <c r="I1060" t="s">
        <v>21</v>
      </c>
      <c r="J1060" t="str">
        <f>PROPER(TRIM(I1060))</f>
        <v>Lagos</v>
      </c>
      <c r="K1060" t="s">
        <v>48</v>
      </c>
      <c r="L1060" t="str">
        <f>PROPER(TRIM(K1060))</f>
        <v>Groceries</v>
      </c>
      <c r="M1060" t="s">
        <v>49</v>
      </c>
      <c r="N1060" t="str">
        <f>PROPER(TRIM(M1060))</f>
        <v>Rice</v>
      </c>
      <c r="O1060">
        <v>300.57</v>
      </c>
      <c r="P1060">
        <v>2</v>
      </c>
      <c r="Q1060">
        <f>IF(P1060&lt;1, 1, P1060)</f>
        <v>2</v>
      </c>
      <c r="R1060">
        <v>120</v>
      </c>
      <c r="S1060" t="str">
        <f>IF(OR(R1060&lt;0,R1060&gt;100),"invalid","Valid")</f>
        <v>invalid</v>
      </c>
      <c r="T1060" t="s">
        <v>77</v>
      </c>
      <c r="U1060" t="str">
        <f>PROPER(TRIM(T1060))</f>
        <v>Cash</v>
      </c>
      <c r="V1060" t="s">
        <v>25</v>
      </c>
      <c r="W1060" t="str">
        <f t="shared" si="32"/>
        <v>Dan</v>
      </c>
      <c r="X1060" t="s">
        <v>65</v>
      </c>
      <c r="Y1060">
        <v>5</v>
      </c>
      <c r="Z1060" t="str">
        <f>IF(D1060="", "Missing", "ok")</f>
        <v>ok</v>
      </c>
      <c r="AA1060">
        <f t="shared" si="33"/>
        <v>-120.22799999999997</v>
      </c>
    </row>
    <row r="1061" spans="1:27" x14ac:dyDescent="0.25">
      <c r="A1061" t="s">
        <v>2685</v>
      </c>
      <c r="B1061" s="1" t="s">
        <v>2686</v>
      </c>
      <c r="C1061" t="s">
        <v>2687</v>
      </c>
      <c r="D1061" t="s">
        <v>19</v>
      </c>
      <c r="E1061" t="str">
        <f>PROPER(TRIM(D1061))</f>
        <v>Peter</v>
      </c>
      <c r="F1061" t="s">
        <v>46</v>
      </c>
      <c r="G1061">
        <v>130</v>
      </c>
      <c r="H1061" t="str">
        <f>IF(AND(G1061&gt;18, G1061&lt;65), "Valid", "Invalid")</f>
        <v>Invalid</v>
      </c>
      <c r="I1061" t="s">
        <v>47</v>
      </c>
      <c r="J1061" t="str">
        <f>PROPER(TRIM(I1061))</f>
        <v>Enugu</v>
      </c>
      <c r="K1061" t="s">
        <v>54</v>
      </c>
      <c r="L1061" t="str">
        <f>PROPER(TRIM(K1061))</f>
        <v>Home</v>
      </c>
      <c r="M1061" t="s">
        <v>55</v>
      </c>
      <c r="N1061" t="str">
        <f>PROPER(TRIM(M1061))</f>
        <v>Chair</v>
      </c>
      <c r="O1061">
        <v>317.3</v>
      </c>
      <c r="P1061">
        <v>-2</v>
      </c>
      <c r="Q1061">
        <f>IF(P1061&lt;1, 1, P1061)</f>
        <v>1</v>
      </c>
      <c r="R1061">
        <v>15</v>
      </c>
      <c r="S1061" t="str">
        <f>IF(OR(R1061&lt;0,R1061&gt;100),"invalid","Valid")</f>
        <v>Valid</v>
      </c>
      <c r="U1061" t="str">
        <f>PROPER(TRIM(T1061))</f>
        <v/>
      </c>
      <c r="V1061" t="s">
        <v>91</v>
      </c>
      <c r="W1061" t="str">
        <f t="shared" si="32"/>
        <v>Ben</v>
      </c>
      <c r="X1061" t="s">
        <v>33</v>
      </c>
      <c r="Y1061">
        <v>1</v>
      </c>
      <c r="Z1061" t="str">
        <f>IF(D1061="", "Missing", "ok")</f>
        <v>ok</v>
      </c>
      <c r="AA1061">
        <f t="shared" si="33"/>
        <v>269.70499999999998</v>
      </c>
    </row>
    <row r="1062" spans="1:27" x14ac:dyDescent="0.25">
      <c r="A1062" t="s">
        <v>2688</v>
      </c>
      <c r="B1062" s="1" t="s">
        <v>2689</v>
      </c>
      <c r="C1062" t="s">
        <v>2690</v>
      </c>
      <c r="D1062" t="s">
        <v>45</v>
      </c>
      <c r="E1062" t="str">
        <f>PROPER(TRIM(D1062))</f>
        <v>James</v>
      </c>
      <c r="F1062" t="s">
        <v>20</v>
      </c>
      <c r="G1062">
        <v>8</v>
      </c>
      <c r="H1062" t="str">
        <f>IF(AND(G1062&gt;18, G1062&lt;65), "Valid", "Invalid")</f>
        <v>Invalid</v>
      </c>
      <c r="I1062" t="s">
        <v>38</v>
      </c>
      <c r="J1062" t="str">
        <f>PROPER(TRIM(I1062))</f>
        <v>Ph</v>
      </c>
      <c r="K1062" t="s">
        <v>22</v>
      </c>
      <c r="L1062" t="str">
        <f>PROPER(TRIM(K1062))</f>
        <v>Fashion</v>
      </c>
      <c r="M1062" t="s">
        <v>23</v>
      </c>
      <c r="N1062" t="str">
        <f>PROPER(TRIM(M1062))</f>
        <v>Shirt</v>
      </c>
      <c r="O1062">
        <v>62.14</v>
      </c>
      <c r="P1062">
        <v>7</v>
      </c>
      <c r="Q1062">
        <f>IF(P1062&lt;1, 1, P1062)</f>
        <v>7</v>
      </c>
      <c r="R1062">
        <v>15</v>
      </c>
      <c r="S1062" t="str">
        <f>IF(OR(R1062&lt;0,R1062&gt;100),"invalid","Valid")</f>
        <v>Valid</v>
      </c>
      <c r="T1062" t="s">
        <v>24</v>
      </c>
      <c r="U1062" t="str">
        <f>PROPER(TRIM(T1062))</f>
        <v>Pos</v>
      </c>
      <c r="V1062" t="s">
        <v>81</v>
      </c>
      <c r="W1062" t="str">
        <f t="shared" si="32"/>
        <v>Ada</v>
      </c>
      <c r="X1062" t="s">
        <v>82</v>
      </c>
      <c r="Z1062" t="str">
        <f>IF(D1062="", "Missing", "ok")</f>
        <v>ok</v>
      </c>
      <c r="AA1062">
        <f t="shared" si="33"/>
        <v>369.733</v>
      </c>
    </row>
    <row r="1063" spans="1:27" x14ac:dyDescent="0.25">
      <c r="A1063" t="s">
        <v>2691</v>
      </c>
      <c r="B1063" s="1" t="s">
        <v>662</v>
      </c>
      <c r="C1063" t="s">
        <v>2692</v>
      </c>
      <c r="D1063" t="s">
        <v>37</v>
      </c>
      <c r="E1063" t="str">
        <f>PROPER(TRIM(D1063))</f>
        <v>Aisha</v>
      </c>
      <c r="F1063" t="s">
        <v>20</v>
      </c>
      <c r="G1063">
        <v>43</v>
      </c>
      <c r="H1063" t="str">
        <f>IF(AND(G1063&gt;18, G1063&lt;65), "Valid", "Invalid")</f>
        <v>Valid</v>
      </c>
      <c r="I1063" t="s">
        <v>30</v>
      </c>
      <c r="J1063" t="str">
        <f>PROPER(TRIM(I1063))</f>
        <v>Lagos</v>
      </c>
      <c r="K1063" t="s">
        <v>87</v>
      </c>
      <c r="L1063" t="str">
        <f>PROPER(TRIM(K1063))</f>
        <v>Groceris</v>
      </c>
      <c r="M1063" t="s">
        <v>49</v>
      </c>
      <c r="N1063" t="str">
        <f>PROPER(TRIM(M1063))</f>
        <v>Rice</v>
      </c>
      <c r="O1063">
        <v>184.32</v>
      </c>
      <c r="P1063">
        <v>7</v>
      </c>
      <c r="Q1063">
        <f>IF(P1063&lt;1, 1, P1063)</f>
        <v>7</v>
      </c>
      <c r="R1063">
        <v>0</v>
      </c>
      <c r="S1063" t="str">
        <f>IF(OR(R1063&lt;0,R1063&gt;100),"invalid","Valid")</f>
        <v>Valid</v>
      </c>
      <c r="T1063" t="s">
        <v>59</v>
      </c>
      <c r="U1063" t="str">
        <f>PROPER(TRIM(T1063))</f>
        <v>Mobile Money</v>
      </c>
      <c r="V1063" t="s">
        <v>91</v>
      </c>
      <c r="W1063" t="str">
        <f t="shared" si="32"/>
        <v>Ben</v>
      </c>
      <c r="X1063" t="s">
        <v>33</v>
      </c>
      <c r="Y1063">
        <v>5</v>
      </c>
      <c r="Z1063" t="str">
        <f>IF(D1063="", "Missing", "ok")</f>
        <v>ok</v>
      </c>
      <c r="AA1063">
        <f t="shared" si="33"/>
        <v>1290.24</v>
      </c>
    </row>
    <row r="1064" spans="1:27" x14ac:dyDescent="0.25">
      <c r="A1064" t="s">
        <v>2693</v>
      </c>
      <c r="B1064" s="1" t="s">
        <v>1589</v>
      </c>
      <c r="C1064" t="s">
        <v>2694</v>
      </c>
      <c r="D1064" t="s">
        <v>45</v>
      </c>
      <c r="E1064" t="str">
        <f>PROPER(TRIM(D1064))</f>
        <v>James</v>
      </c>
      <c r="F1064" t="s">
        <v>46</v>
      </c>
      <c r="G1064">
        <v>130</v>
      </c>
      <c r="H1064" t="str">
        <f>IF(AND(G1064&gt;18, G1064&lt;65), "Valid", "Invalid")</f>
        <v>Invalid</v>
      </c>
      <c r="I1064" t="s">
        <v>53</v>
      </c>
      <c r="J1064" t="str">
        <f>PROPER(TRIM(I1064))</f>
        <v>Lagos</v>
      </c>
      <c r="K1064" t="s">
        <v>31</v>
      </c>
      <c r="L1064" t="str">
        <f>PROPER(TRIM(K1064))</f>
        <v>Sports</v>
      </c>
      <c r="M1064" t="s">
        <v>32</v>
      </c>
      <c r="N1064" t="str">
        <f>PROPER(TRIM(M1064))</f>
        <v>Ball</v>
      </c>
      <c r="O1064">
        <v>16.5</v>
      </c>
      <c r="P1064">
        <v>7</v>
      </c>
      <c r="Q1064">
        <f>IF(P1064&lt;1, 1, P1064)</f>
        <v>7</v>
      </c>
      <c r="R1064">
        <v>15</v>
      </c>
      <c r="S1064" t="str">
        <f>IF(OR(R1064&lt;0,R1064&gt;100),"invalid","Valid")</f>
        <v>Valid</v>
      </c>
      <c r="T1064" t="s">
        <v>59</v>
      </c>
      <c r="U1064" t="str">
        <f>PROPER(TRIM(T1064))</f>
        <v>Mobile Money</v>
      </c>
      <c r="V1064" t="s">
        <v>81</v>
      </c>
      <c r="W1064" t="str">
        <f t="shared" si="32"/>
        <v>Ada</v>
      </c>
      <c r="X1064" t="s">
        <v>65</v>
      </c>
      <c r="Y1064">
        <v>2</v>
      </c>
      <c r="Z1064" t="str">
        <f>IF(D1064="", "Missing", "ok")</f>
        <v>ok</v>
      </c>
      <c r="AA1064">
        <f t="shared" si="33"/>
        <v>98.174999999999997</v>
      </c>
    </row>
    <row r="1065" spans="1:27" x14ac:dyDescent="0.25">
      <c r="A1065" t="s">
        <v>2695</v>
      </c>
      <c r="B1065" s="1" t="s">
        <v>2696</v>
      </c>
      <c r="C1065" t="s">
        <v>795</v>
      </c>
      <c r="D1065" t="s">
        <v>101</v>
      </c>
      <c r="E1065" t="str">
        <f>PROPER(TRIM(D1065))</f>
        <v>Grace</v>
      </c>
      <c r="F1065" t="s">
        <v>20</v>
      </c>
      <c r="G1065">
        <v>32</v>
      </c>
      <c r="H1065" t="str">
        <f>IF(AND(G1065&gt;18, G1065&lt;65), "Valid", "Invalid")</f>
        <v>Valid</v>
      </c>
      <c r="I1065" t="s">
        <v>21</v>
      </c>
      <c r="J1065" t="str">
        <f>PROPER(TRIM(I1065))</f>
        <v>Lagos</v>
      </c>
      <c r="K1065" t="s">
        <v>48</v>
      </c>
      <c r="L1065" t="str">
        <f>PROPER(TRIM(K1065))</f>
        <v>Groceries</v>
      </c>
      <c r="M1065" t="s">
        <v>49</v>
      </c>
      <c r="N1065" t="str">
        <f>PROPER(TRIM(M1065))</f>
        <v>Rice</v>
      </c>
      <c r="O1065">
        <v>339.22</v>
      </c>
      <c r="P1065">
        <v>6</v>
      </c>
      <c r="Q1065">
        <f>IF(P1065&lt;1, 1, P1065)</f>
        <v>6</v>
      </c>
      <c r="R1065">
        <v>10</v>
      </c>
      <c r="S1065" t="str">
        <f>IF(OR(R1065&lt;0,R1065&gt;100),"invalid","Valid")</f>
        <v>Valid</v>
      </c>
      <c r="U1065" t="str">
        <f>PROPER(TRIM(T1065))</f>
        <v/>
      </c>
      <c r="V1065" t="s">
        <v>81</v>
      </c>
      <c r="W1065" t="str">
        <f t="shared" si="32"/>
        <v>Ada</v>
      </c>
      <c r="X1065" t="s">
        <v>65</v>
      </c>
      <c r="Z1065" t="str">
        <f>IF(D1065="", "Missing", "ok")</f>
        <v>ok</v>
      </c>
      <c r="AA1065">
        <f t="shared" si="33"/>
        <v>1831.7880000000002</v>
      </c>
    </row>
    <row r="1066" spans="1:27" x14ac:dyDescent="0.25">
      <c r="A1066" t="s">
        <v>2697</v>
      </c>
      <c r="B1066" s="1" t="s">
        <v>2274</v>
      </c>
      <c r="C1066" t="s">
        <v>1293</v>
      </c>
      <c r="D1066" t="s">
        <v>69</v>
      </c>
      <c r="E1066" t="str">
        <f>PROPER(TRIM(D1066))</f>
        <v>Mary</v>
      </c>
      <c r="F1066" t="s">
        <v>46</v>
      </c>
      <c r="G1066">
        <v>8</v>
      </c>
      <c r="H1066" t="str">
        <f>IF(AND(G1066&gt;18, G1066&lt;65), "Valid", "Invalid")</f>
        <v>Invalid</v>
      </c>
      <c r="I1066" t="s">
        <v>53</v>
      </c>
      <c r="J1066" t="str">
        <f>PROPER(TRIM(I1066))</f>
        <v>Lagos</v>
      </c>
      <c r="K1066" t="s">
        <v>39</v>
      </c>
      <c r="L1066" t="str">
        <f>PROPER(TRIM(K1066))</f>
        <v>Electronics</v>
      </c>
      <c r="M1066" t="s">
        <v>40</v>
      </c>
      <c r="N1066" t="str">
        <f>PROPER(TRIM(M1066))</f>
        <v>Phone</v>
      </c>
      <c r="O1066">
        <v>97.76</v>
      </c>
      <c r="P1066">
        <v>-2</v>
      </c>
      <c r="Q1066">
        <f>IF(P1066&lt;1, 1, P1066)</f>
        <v>1</v>
      </c>
      <c r="R1066">
        <v>5</v>
      </c>
      <c r="S1066" t="str">
        <f>IF(OR(R1066&lt;0,R1066&gt;100),"invalid","Valid")</f>
        <v>Valid</v>
      </c>
      <c r="T1066" t="s">
        <v>24</v>
      </c>
      <c r="U1066" t="str">
        <f>PROPER(TRIM(T1066))</f>
        <v>Pos</v>
      </c>
      <c r="V1066" t="s">
        <v>25</v>
      </c>
      <c r="W1066" t="str">
        <f t="shared" si="32"/>
        <v>Dan</v>
      </c>
      <c r="X1066" t="s">
        <v>65</v>
      </c>
      <c r="Y1066">
        <v>1</v>
      </c>
      <c r="Z1066" t="str">
        <f>IF(D1066="", "Missing", "ok")</f>
        <v>ok</v>
      </c>
      <c r="AA1066">
        <f t="shared" si="33"/>
        <v>92.872</v>
      </c>
    </row>
    <row r="1067" spans="1:27" x14ac:dyDescent="0.25">
      <c r="A1067" t="s">
        <v>2698</v>
      </c>
      <c r="B1067" s="1" t="s">
        <v>2699</v>
      </c>
      <c r="C1067" t="s">
        <v>2700</v>
      </c>
      <c r="E1067" t="str">
        <f>PROPER(TRIM(D1067))</f>
        <v/>
      </c>
      <c r="F1067" t="s">
        <v>46</v>
      </c>
      <c r="G1067">
        <v>58</v>
      </c>
      <c r="H1067" t="str">
        <f>IF(AND(G1067&gt;18, G1067&lt;65), "Valid", "Invalid")</f>
        <v>Valid</v>
      </c>
      <c r="I1067" t="s">
        <v>47</v>
      </c>
      <c r="J1067" t="str">
        <f>PROPER(TRIM(I1067))</f>
        <v>Enugu</v>
      </c>
      <c r="K1067" t="s">
        <v>48</v>
      </c>
      <c r="L1067" t="str">
        <f>PROPER(TRIM(K1067))</f>
        <v>Groceries</v>
      </c>
      <c r="M1067" t="s">
        <v>49</v>
      </c>
      <c r="N1067" t="str">
        <f>PROPER(TRIM(M1067))</f>
        <v>Rice</v>
      </c>
      <c r="O1067">
        <v>454.39</v>
      </c>
      <c r="P1067">
        <v>2</v>
      </c>
      <c r="Q1067">
        <f>IF(P1067&lt;1, 1, P1067)</f>
        <v>2</v>
      </c>
      <c r="R1067">
        <v>120</v>
      </c>
      <c r="S1067" t="str">
        <f>IF(OR(R1067&lt;0,R1067&gt;100),"invalid","Valid")</f>
        <v>invalid</v>
      </c>
      <c r="T1067" t="s">
        <v>77</v>
      </c>
      <c r="U1067" t="str">
        <f>PROPER(TRIM(T1067))</f>
        <v>Cash</v>
      </c>
      <c r="V1067" t="s">
        <v>81</v>
      </c>
      <c r="W1067" t="str">
        <f t="shared" si="32"/>
        <v>Ada</v>
      </c>
      <c r="X1067" t="s">
        <v>65</v>
      </c>
      <c r="Y1067">
        <v>4</v>
      </c>
      <c r="Z1067" t="str">
        <f>IF(D1067="", "Missing", "ok")</f>
        <v>Missing</v>
      </c>
      <c r="AA1067">
        <f t="shared" si="33"/>
        <v>-181.75599999999994</v>
      </c>
    </row>
    <row r="1068" spans="1:27" x14ac:dyDescent="0.25">
      <c r="A1068" t="s">
        <v>2701</v>
      </c>
      <c r="B1068" s="1" t="s">
        <v>1380</v>
      </c>
      <c r="C1068" t="s">
        <v>2702</v>
      </c>
      <c r="D1068" t="s">
        <v>37</v>
      </c>
      <c r="E1068" t="str">
        <f>PROPER(TRIM(D1068))</f>
        <v>Aisha</v>
      </c>
      <c r="F1068" t="s">
        <v>46</v>
      </c>
      <c r="G1068">
        <v>130</v>
      </c>
      <c r="H1068" t="str">
        <f>IF(AND(G1068&gt;18, G1068&lt;65), "Valid", "Invalid")</f>
        <v>Invalid</v>
      </c>
      <c r="I1068" t="s">
        <v>21</v>
      </c>
      <c r="J1068" t="str">
        <f>PROPER(TRIM(I1068))</f>
        <v>Lagos</v>
      </c>
      <c r="K1068" t="s">
        <v>48</v>
      </c>
      <c r="L1068" t="str">
        <f>PROPER(TRIM(K1068))</f>
        <v>Groceries</v>
      </c>
      <c r="M1068" t="s">
        <v>49</v>
      </c>
      <c r="N1068" t="str">
        <f>PROPER(TRIM(M1068))</f>
        <v>Rice</v>
      </c>
      <c r="O1068">
        <v>317.51</v>
      </c>
      <c r="P1068">
        <v>-2</v>
      </c>
      <c r="Q1068">
        <f>IF(P1068&lt;1, 1, P1068)</f>
        <v>1</v>
      </c>
      <c r="R1068">
        <v>5</v>
      </c>
      <c r="S1068" t="str">
        <f>IF(OR(R1068&lt;0,R1068&gt;100),"invalid","Valid")</f>
        <v>Valid</v>
      </c>
      <c r="T1068" t="s">
        <v>77</v>
      </c>
      <c r="U1068" t="str">
        <f>PROPER(TRIM(T1068))</f>
        <v>Cash</v>
      </c>
      <c r="V1068" t="s">
        <v>25</v>
      </c>
      <c r="W1068" t="str">
        <f t="shared" si="32"/>
        <v>Dan</v>
      </c>
      <c r="X1068" t="s">
        <v>65</v>
      </c>
      <c r="Y1068">
        <v>5</v>
      </c>
      <c r="Z1068" t="str">
        <f>IF(D1068="", "Missing", "ok")</f>
        <v>ok</v>
      </c>
      <c r="AA1068">
        <f t="shared" si="33"/>
        <v>301.6345</v>
      </c>
    </row>
    <row r="1069" spans="1:27" x14ac:dyDescent="0.25">
      <c r="A1069" t="s">
        <v>2703</v>
      </c>
      <c r="B1069" s="1" t="s">
        <v>1012</v>
      </c>
      <c r="C1069" t="s">
        <v>2704</v>
      </c>
      <c r="D1069" t="s">
        <v>19</v>
      </c>
      <c r="E1069" t="str">
        <f>PROPER(TRIM(D1069))</f>
        <v>Peter</v>
      </c>
      <c r="F1069" t="s">
        <v>20</v>
      </c>
      <c r="G1069">
        <v>8</v>
      </c>
      <c r="H1069" t="str">
        <f>IF(AND(G1069&gt;18, G1069&lt;65), "Valid", "Invalid")</f>
        <v>Invalid</v>
      </c>
      <c r="I1069" t="s">
        <v>86</v>
      </c>
      <c r="J1069" t="str">
        <f>PROPER(TRIM(I1069))</f>
        <v>Kano</v>
      </c>
      <c r="K1069" t="s">
        <v>39</v>
      </c>
      <c r="L1069" t="str">
        <f>PROPER(TRIM(K1069))</f>
        <v>Electronics</v>
      </c>
      <c r="M1069" t="s">
        <v>40</v>
      </c>
      <c r="N1069" t="str">
        <f>PROPER(TRIM(M1069))</f>
        <v>Phone</v>
      </c>
      <c r="O1069">
        <v>83.32</v>
      </c>
      <c r="P1069">
        <v>-2</v>
      </c>
      <c r="Q1069">
        <f>IF(P1069&lt;1, 1, P1069)</f>
        <v>1</v>
      </c>
      <c r="R1069">
        <v>5</v>
      </c>
      <c r="S1069" t="str">
        <f>IF(OR(R1069&lt;0,R1069&gt;100),"invalid","Valid")</f>
        <v>Valid</v>
      </c>
      <c r="U1069" t="str">
        <f>PROPER(TRIM(T1069))</f>
        <v/>
      </c>
      <c r="V1069" t="s">
        <v>25</v>
      </c>
      <c r="W1069" t="str">
        <f t="shared" si="32"/>
        <v>Dan</v>
      </c>
      <c r="X1069" t="s">
        <v>26</v>
      </c>
      <c r="Z1069" t="str">
        <f>IF(D1069="", "Missing", "ok")</f>
        <v>ok</v>
      </c>
      <c r="AA1069">
        <f t="shared" si="33"/>
        <v>79.153999999999996</v>
      </c>
    </row>
    <row r="1070" spans="1:27" x14ac:dyDescent="0.25">
      <c r="A1070" t="s">
        <v>2705</v>
      </c>
      <c r="B1070" s="1" t="s">
        <v>1309</v>
      </c>
      <c r="C1070" t="s">
        <v>2706</v>
      </c>
      <c r="D1070" t="s">
        <v>63</v>
      </c>
      <c r="E1070" t="str">
        <f>PROPER(TRIM(D1070))</f>
        <v>John</v>
      </c>
      <c r="F1070" t="s">
        <v>20</v>
      </c>
      <c r="G1070">
        <v>8</v>
      </c>
      <c r="H1070" t="str">
        <f>IF(AND(G1070&gt;18, G1070&lt;65), "Valid", "Invalid")</f>
        <v>Invalid</v>
      </c>
      <c r="I1070" t="s">
        <v>70</v>
      </c>
      <c r="J1070" t="str">
        <f>PROPER(TRIM(I1070))</f>
        <v>Abuja</v>
      </c>
      <c r="K1070" t="s">
        <v>54</v>
      </c>
      <c r="L1070" t="str">
        <f>PROPER(TRIM(K1070))</f>
        <v>Home</v>
      </c>
      <c r="M1070" t="s">
        <v>55</v>
      </c>
      <c r="N1070" t="str">
        <f>PROPER(TRIM(M1070))</f>
        <v>Chair</v>
      </c>
      <c r="O1070">
        <v>388.91</v>
      </c>
      <c r="P1070">
        <v>6</v>
      </c>
      <c r="Q1070">
        <f>IF(P1070&lt;1, 1, P1070)</f>
        <v>6</v>
      </c>
      <c r="R1070">
        <v>120</v>
      </c>
      <c r="S1070" t="str">
        <f>IF(OR(R1070&lt;0,R1070&gt;100),"invalid","Valid")</f>
        <v>invalid</v>
      </c>
      <c r="T1070" t="s">
        <v>64</v>
      </c>
      <c r="U1070" t="str">
        <f>PROPER(TRIM(T1070))</f>
        <v>Transfer</v>
      </c>
      <c r="V1070" t="s">
        <v>25</v>
      </c>
      <c r="W1070" t="str">
        <f t="shared" si="32"/>
        <v>Dan</v>
      </c>
      <c r="X1070" t="s">
        <v>82</v>
      </c>
      <c r="Y1070">
        <v>5</v>
      </c>
      <c r="Z1070" t="str">
        <f>IF(D1070="", "Missing", "ok")</f>
        <v>ok</v>
      </c>
      <c r="AA1070">
        <f t="shared" si="33"/>
        <v>-466.69199999999989</v>
      </c>
    </row>
    <row r="1071" spans="1:27" x14ac:dyDescent="0.25">
      <c r="A1071" t="s">
        <v>2707</v>
      </c>
      <c r="B1071" s="1" t="s">
        <v>1374</v>
      </c>
      <c r="C1071" t="s">
        <v>2708</v>
      </c>
      <c r="D1071" t="s">
        <v>45</v>
      </c>
      <c r="E1071" t="str">
        <f>PROPER(TRIM(D1071))</f>
        <v>James</v>
      </c>
      <c r="F1071" t="s">
        <v>46</v>
      </c>
      <c r="G1071">
        <v>23</v>
      </c>
      <c r="H1071" t="str">
        <f>IF(AND(G1071&gt;18, G1071&lt;65), "Valid", "Invalid")</f>
        <v>Valid</v>
      </c>
      <c r="I1071" t="s">
        <v>30</v>
      </c>
      <c r="J1071" t="str">
        <f>PROPER(TRIM(I1071))</f>
        <v>Lagos</v>
      </c>
      <c r="K1071" t="s">
        <v>121</v>
      </c>
      <c r="L1071" t="str">
        <f>PROPER(TRIM(K1071))</f>
        <v>Beauty</v>
      </c>
      <c r="M1071" t="s">
        <v>122</v>
      </c>
      <c r="N1071" t="str">
        <f>PROPER(TRIM(M1071))</f>
        <v>Cream</v>
      </c>
      <c r="O1071">
        <v>473.5</v>
      </c>
      <c r="P1071">
        <v>5</v>
      </c>
      <c r="Q1071">
        <f>IF(P1071&lt;1, 1, P1071)</f>
        <v>5</v>
      </c>
      <c r="R1071">
        <v>0</v>
      </c>
      <c r="S1071" t="str">
        <f>IF(OR(R1071&lt;0,R1071&gt;100),"invalid","Valid")</f>
        <v>Valid</v>
      </c>
      <c r="U1071" t="str">
        <f>PROPER(TRIM(T1071))</f>
        <v/>
      </c>
      <c r="V1071" t="s">
        <v>81</v>
      </c>
      <c r="W1071" t="str">
        <f t="shared" si="32"/>
        <v>Ada</v>
      </c>
      <c r="X1071" t="s">
        <v>26</v>
      </c>
      <c r="Y1071">
        <v>3</v>
      </c>
      <c r="Z1071" t="str">
        <f>IF(D1071="", "Missing", "ok")</f>
        <v>ok</v>
      </c>
      <c r="AA1071">
        <f t="shared" si="33"/>
        <v>2367.5</v>
      </c>
    </row>
    <row r="1072" spans="1:27" x14ac:dyDescent="0.25">
      <c r="A1072" t="s">
        <v>2709</v>
      </c>
      <c r="B1072" s="1" t="s">
        <v>1349</v>
      </c>
      <c r="C1072" t="s">
        <v>2710</v>
      </c>
      <c r="E1072" t="str">
        <f>PROPER(TRIM(D1072))</f>
        <v/>
      </c>
      <c r="F1072" t="s">
        <v>20</v>
      </c>
      <c r="G1072">
        <v>130</v>
      </c>
      <c r="H1072" t="str">
        <f>IF(AND(G1072&gt;18, G1072&lt;65), "Valid", "Invalid")</f>
        <v>Invalid</v>
      </c>
      <c r="I1072" t="s">
        <v>53</v>
      </c>
      <c r="J1072" t="str">
        <f>PROPER(TRIM(I1072))</f>
        <v>Lagos</v>
      </c>
      <c r="K1072" t="s">
        <v>31</v>
      </c>
      <c r="L1072" t="str">
        <f>PROPER(TRIM(K1072))</f>
        <v>Sports</v>
      </c>
      <c r="M1072" t="s">
        <v>32</v>
      </c>
      <c r="N1072" t="str">
        <f>PROPER(TRIM(M1072))</f>
        <v>Ball</v>
      </c>
      <c r="O1072">
        <v>163</v>
      </c>
      <c r="P1072">
        <v>-2</v>
      </c>
      <c r="Q1072">
        <f>IF(P1072&lt;1, 1, P1072)</f>
        <v>1</v>
      </c>
      <c r="R1072">
        <v>10</v>
      </c>
      <c r="S1072" t="str">
        <f>IF(OR(R1072&lt;0,R1072&gt;100),"invalid","Valid")</f>
        <v>Valid</v>
      </c>
      <c r="T1072" t="s">
        <v>59</v>
      </c>
      <c r="U1072" t="str">
        <f>PROPER(TRIM(T1072))</f>
        <v>Mobile Money</v>
      </c>
      <c r="V1072" t="s">
        <v>81</v>
      </c>
      <c r="W1072" t="str">
        <f t="shared" si="32"/>
        <v>Ada</v>
      </c>
      <c r="X1072" t="s">
        <v>82</v>
      </c>
      <c r="Y1072">
        <v>4</v>
      </c>
      <c r="Z1072" t="str">
        <f>IF(D1072="", "Missing", "ok")</f>
        <v>Missing</v>
      </c>
      <c r="AA1072">
        <f t="shared" si="33"/>
        <v>146.70000000000002</v>
      </c>
    </row>
    <row r="1073" spans="1:27" x14ac:dyDescent="0.25">
      <c r="A1073" t="s">
        <v>2711</v>
      </c>
      <c r="B1073" s="1" t="s">
        <v>788</v>
      </c>
      <c r="C1073" t="s">
        <v>2712</v>
      </c>
      <c r="E1073" t="str">
        <f>PROPER(TRIM(D1073))</f>
        <v/>
      </c>
      <c r="F1073" t="s">
        <v>46</v>
      </c>
      <c r="G1073">
        <v>130</v>
      </c>
      <c r="H1073" t="str">
        <f>IF(AND(G1073&gt;18, G1073&lt;65), "Valid", "Invalid")</f>
        <v>Invalid</v>
      </c>
      <c r="I1073" t="s">
        <v>47</v>
      </c>
      <c r="J1073" t="str">
        <f>PROPER(TRIM(I1073))</f>
        <v>Enugu</v>
      </c>
      <c r="K1073" t="s">
        <v>121</v>
      </c>
      <c r="L1073" t="str">
        <f>PROPER(TRIM(K1073))</f>
        <v>Beauty</v>
      </c>
      <c r="M1073" t="s">
        <v>122</v>
      </c>
      <c r="N1073" t="str">
        <f>PROPER(TRIM(M1073))</f>
        <v>Cream</v>
      </c>
      <c r="O1073">
        <v>47.15</v>
      </c>
      <c r="P1073">
        <v>1</v>
      </c>
      <c r="Q1073">
        <f>IF(P1073&lt;1, 1, P1073)</f>
        <v>1</v>
      </c>
      <c r="R1073">
        <v>0</v>
      </c>
      <c r="S1073" t="str">
        <f>IF(OR(R1073&lt;0,R1073&gt;100),"invalid","Valid")</f>
        <v>Valid</v>
      </c>
      <c r="T1073" t="s">
        <v>64</v>
      </c>
      <c r="U1073" t="str">
        <f>PROPER(TRIM(T1073))</f>
        <v>Transfer</v>
      </c>
      <c r="V1073" t="s">
        <v>25</v>
      </c>
      <c r="W1073" t="str">
        <f t="shared" si="32"/>
        <v>Dan</v>
      </c>
      <c r="X1073" t="s">
        <v>65</v>
      </c>
      <c r="Y1073">
        <v>5</v>
      </c>
      <c r="Z1073" t="str">
        <f>IF(D1073="", "Missing", "ok")</f>
        <v>Missing</v>
      </c>
      <c r="AA1073">
        <f t="shared" si="33"/>
        <v>47.15</v>
      </c>
    </row>
    <row r="1074" spans="1:27" x14ac:dyDescent="0.25">
      <c r="A1074" t="s">
        <v>2713</v>
      </c>
      <c r="B1074" s="1" t="s">
        <v>2714</v>
      </c>
      <c r="C1074" t="s">
        <v>2715</v>
      </c>
      <c r="D1074" t="s">
        <v>37</v>
      </c>
      <c r="E1074" t="str">
        <f>PROPER(TRIM(D1074))</f>
        <v>Aisha</v>
      </c>
      <c r="F1074" t="s">
        <v>20</v>
      </c>
      <c r="G1074">
        <v>8</v>
      </c>
      <c r="H1074" t="str">
        <f>IF(AND(G1074&gt;18, G1074&lt;65), "Valid", "Invalid")</f>
        <v>Invalid</v>
      </c>
      <c r="I1074" t="s">
        <v>21</v>
      </c>
      <c r="J1074" t="str">
        <f>PROPER(TRIM(I1074))</f>
        <v>Lagos</v>
      </c>
      <c r="K1074" t="s">
        <v>87</v>
      </c>
      <c r="L1074" t="str">
        <f>PROPER(TRIM(K1074))</f>
        <v>Groceris</v>
      </c>
      <c r="M1074" t="s">
        <v>49</v>
      </c>
      <c r="N1074" t="str">
        <f>PROPER(TRIM(M1074))</f>
        <v>Rice</v>
      </c>
      <c r="O1074">
        <v>217.62</v>
      </c>
      <c r="P1074">
        <v>-2</v>
      </c>
      <c r="Q1074">
        <f>IF(P1074&lt;1, 1, P1074)</f>
        <v>1</v>
      </c>
      <c r="R1074">
        <v>15</v>
      </c>
      <c r="S1074" t="str">
        <f>IF(OR(R1074&lt;0,R1074&gt;100),"invalid","Valid")</f>
        <v>Valid</v>
      </c>
      <c r="T1074" t="s">
        <v>24</v>
      </c>
      <c r="U1074" t="str">
        <f>PROPER(TRIM(T1074))</f>
        <v>Pos</v>
      </c>
      <c r="V1074" t="s">
        <v>91</v>
      </c>
      <c r="W1074" t="str">
        <f t="shared" si="32"/>
        <v>Ben</v>
      </c>
      <c r="X1074" t="s">
        <v>65</v>
      </c>
      <c r="Z1074" t="str">
        <f>IF(D1074="", "Missing", "ok")</f>
        <v>ok</v>
      </c>
      <c r="AA1074">
        <f t="shared" si="33"/>
        <v>184.977</v>
      </c>
    </row>
    <row r="1075" spans="1:27" x14ac:dyDescent="0.25">
      <c r="A1075" t="s">
        <v>2716</v>
      </c>
      <c r="B1075" s="1" t="s">
        <v>2717</v>
      </c>
      <c r="C1075" t="s">
        <v>2718</v>
      </c>
      <c r="D1075" t="s">
        <v>45</v>
      </c>
      <c r="E1075" t="str">
        <f>PROPER(TRIM(D1075))</f>
        <v>James</v>
      </c>
      <c r="F1075" t="s">
        <v>20</v>
      </c>
      <c r="G1075">
        <v>130</v>
      </c>
      <c r="H1075" t="str">
        <f>IF(AND(G1075&gt;18, G1075&lt;65), "Valid", "Invalid")</f>
        <v>Invalid</v>
      </c>
      <c r="I1075" t="s">
        <v>38</v>
      </c>
      <c r="J1075" t="str">
        <f>PROPER(TRIM(I1075))</f>
        <v>Ph</v>
      </c>
      <c r="K1075" t="s">
        <v>31</v>
      </c>
      <c r="L1075" t="str">
        <f>PROPER(TRIM(K1075))</f>
        <v>Sports</v>
      </c>
      <c r="M1075" t="s">
        <v>32</v>
      </c>
      <c r="N1075" t="str">
        <f>PROPER(TRIM(M1075))</f>
        <v>Ball</v>
      </c>
      <c r="O1075">
        <v>89.74</v>
      </c>
      <c r="P1075">
        <v>-2</v>
      </c>
      <c r="Q1075">
        <f>IF(P1075&lt;1, 1, P1075)</f>
        <v>1</v>
      </c>
      <c r="R1075">
        <v>15</v>
      </c>
      <c r="S1075" t="str">
        <f>IF(OR(R1075&lt;0,R1075&gt;100),"invalid","Valid")</f>
        <v>Valid</v>
      </c>
      <c r="T1075" t="s">
        <v>59</v>
      </c>
      <c r="U1075" t="str">
        <f>PROPER(TRIM(T1075))</f>
        <v>Mobile Money</v>
      </c>
      <c r="V1075" t="s">
        <v>81</v>
      </c>
      <c r="W1075" t="str">
        <f t="shared" si="32"/>
        <v>Ada</v>
      </c>
      <c r="X1075" t="s">
        <v>82</v>
      </c>
      <c r="Y1075">
        <v>5</v>
      </c>
      <c r="Z1075" t="str">
        <f>IF(D1075="", "Missing", "ok")</f>
        <v>ok</v>
      </c>
      <c r="AA1075">
        <f t="shared" si="33"/>
        <v>76.278999999999996</v>
      </c>
    </row>
    <row r="1076" spans="1:27" x14ac:dyDescent="0.25">
      <c r="A1076" t="s">
        <v>2719</v>
      </c>
      <c r="B1076" s="1" t="s">
        <v>2720</v>
      </c>
      <c r="C1076" t="s">
        <v>2721</v>
      </c>
      <c r="D1076" t="s">
        <v>45</v>
      </c>
      <c r="E1076" t="str">
        <f>PROPER(TRIM(D1076))</f>
        <v>James</v>
      </c>
      <c r="F1076" t="s">
        <v>20</v>
      </c>
      <c r="G1076">
        <v>40</v>
      </c>
      <c r="H1076" t="str">
        <f>IF(AND(G1076&gt;18, G1076&lt;65), "Valid", "Invalid")</f>
        <v>Valid</v>
      </c>
      <c r="I1076" t="s">
        <v>86</v>
      </c>
      <c r="J1076" t="str">
        <f>PROPER(TRIM(I1076))</f>
        <v>Kano</v>
      </c>
      <c r="K1076" t="s">
        <v>39</v>
      </c>
      <c r="L1076" t="str">
        <f>PROPER(TRIM(K1076))</f>
        <v>Electronics</v>
      </c>
      <c r="M1076" t="s">
        <v>40</v>
      </c>
      <c r="N1076" t="str">
        <f>PROPER(TRIM(M1076))</f>
        <v>Phone</v>
      </c>
      <c r="O1076">
        <v>86.54</v>
      </c>
      <c r="P1076">
        <v>10</v>
      </c>
      <c r="Q1076">
        <f>IF(P1076&lt;1, 1, P1076)</f>
        <v>10</v>
      </c>
      <c r="R1076">
        <v>0</v>
      </c>
      <c r="S1076" t="str">
        <f>IF(OR(R1076&lt;0,R1076&gt;100),"invalid","Valid")</f>
        <v>Valid</v>
      </c>
      <c r="T1076" t="s">
        <v>64</v>
      </c>
      <c r="U1076" t="str">
        <f>PROPER(TRIM(T1076))</f>
        <v>Transfer</v>
      </c>
      <c r="V1076" t="s">
        <v>41</v>
      </c>
      <c r="W1076" t="str">
        <f t="shared" si="32"/>
        <v>Chi</v>
      </c>
      <c r="X1076" t="s">
        <v>33</v>
      </c>
      <c r="Y1076">
        <v>4</v>
      </c>
      <c r="Z1076" t="str">
        <f>IF(D1076="", "Missing", "ok")</f>
        <v>ok</v>
      </c>
      <c r="AA1076">
        <f t="shared" si="33"/>
        <v>865.40000000000009</v>
      </c>
    </row>
    <row r="1077" spans="1:27" x14ac:dyDescent="0.25">
      <c r="A1077" t="s">
        <v>2722</v>
      </c>
      <c r="B1077" s="1" t="s">
        <v>1159</v>
      </c>
      <c r="C1077" t="s">
        <v>2723</v>
      </c>
      <c r="D1077" t="s">
        <v>19</v>
      </c>
      <c r="E1077" t="str">
        <f>PROPER(TRIM(D1077))</f>
        <v>Peter</v>
      </c>
      <c r="F1077" t="s">
        <v>20</v>
      </c>
      <c r="G1077">
        <v>22</v>
      </c>
      <c r="H1077" t="str">
        <f>IF(AND(G1077&gt;18, G1077&lt;65), "Valid", "Invalid")</f>
        <v>Valid</v>
      </c>
      <c r="I1077" t="s">
        <v>38</v>
      </c>
      <c r="J1077" t="str">
        <f>PROPER(TRIM(I1077))</f>
        <v>Ph</v>
      </c>
      <c r="K1077" t="s">
        <v>39</v>
      </c>
      <c r="L1077" t="str">
        <f>PROPER(TRIM(K1077))</f>
        <v>Electronics</v>
      </c>
      <c r="M1077" t="s">
        <v>40</v>
      </c>
      <c r="N1077" t="str">
        <f>PROPER(TRIM(M1077))</f>
        <v>Phone</v>
      </c>
      <c r="O1077">
        <v>35.11</v>
      </c>
      <c r="P1077">
        <v>3</v>
      </c>
      <c r="Q1077">
        <f>IF(P1077&lt;1, 1, P1077)</f>
        <v>3</v>
      </c>
      <c r="R1077">
        <v>15</v>
      </c>
      <c r="S1077" t="str">
        <f>IF(OR(R1077&lt;0,R1077&gt;100),"invalid","Valid")</f>
        <v>Valid</v>
      </c>
      <c r="T1077" t="s">
        <v>77</v>
      </c>
      <c r="U1077" t="str">
        <f>PROPER(TRIM(T1077))</f>
        <v>Cash</v>
      </c>
      <c r="V1077" t="s">
        <v>91</v>
      </c>
      <c r="W1077" t="str">
        <f t="shared" si="32"/>
        <v>Ben</v>
      </c>
      <c r="X1077" t="s">
        <v>65</v>
      </c>
      <c r="Y1077">
        <v>2</v>
      </c>
      <c r="Z1077" t="str">
        <f>IF(D1077="", "Missing", "ok")</f>
        <v>ok</v>
      </c>
      <c r="AA1077">
        <f t="shared" si="33"/>
        <v>89.530499999999989</v>
      </c>
    </row>
    <row r="1078" spans="1:27" x14ac:dyDescent="0.25">
      <c r="A1078" t="s">
        <v>2724</v>
      </c>
      <c r="B1078" s="1" t="s">
        <v>291</v>
      </c>
      <c r="C1078" t="s">
        <v>2294</v>
      </c>
      <c r="D1078" t="s">
        <v>69</v>
      </c>
      <c r="E1078" t="str">
        <f>PROPER(TRIM(D1078))</f>
        <v>Mary</v>
      </c>
      <c r="F1078" t="s">
        <v>20</v>
      </c>
      <c r="G1078">
        <v>8</v>
      </c>
      <c r="H1078" t="str">
        <f>IF(AND(G1078&gt;18, G1078&lt;65), "Valid", "Invalid")</f>
        <v>Invalid</v>
      </c>
      <c r="I1078" t="s">
        <v>70</v>
      </c>
      <c r="J1078" t="str">
        <f>PROPER(TRIM(I1078))</f>
        <v>Abuja</v>
      </c>
      <c r="K1078" t="s">
        <v>87</v>
      </c>
      <c r="L1078" t="str">
        <f>PROPER(TRIM(K1078))</f>
        <v>Groceris</v>
      </c>
      <c r="M1078" t="s">
        <v>49</v>
      </c>
      <c r="N1078" t="str">
        <f>PROPER(TRIM(M1078))</f>
        <v>Rice</v>
      </c>
      <c r="O1078">
        <v>226.02</v>
      </c>
      <c r="P1078">
        <v>7</v>
      </c>
      <c r="Q1078">
        <f>IF(P1078&lt;1, 1, P1078)</f>
        <v>7</v>
      </c>
      <c r="R1078">
        <v>-10</v>
      </c>
      <c r="S1078" t="str">
        <f>IF(OR(R1078&lt;0,R1078&gt;100),"invalid","Valid")</f>
        <v>invalid</v>
      </c>
      <c r="U1078" t="str">
        <f>PROPER(TRIM(T1078))</f>
        <v/>
      </c>
      <c r="V1078" t="s">
        <v>41</v>
      </c>
      <c r="W1078" t="str">
        <f t="shared" si="32"/>
        <v>Chi</v>
      </c>
      <c r="X1078" t="s">
        <v>26</v>
      </c>
      <c r="Y1078">
        <v>4</v>
      </c>
      <c r="Z1078" t="str">
        <f>IF(D1078="", "Missing", "ok")</f>
        <v>ok</v>
      </c>
      <c r="AA1078">
        <f t="shared" si="33"/>
        <v>1740.3540000000003</v>
      </c>
    </row>
    <row r="1079" spans="1:27" x14ac:dyDescent="0.25">
      <c r="A1079" t="s">
        <v>2725</v>
      </c>
      <c r="B1079" s="1" t="s">
        <v>2726</v>
      </c>
      <c r="C1079" t="s">
        <v>2727</v>
      </c>
      <c r="E1079" t="str">
        <f>PROPER(TRIM(D1079))</f>
        <v/>
      </c>
      <c r="F1079" t="s">
        <v>20</v>
      </c>
      <c r="G1079">
        <v>34</v>
      </c>
      <c r="H1079" t="str">
        <f>IF(AND(G1079&gt;18, G1079&lt;65), "Valid", "Invalid")</f>
        <v>Valid</v>
      </c>
      <c r="I1079" t="s">
        <v>21</v>
      </c>
      <c r="J1079" t="str">
        <f>PROPER(TRIM(I1079))</f>
        <v>Lagos</v>
      </c>
      <c r="K1079" t="s">
        <v>22</v>
      </c>
      <c r="L1079" t="str">
        <f>PROPER(TRIM(K1079))</f>
        <v>Fashion</v>
      </c>
      <c r="M1079" t="s">
        <v>23</v>
      </c>
      <c r="N1079" t="str">
        <f>PROPER(TRIM(M1079))</f>
        <v>Shirt</v>
      </c>
      <c r="O1079">
        <v>294.27</v>
      </c>
      <c r="P1079">
        <v>-2</v>
      </c>
      <c r="Q1079">
        <f>IF(P1079&lt;1, 1, P1079)</f>
        <v>1</v>
      </c>
      <c r="R1079">
        <v>120</v>
      </c>
      <c r="S1079" t="str">
        <f>IF(OR(R1079&lt;0,R1079&gt;100),"invalid","Valid")</f>
        <v>invalid</v>
      </c>
      <c r="T1079" t="s">
        <v>77</v>
      </c>
      <c r="U1079" t="str">
        <f>PROPER(TRIM(T1079))</f>
        <v>Cash</v>
      </c>
      <c r="V1079" t="s">
        <v>41</v>
      </c>
      <c r="W1079" t="str">
        <f t="shared" si="32"/>
        <v>Chi</v>
      </c>
      <c r="X1079" t="s">
        <v>82</v>
      </c>
      <c r="Y1079">
        <v>4</v>
      </c>
      <c r="Z1079" t="str">
        <f>IF(D1079="", "Missing", "ok")</f>
        <v>Missing</v>
      </c>
      <c r="AA1079">
        <f t="shared" si="33"/>
        <v>-58.853999999999985</v>
      </c>
    </row>
    <row r="1080" spans="1:27" x14ac:dyDescent="0.25">
      <c r="A1080" t="s">
        <v>2728</v>
      </c>
      <c r="B1080" s="1" t="s">
        <v>914</v>
      </c>
      <c r="C1080" t="s">
        <v>2729</v>
      </c>
      <c r="D1080" t="s">
        <v>117</v>
      </c>
      <c r="E1080" t="str">
        <f>PROPER(TRIM(D1080))</f>
        <v>David</v>
      </c>
      <c r="F1080" t="s">
        <v>46</v>
      </c>
      <c r="G1080">
        <v>130</v>
      </c>
      <c r="H1080" t="str">
        <f>IF(AND(G1080&gt;18, G1080&lt;65), "Valid", "Invalid")</f>
        <v>Invalid</v>
      </c>
      <c r="I1080" t="s">
        <v>30</v>
      </c>
      <c r="J1080" t="str">
        <f>PROPER(TRIM(I1080))</f>
        <v>Lagos</v>
      </c>
      <c r="K1080" t="s">
        <v>48</v>
      </c>
      <c r="L1080" t="str">
        <f>PROPER(TRIM(K1080))</f>
        <v>Groceries</v>
      </c>
      <c r="M1080" t="s">
        <v>49</v>
      </c>
      <c r="N1080" t="str">
        <f>PROPER(TRIM(M1080))</f>
        <v>Rice</v>
      </c>
      <c r="O1080">
        <v>398.79</v>
      </c>
      <c r="P1080">
        <v>10</v>
      </c>
      <c r="Q1080">
        <f>IF(P1080&lt;1, 1, P1080)</f>
        <v>10</v>
      </c>
      <c r="R1080">
        <v>0</v>
      </c>
      <c r="S1080" t="str">
        <f>IF(OR(R1080&lt;0,R1080&gt;100),"invalid","Valid")</f>
        <v>Valid</v>
      </c>
      <c r="T1080" t="s">
        <v>24</v>
      </c>
      <c r="U1080" t="str">
        <f>PROPER(TRIM(T1080))</f>
        <v>Pos</v>
      </c>
      <c r="V1080" t="s">
        <v>91</v>
      </c>
      <c r="W1080" t="str">
        <f t="shared" si="32"/>
        <v>Ben</v>
      </c>
      <c r="X1080" t="s">
        <v>26</v>
      </c>
      <c r="Z1080" t="str">
        <f>IF(D1080="", "Missing", "ok")</f>
        <v>ok</v>
      </c>
      <c r="AA1080">
        <f t="shared" si="33"/>
        <v>3987.9</v>
      </c>
    </row>
    <row r="1081" spans="1:27" x14ac:dyDescent="0.25">
      <c r="A1081" t="s">
        <v>2730</v>
      </c>
      <c r="B1081" s="1" t="s">
        <v>2731</v>
      </c>
      <c r="C1081" t="s">
        <v>2732</v>
      </c>
      <c r="D1081" t="s">
        <v>37</v>
      </c>
      <c r="E1081" t="str">
        <f>PROPER(TRIM(D1081))</f>
        <v>Aisha</v>
      </c>
      <c r="F1081" t="s">
        <v>20</v>
      </c>
      <c r="G1081">
        <v>57</v>
      </c>
      <c r="H1081" t="str">
        <f>IF(AND(G1081&gt;18, G1081&lt;65), "Valid", "Invalid")</f>
        <v>Valid</v>
      </c>
      <c r="I1081" t="s">
        <v>86</v>
      </c>
      <c r="J1081" t="str">
        <f>PROPER(TRIM(I1081))</f>
        <v>Kano</v>
      </c>
      <c r="K1081" t="s">
        <v>54</v>
      </c>
      <c r="L1081" t="str">
        <f>PROPER(TRIM(K1081))</f>
        <v>Home</v>
      </c>
      <c r="M1081" t="s">
        <v>55</v>
      </c>
      <c r="N1081" t="str">
        <f>PROPER(TRIM(M1081))</f>
        <v>Chair</v>
      </c>
      <c r="O1081">
        <v>103.26</v>
      </c>
      <c r="P1081">
        <v>-2</v>
      </c>
      <c r="Q1081">
        <f>IF(P1081&lt;1, 1, P1081)</f>
        <v>1</v>
      </c>
      <c r="R1081">
        <v>10</v>
      </c>
      <c r="S1081" t="str">
        <f>IF(OR(R1081&lt;0,R1081&gt;100),"invalid","Valid")</f>
        <v>Valid</v>
      </c>
      <c r="U1081" t="str">
        <f>PROPER(TRIM(T1081))</f>
        <v/>
      </c>
      <c r="V1081" t="s">
        <v>25</v>
      </c>
      <c r="W1081" t="str">
        <f t="shared" si="32"/>
        <v>Dan</v>
      </c>
      <c r="X1081" t="s">
        <v>82</v>
      </c>
      <c r="Y1081">
        <v>2</v>
      </c>
      <c r="Z1081" t="str">
        <f>IF(D1081="", "Missing", "ok")</f>
        <v>ok</v>
      </c>
      <c r="AA1081">
        <f t="shared" si="33"/>
        <v>92.934000000000012</v>
      </c>
    </row>
    <row r="1082" spans="1:27" x14ac:dyDescent="0.25">
      <c r="A1082" t="s">
        <v>2733</v>
      </c>
      <c r="B1082" s="1" t="s">
        <v>2343</v>
      </c>
      <c r="C1082" t="s">
        <v>2734</v>
      </c>
      <c r="E1082" t="str">
        <f>PROPER(TRIM(D1082))</f>
        <v/>
      </c>
      <c r="F1082" t="s">
        <v>46</v>
      </c>
      <c r="G1082">
        <v>130</v>
      </c>
      <c r="H1082" t="str">
        <f>IF(AND(G1082&gt;18, G1082&lt;65), "Valid", "Invalid")</f>
        <v>Invalid</v>
      </c>
      <c r="I1082" t="s">
        <v>30</v>
      </c>
      <c r="J1082" t="str">
        <f>PROPER(TRIM(I1082))</f>
        <v>Lagos</v>
      </c>
      <c r="K1082" t="s">
        <v>22</v>
      </c>
      <c r="L1082" t="str">
        <f>PROPER(TRIM(K1082))</f>
        <v>Fashion</v>
      </c>
      <c r="M1082" t="s">
        <v>23</v>
      </c>
      <c r="N1082" t="str">
        <f>PROPER(TRIM(M1082))</f>
        <v>Shirt</v>
      </c>
      <c r="O1082">
        <v>491.71</v>
      </c>
      <c r="P1082">
        <v>-2</v>
      </c>
      <c r="Q1082">
        <f>IF(P1082&lt;1, 1, P1082)</f>
        <v>1</v>
      </c>
      <c r="R1082">
        <v>10</v>
      </c>
      <c r="S1082" t="str">
        <f>IF(OR(R1082&lt;0,R1082&gt;100),"invalid","Valid")</f>
        <v>Valid</v>
      </c>
      <c r="U1082" t="str">
        <f>PROPER(TRIM(T1082))</f>
        <v/>
      </c>
      <c r="V1082" t="s">
        <v>25</v>
      </c>
      <c r="W1082" t="str">
        <f t="shared" si="32"/>
        <v>Dan</v>
      </c>
      <c r="X1082" t="s">
        <v>26</v>
      </c>
      <c r="Y1082">
        <v>2</v>
      </c>
      <c r="Z1082" t="str">
        <f>IF(D1082="", "Missing", "ok")</f>
        <v>Missing</v>
      </c>
      <c r="AA1082">
        <f t="shared" si="33"/>
        <v>442.53899999999999</v>
      </c>
    </row>
    <row r="1083" spans="1:27" x14ac:dyDescent="0.25">
      <c r="A1083" t="s">
        <v>2735</v>
      </c>
      <c r="B1083" s="1" t="s">
        <v>1217</v>
      </c>
      <c r="C1083" t="s">
        <v>1849</v>
      </c>
      <c r="D1083" t="s">
        <v>37</v>
      </c>
      <c r="E1083" t="str">
        <f>PROPER(TRIM(D1083))</f>
        <v>Aisha</v>
      </c>
      <c r="F1083" t="s">
        <v>20</v>
      </c>
      <c r="G1083">
        <v>8</v>
      </c>
      <c r="H1083" t="str">
        <f>IF(AND(G1083&gt;18, G1083&lt;65), "Valid", "Invalid")</f>
        <v>Invalid</v>
      </c>
      <c r="I1083" t="s">
        <v>70</v>
      </c>
      <c r="J1083" t="str">
        <f>PROPER(TRIM(I1083))</f>
        <v>Abuja</v>
      </c>
      <c r="K1083" t="s">
        <v>87</v>
      </c>
      <c r="L1083" t="str">
        <f>PROPER(TRIM(K1083))</f>
        <v>Groceris</v>
      </c>
      <c r="M1083" t="s">
        <v>49</v>
      </c>
      <c r="N1083" t="str">
        <f>PROPER(TRIM(M1083))</f>
        <v>Rice</v>
      </c>
      <c r="O1083">
        <v>370.44</v>
      </c>
      <c r="P1083">
        <v>-2</v>
      </c>
      <c r="Q1083">
        <f>IF(P1083&lt;1, 1, P1083)</f>
        <v>1</v>
      </c>
      <c r="R1083">
        <v>-10</v>
      </c>
      <c r="S1083" t="str">
        <f>IF(OR(R1083&lt;0,R1083&gt;100),"invalid","Valid")</f>
        <v>invalid</v>
      </c>
      <c r="U1083" t="str">
        <f>PROPER(TRIM(T1083))</f>
        <v/>
      </c>
      <c r="V1083" t="s">
        <v>41</v>
      </c>
      <c r="W1083" t="str">
        <f t="shared" si="32"/>
        <v>Chi</v>
      </c>
      <c r="X1083" t="s">
        <v>65</v>
      </c>
      <c r="Z1083" t="str">
        <f>IF(D1083="", "Missing", "ok")</f>
        <v>ok</v>
      </c>
      <c r="AA1083">
        <f t="shared" si="33"/>
        <v>407.48400000000004</v>
      </c>
    </row>
    <row r="1084" spans="1:27" x14ac:dyDescent="0.25">
      <c r="A1084" t="s">
        <v>2736</v>
      </c>
      <c r="B1084" s="1" t="s">
        <v>951</v>
      </c>
      <c r="C1084" t="s">
        <v>1852</v>
      </c>
      <c r="D1084" t="s">
        <v>45</v>
      </c>
      <c r="E1084" t="str">
        <f>PROPER(TRIM(D1084))</f>
        <v>James</v>
      </c>
      <c r="F1084" t="s">
        <v>20</v>
      </c>
      <c r="G1084">
        <v>32</v>
      </c>
      <c r="H1084" t="str">
        <f>IF(AND(G1084&gt;18, G1084&lt;65), "Valid", "Invalid")</f>
        <v>Valid</v>
      </c>
      <c r="I1084" t="s">
        <v>53</v>
      </c>
      <c r="J1084" t="str">
        <f>PROPER(TRIM(I1084))</f>
        <v>Lagos</v>
      </c>
      <c r="K1084" t="s">
        <v>121</v>
      </c>
      <c r="L1084" t="str">
        <f>PROPER(TRIM(K1084))</f>
        <v>Beauty</v>
      </c>
      <c r="M1084" t="s">
        <v>122</v>
      </c>
      <c r="N1084" t="str">
        <f>PROPER(TRIM(M1084))</f>
        <v>Cream</v>
      </c>
      <c r="O1084">
        <v>11.34</v>
      </c>
      <c r="P1084">
        <v>10</v>
      </c>
      <c r="Q1084">
        <f>IF(P1084&lt;1, 1, P1084)</f>
        <v>10</v>
      </c>
      <c r="R1084">
        <v>5</v>
      </c>
      <c r="S1084" t="str">
        <f>IF(OR(R1084&lt;0,R1084&gt;100),"invalid","Valid")</f>
        <v>Valid</v>
      </c>
      <c r="U1084" t="str">
        <f>PROPER(TRIM(T1084))</f>
        <v/>
      </c>
      <c r="V1084" t="s">
        <v>41</v>
      </c>
      <c r="W1084" t="str">
        <f t="shared" si="32"/>
        <v>Chi</v>
      </c>
      <c r="X1084" t="s">
        <v>82</v>
      </c>
      <c r="Y1084">
        <v>1</v>
      </c>
      <c r="Z1084" t="str">
        <f>IF(D1084="", "Missing", "ok")</f>
        <v>ok</v>
      </c>
      <c r="AA1084">
        <f t="shared" si="33"/>
        <v>107.73</v>
      </c>
    </row>
    <row r="1085" spans="1:27" x14ac:dyDescent="0.25">
      <c r="A1085" t="s">
        <v>2737</v>
      </c>
      <c r="B1085" s="1" t="s">
        <v>1363</v>
      </c>
      <c r="C1085" t="s">
        <v>2738</v>
      </c>
      <c r="D1085" t="s">
        <v>63</v>
      </c>
      <c r="E1085" t="str">
        <f>PROPER(TRIM(D1085))</f>
        <v>John</v>
      </c>
      <c r="F1085" t="s">
        <v>20</v>
      </c>
      <c r="G1085">
        <v>43</v>
      </c>
      <c r="H1085" t="str">
        <f>IF(AND(G1085&gt;18, G1085&lt;65), "Valid", "Invalid")</f>
        <v>Valid</v>
      </c>
      <c r="I1085" t="s">
        <v>86</v>
      </c>
      <c r="J1085" t="str">
        <f>PROPER(TRIM(I1085))</f>
        <v>Kano</v>
      </c>
      <c r="K1085" t="s">
        <v>39</v>
      </c>
      <c r="L1085" t="str">
        <f>PROPER(TRIM(K1085))</f>
        <v>Electronics</v>
      </c>
      <c r="M1085" t="s">
        <v>40</v>
      </c>
      <c r="N1085" t="str">
        <f>PROPER(TRIM(M1085))</f>
        <v>Phone</v>
      </c>
      <c r="O1085">
        <v>357.92</v>
      </c>
      <c r="P1085">
        <v>-2</v>
      </c>
      <c r="Q1085">
        <f>IF(P1085&lt;1, 1, P1085)</f>
        <v>1</v>
      </c>
      <c r="R1085">
        <v>5</v>
      </c>
      <c r="S1085" t="str">
        <f>IF(OR(R1085&lt;0,R1085&gt;100),"invalid","Valid")</f>
        <v>Valid</v>
      </c>
      <c r="T1085" t="s">
        <v>64</v>
      </c>
      <c r="U1085" t="str">
        <f>PROPER(TRIM(T1085))</f>
        <v>Transfer</v>
      </c>
      <c r="V1085" t="s">
        <v>91</v>
      </c>
      <c r="W1085" t="str">
        <f t="shared" si="32"/>
        <v>Ben</v>
      </c>
      <c r="X1085" t="s">
        <v>82</v>
      </c>
      <c r="Y1085">
        <v>5</v>
      </c>
      <c r="Z1085" t="str">
        <f>IF(D1085="", "Missing", "ok")</f>
        <v>ok</v>
      </c>
      <c r="AA1085">
        <f t="shared" si="33"/>
        <v>340.024</v>
      </c>
    </row>
    <row r="1086" spans="1:27" x14ac:dyDescent="0.25">
      <c r="A1086" t="s">
        <v>2739</v>
      </c>
      <c r="B1086" s="1" t="s">
        <v>470</v>
      </c>
      <c r="C1086" t="s">
        <v>2740</v>
      </c>
      <c r="E1086" t="str">
        <f>PROPER(TRIM(D1086))</f>
        <v/>
      </c>
      <c r="F1086" t="s">
        <v>46</v>
      </c>
      <c r="G1086">
        <v>8</v>
      </c>
      <c r="H1086" t="str">
        <f>IF(AND(G1086&gt;18, G1086&lt;65), "Valid", "Invalid")</f>
        <v>Invalid</v>
      </c>
      <c r="I1086" t="s">
        <v>38</v>
      </c>
      <c r="J1086" t="str">
        <f>PROPER(TRIM(I1086))</f>
        <v>Ph</v>
      </c>
      <c r="K1086" t="s">
        <v>31</v>
      </c>
      <c r="L1086" t="str">
        <f>PROPER(TRIM(K1086))</f>
        <v>Sports</v>
      </c>
      <c r="M1086" t="s">
        <v>32</v>
      </c>
      <c r="N1086" t="str">
        <f>PROPER(TRIM(M1086))</f>
        <v>Ball</v>
      </c>
      <c r="O1086">
        <v>450.32</v>
      </c>
      <c r="P1086">
        <v>-2</v>
      </c>
      <c r="Q1086">
        <f>IF(P1086&lt;1, 1, P1086)</f>
        <v>1</v>
      </c>
      <c r="R1086">
        <v>5</v>
      </c>
      <c r="S1086" t="str">
        <f>IF(OR(R1086&lt;0,R1086&gt;100),"invalid","Valid")</f>
        <v>Valid</v>
      </c>
      <c r="T1086" t="s">
        <v>24</v>
      </c>
      <c r="U1086" t="str">
        <f>PROPER(TRIM(T1086))</f>
        <v>Pos</v>
      </c>
      <c r="V1086" t="s">
        <v>25</v>
      </c>
      <c r="W1086" t="str">
        <f t="shared" si="32"/>
        <v>Dan</v>
      </c>
      <c r="X1086" t="s">
        <v>82</v>
      </c>
      <c r="Z1086" t="str">
        <f>IF(D1086="", "Missing", "ok")</f>
        <v>Missing</v>
      </c>
      <c r="AA1086">
        <f t="shared" si="33"/>
        <v>427.80399999999997</v>
      </c>
    </row>
    <row r="1087" spans="1:27" x14ac:dyDescent="0.25">
      <c r="A1087" t="s">
        <v>2741</v>
      </c>
      <c r="B1087" s="1" t="s">
        <v>1900</v>
      </c>
      <c r="C1087" t="s">
        <v>2742</v>
      </c>
      <c r="D1087" t="s">
        <v>19</v>
      </c>
      <c r="E1087" t="str">
        <f>PROPER(TRIM(D1087))</f>
        <v>Peter</v>
      </c>
      <c r="F1087" t="s">
        <v>20</v>
      </c>
      <c r="G1087">
        <v>130</v>
      </c>
      <c r="H1087" t="str">
        <f>IF(AND(G1087&gt;18, G1087&lt;65), "Valid", "Invalid")</f>
        <v>Invalid</v>
      </c>
      <c r="I1087" t="s">
        <v>70</v>
      </c>
      <c r="J1087" t="str">
        <f>PROPER(TRIM(I1087))</f>
        <v>Abuja</v>
      </c>
      <c r="K1087" t="s">
        <v>54</v>
      </c>
      <c r="L1087" t="str">
        <f>PROPER(TRIM(K1087))</f>
        <v>Home</v>
      </c>
      <c r="M1087" t="s">
        <v>55</v>
      </c>
      <c r="N1087" t="str">
        <f>PROPER(TRIM(M1087))</f>
        <v>Chair</v>
      </c>
      <c r="O1087">
        <v>306.32</v>
      </c>
      <c r="P1087">
        <v>-2</v>
      </c>
      <c r="Q1087">
        <f>IF(P1087&lt;1, 1, P1087)</f>
        <v>1</v>
      </c>
      <c r="R1087">
        <v>10</v>
      </c>
      <c r="S1087" t="str">
        <f>IF(OR(R1087&lt;0,R1087&gt;100),"invalid","Valid")</f>
        <v>Valid</v>
      </c>
      <c r="T1087" t="s">
        <v>77</v>
      </c>
      <c r="U1087" t="str">
        <f>PROPER(TRIM(T1087))</f>
        <v>Cash</v>
      </c>
      <c r="V1087" t="s">
        <v>25</v>
      </c>
      <c r="W1087" t="str">
        <f t="shared" si="32"/>
        <v>Dan</v>
      </c>
      <c r="X1087" t="s">
        <v>26</v>
      </c>
      <c r="Y1087">
        <v>1</v>
      </c>
      <c r="Z1087" t="str">
        <f>IF(D1087="", "Missing", "ok")</f>
        <v>ok</v>
      </c>
      <c r="AA1087">
        <f t="shared" si="33"/>
        <v>275.68799999999999</v>
      </c>
    </row>
    <row r="1088" spans="1:27" x14ac:dyDescent="0.25">
      <c r="A1088" t="s">
        <v>2743</v>
      </c>
      <c r="B1088" s="1" t="s">
        <v>2744</v>
      </c>
      <c r="C1088" t="s">
        <v>2745</v>
      </c>
      <c r="E1088" t="str">
        <f>PROPER(TRIM(D1088))</f>
        <v/>
      </c>
      <c r="F1088" t="s">
        <v>46</v>
      </c>
      <c r="G1088">
        <v>8</v>
      </c>
      <c r="H1088" t="str">
        <f>IF(AND(G1088&gt;18, G1088&lt;65), "Valid", "Invalid")</f>
        <v>Invalid</v>
      </c>
      <c r="I1088" t="s">
        <v>30</v>
      </c>
      <c r="J1088" t="str">
        <f>PROPER(TRIM(I1088))</f>
        <v>Lagos</v>
      </c>
      <c r="K1088" t="s">
        <v>54</v>
      </c>
      <c r="L1088" t="str">
        <f>PROPER(TRIM(K1088))</f>
        <v>Home</v>
      </c>
      <c r="M1088" t="s">
        <v>55</v>
      </c>
      <c r="N1088" t="str">
        <f>PROPER(TRIM(M1088))</f>
        <v>Chair</v>
      </c>
      <c r="O1088">
        <v>176.78</v>
      </c>
      <c r="P1088">
        <v>-2</v>
      </c>
      <c r="Q1088">
        <f>IF(P1088&lt;1, 1, P1088)</f>
        <v>1</v>
      </c>
      <c r="R1088">
        <v>-10</v>
      </c>
      <c r="S1088" t="str">
        <f>IF(OR(R1088&lt;0,R1088&gt;100),"invalid","Valid")</f>
        <v>invalid</v>
      </c>
      <c r="T1088" t="s">
        <v>59</v>
      </c>
      <c r="U1088" t="str">
        <f>PROPER(TRIM(T1088))</f>
        <v>Mobile Money</v>
      </c>
      <c r="V1088" t="s">
        <v>25</v>
      </c>
      <c r="W1088" t="str">
        <f t="shared" si="32"/>
        <v>Dan</v>
      </c>
      <c r="X1088" t="s">
        <v>65</v>
      </c>
      <c r="Y1088">
        <v>3</v>
      </c>
      <c r="Z1088" t="str">
        <f>IF(D1088="", "Missing", "ok")</f>
        <v>Missing</v>
      </c>
      <c r="AA1088">
        <f t="shared" si="33"/>
        <v>194.45800000000003</v>
      </c>
    </row>
    <row r="1089" spans="1:27" x14ac:dyDescent="0.25">
      <c r="A1089" t="s">
        <v>2746</v>
      </c>
      <c r="B1089" s="1" t="s">
        <v>1729</v>
      </c>
      <c r="C1089" t="s">
        <v>2747</v>
      </c>
      <c r="D1089" t="s">
        <v>63</v>
      </c>
      <c r="E1089" t="str">
        <f>PROPER(TRIM(D1089))</f>
        <v>John</v>
      </c>
      <c r="F1089" t="s">
        <v>46</v>
      </c>
      <c r="G1089">
        <v>8</v>
      </c>
      <c r="H1089" t="str">
        <f>IF(AND(G1089&gt;18, G1089&lt;65), "Valid", "Invalid")</f>
        <v>Invalid</v>
      </c>
      <c r="I1089" t="s">
        <v>47</v>
      </c>
      <c r="J1089" t="str">
        <f>PROPER(TRIM(I1089))</f>
        <v>Enugu</v>
      </c>
      <c r="K1089" t="s">
        <v>22</v>
      </c>
      <c r="L1089" t="str">
        <f>PROPER(TRIM(K1089))</f>
        <v>Fashion</v>
      </c>
      <c r="M1089" t="s">
        <v>23</v>
      </c>
      <c r="N1089" t="str">
        <f>PROPER(TRIM(M1089))</f>
        <v>Shirt</v>
      </c>
      <c r="O1089">
        <v>138.12</v>
      </c>
      <c r="P1089">
        <v>10</v>
      </c>
      <c r="Q1089">
        <f>IF(P1089&lt;1, 1, P1089)</f>
        <v>10</v>
      </c>
      <c r="R1089">
        <v>5</v>
      </c>
      <c r="S1089" t="str">
        <f>IF(OR(R1089&lt;0,R1089&gt;100),"invalid","Valid")</f>
        <v>Valid</v>
      </c>
      <c r="T1089" t="s">
        <v>24</v>
      </c>
      <c r="U1089" t="str">
        <f>PROPER(TRIM(T1089))</f>
        <v>Pos</v>
      </c>
      <c r="V1089" t="s">
        <v>81</v>
      </c>
      <c r="W1089" t="str">
        <f t="shared" si="32"/>
        <v>Ada</v>
      </c>
      <c r="X1089" t="s">
        <v>33</v>
      </c>
      <c r="Y1089">
        <v>5</v>
      </c>
      <c r="Z1089" t="str">
        <f>IF(D1089="", "Missing", "ok")</f>
        <v>ok</v>
      </c>
      <c r="AA1089">
        <f t="shared" si="33"/>
        <v>1312.1399999999999</v>
      </c>
    </row>
    <row r="1090" spans="1:27" x14ac:dyDescent="0.25">
      <c r="A1090" t="s">
        <v>2748</v>
      </c>
      <c r="B1090" s="1" t="s">
        <v>2749</v>
      </c>
      <c r="C1090" t="s">
        <v>2750</v>
      </c>
      <c r="D1090" t="s">
        <v>63</v>
      </c>
      <c r="E1090" t="str">
        <f>PROPER(TRIM(D1090))</f>
        <v>John</v>
      </c>
      <c r="F1090" t="s">
        <v>20</v>
      </c>
      <c r="G1090">
        <v>130</v>
      </c>
      <c r="H1090" t="str">
        <f>IF(AND(G1090&gt;18, G1090&lt;65), "Valid", "Invalid")</f>
        <v>Invalid</v>
      </c>
      <c r="I1090" t="s">
        <v>86</v>
      </c>
      <c r="J1090" t="str">
        <f>PROPER(TRIM(I1090))</f>
        <v>Kano</v>
      </c>
      <c r="K1090" t="s">
        <v>48</v>
      </c>
      <c r="L1090" t="str">
        <f>PROPER(TRIM(K1090))</f>
        <v>Groceries</v>
      </c>
      <c r="M1090" t="s">
        <v>49</v>
      </c>
      <c r="N1090" t="str">
        <f>PROPER(TRIM(M1090))</f>
        <v>Rice</v>
      </c>
      <c r="O1090">
        <v>200.1</v>
      </c>
      <c r="P1090">
        <v>-2</v>
      </c>
      <c r="Q1090">
        <f>IF(P1090&lt;1, 1, P1090)</f>
        <v>1</v>
      </c>
      <c r="R1090">
        <v>15</v>
      </c>
      <c r="S1090" t="str">
        <f>IF(OR(R1090&lt;0,R1090&gt;100),"invalid","Valid")</f>
        <v>Valid</v>
      </c>
      <c r="T1090" t="s">
        <v>59</v>
      </c>
      <c r="U1090" t="str">
        <f>PROPER(TRIM(T1090))</f>
        <v>Mobile Money</v>
      </c>
      <c r="V1090" t="s">
        <v>41</v>
      </c>
      <c r="W1090" t="str">
        <f t="shared" ref="W1090:W1153" si="34">PROPER(TRIM(V1090))</f>
        <v>Chi</v>
      </c>
      <c r="X1090" t="s">
        <v>26</v>
      </c>
      <c r="Y1090">
        <v>5</v>
      </c>
      <c r="Z1090" t="str">
        <f>IF(D1090="", "Missing", "ok")</f>
        <v>ok</v>
      </c>
      <c r="AA1090">
        <f t="shared" si="33"/>
        <v>170.08499999999998</v>
      </c>
    </row>
    <row r="1091" spans="1:27" x14ac:dyDescent="0.25">
      <c r="A1091" t="s">
        <v>2751</v>
      </c>
      <c r="B1091" s="1" t="s">
        <v>671</v>
      </c>
      <c r="C1091" t="s">
        <v>2752</v>
      </c>
      <c r="D1091" t="s">
        <v>117</v>
      </c>
      <c r="E1091" t="str">
        <f>PROPER(TRIM(D1091))</f>
        <v>David</v>
      </c>
      <c r="F1091" t="s">
        <v>20</v>
      </c>
      <c r="G1091">
        <v>8</v>
      </c>
      <c r="H1091" t="str">
        <f>IF(AND(G1091&gt;18, G1091&lt;65), "Valid", "Invalid")</f>
        <v>Invalid</v>
      </c>
      <c r="I1091" t="s">
        <v>53</v>
      </c>
      <c r="J1091" t="str">
        <f>PROPER(TRIM(I1091))</f>
        <v>Lagos</v>
      </c>
      <c r="K1091" t="s">
        <v>48</v>
      </c>
      <c r="L1091" t="str">
        <f>PROPER(TRIM(K1091))</f>
        <v>Groceries</v>
      </c>
      <c r="M1091" t="s">
        <v>49</v>
      </c>
      <c r="N1091" t="str">
        <f>PROPER(TRIM(M1091))</f>
        <v>Rice</v>
      </c>
      <c r="O1091">
        <v>213.53</v>
      </c>
      <c r="P1091">
        <v>7</v>
      </c>
      <c r="Q1091">
        <f>IF(P1091&lt;1, 1, P1091)</f>
        <v>7</v>
      </c>
      <c r="R1091">
        <v>10</v>
      </c>
      <c r="S1091" t="str">
        <f>IF(OR(R1091&lt;0,R1091&gt;100),"invalid","Valid")</f>
        <v>Valid</v>
      </c>
      <c r="T1091" t="s">
        <v>64</v>
      </c>
      <c r="U1091" t="str">
        <f>PROPER(TRIM(T1091))</f>
        <v>Transfer</v>
      </c>
      <c r="V1091" t="s">
        <v>91</v>
      </c>
      <c r="W1091" t="str">
        <f t="shared" si="34"/>
        <v>Ben</v>
      </c>
      <c r="X1091" t="s">
        <v>65</v>
      </c>
      <c r="Y1091">
        <v>1</v>
      </c>
      <c r="Z1091" t="str">
        <f>IF(D1091="", "Missing", "ok")</f>
        <v>ok</v>
      </c>
      <c r="AA1091">
        <f t="shared" ref="AA1091:AA1154" si="35">(O1091*Q1091)*(1-R1091/100)</f>
        <v>1345.239</v>
      </c>
    </row>
    <row r="1092" spans="1:27" x14ac:dyDescent="0.25">
      <c r="A1092" t="s">
        <v>2753</v>
      </c>
      <c r="B1092" s="1" t="s">
        <v>1699</v>
      </c>
      <c r="C1092" t="s">
        <v>2754</v>
      </c>
      <c r="E1092" t="str">
        <f>PROPER(TRIM(D1092))</f>
        <v/>
      </c>
      <c r="F1092" t="s">
        <v>46</v>
      </c>
      <c r="G1092">
        <v>130</v>
      </c>
      <c r="H1092" t="str">
        <f>IF(AND(G1092&gt;18, G1092&lt;65), "Valid", "Invalid")</f>
        <v>Invalid</v>
      </c>
      <c r="I1092" t="s">
        <v>30</v>
      </c>
      <c r="J1092" t="str">
        <f>PROPER(TRIM(I1092))</f>
        <v>Lagos</v>
      </c>
      <c r="K1092" t="s">
        <v>54</v>
      </c>
      <c r="L1092" t="str">
        <f>PROPER(TRIM(K1092))</f>
        <v>Home</v>
      </c>
      <c r="M1092" t="s">
        <v>55</v>
      </c>
      <c r="N1092" t="str">
        <f>PROPER(TRIM(M1092))</f>
        <v>Chair</v>
      </c>
      <c r="O1092">
        <v>115.81</v>
      </c>
      <c r="P1092">
        <v>9</v>
      </c>
      <c r="Q1092">
        <f>IF(P1092&lt;1, 1, P1092)</f>
        <v>9</v>
      </c>
      <c r="R1092">
        <v>-10</v>
      </c>
      <c r="S1092" t="str">
        <f>IF(OR(R1092&lt;0,R1092&gt;100),"invalid","Valid")</f>
        <v>invalid</v>
      </c>
      <c r="U1092" t="str">
        <f>PROPER(TRIM(T1092))</f>
        <v/>
      </c>
      <c r="V1092" t="s">
        <v>81</v>
      </c>
      <c r="W1092" t="str">
        <f t="shared" si="34"/>
        <v>Ada</v>
      </c>
      <c r="X1092" t="s">
        <v>82</v>
      </c>
      <c r="Y1092">
        <v>4</v>
      </c>
      <c r="Z1092" t="str">
        <f>IF(D1092="", "Missing", "ok")</f>
        <v>Missing</v>
      </c>
      <c r="AA1092">
        <f t="shared" si="35"/>
        <v>1146.519</v>
      </c>
    </row>
    <row r="1093" spans="1:27" x14ac:dyDescent="0.25">
      <c r="A1093" t="s">
        <v>2755</v>
      </c>
      <c r="B1093" s="1" t="s">
        <v>372</v>
      </c>
      <c r="C1093" t="s">
        <v>2756</v>
      </c>
      <c r="D1093" t="s">
        <v>45</v>
      </c>
      <c r="E1093" t="str">
        <f>PROPER(TRIM(D1093))</f>
        <v>James</v>
      </c>
      <c r="F1093" t="s">
        <v>46</v>
      </c>
      <c r="G1093">
        <v>130</v>
      </c>
      <c r="H1093" t="str">
        <f>IF(AND(G1093&gt;18, G1093&lt;65), "Valid", "Invalid")</f>
        <v>Invalid</v>
      </c>
      <c r="I1093" t="s">
        <v>21</v>
      </c>
      <c r="J1093" t="str">
        <f>PROPER(TRIM(I1093))</f>
        <v>Lagos</v>
      </c>
      <c r="K1093" t="s">
        <v>39</v>
      </c>
      <c r="L1093" t="str">
        <f>PROPER(TRIM(K1093))</f>
        <v>Electronics</v>
      </c>
      <c r="M1093" t="s">
        <v>40</v>
      </c>
      <c r="N1093" t="str">
        <f>PROPER(TRIM(M1093))</f>
        <v>Phone</v>
      </c>
      <c r="O1093">
        <v>329.29</v>
      </c>
      <c r="P1093">
        <v>-2</v>
      </c>
      <c r="Q1093">
        <f>IF(P1093&lt;1, 1, P1093)</f>
        <v>1</v>
      </c>
      <c r="R1093">
        <v>0</v>
      </c>
      <c r="S1093" t="str">
        <f>IF(OR(R1093&lt;0,R1093&gt;100),"invalid","Valid")</f>
        <v>Valid</v>
      </c>
      <c r="T1093" t="s">
        <v>77</v>
      </c>
      <c r="U1093" t="str">
        <f>PROPER(TRIM(T1093))</f>
        <v>Cash</v>
      </c>
      <c r="V1093" t="s">
        <v>41</v>
      </c>
      <c r="W1093" t="str">
        <f t="shared" si="34"/>
        <v>Chi</v>
      </c>
      <c r="X1093" t="s">
        <v>82</v>
      </c>
      <c r="Y1093">
        <v>5</v>
      </c>
      <c r="Z1093" t="str">
        <f>IF(D1093="", "Missing", "ok")</f>
        <v>ok</v>
      </c>
      <c r="AA1093">
        <f t="shared" si="35"/>
        <v>329.29</v>
      </c>
    </row>
    <row r="1094" spans="1:27" x14ac:dyDescent="0.25">
      <c r="A1094" t="s">
        <v>2757</v>
      </c>
      <c r="B1094" s="1" t="s">
        <v>807</v>
      </c>
      <c r="C1094" t="s">
        <v>2758</v>
      </c>
      <c r="D1094" t="s">
        <v>45</v>
      </c>
      <c r="E1094" t="str">
        <f>PROPER(TRIM(D1094))</f>
        <v>James</v>
      </c>
      <c r="F1094" t="s">
        <v>46</v>
      </c>
      <c r="G1094">
        <v>8</v>
      </c>
      <c r="H1094" t="str">
        <f>IF(AND(G1094&gt;18, G1094&lt;65), "Valid", "Invalid")</f>
        <v>Invalid</v>
      </c>
      <c r="I1094" t="s">
        <v>53</v>
      </c>
      <c r="J1094" t="str">
        <f>PROPER(TRIM(I1094))</f>
        <v>Lagos</v>
      </c>
      <c r="K1094" t="s">
        <v>87</v>
      </c>
      <c r="L1094" t="str">
        <f>PROPER(TRIM(K1094))</f>
        <v>Groceris</v>
      </c>
      <c r="M1094" t="s">
        <v>49</v>
      </c>
      <c r="N1094" t="str">
        <f>PROPER(TRIM(M1094))</f>
        <v>Rice</v>
      </c>
      <c r="O1094">
        <v>207.91</v>
      </c>
      <c r="P1094">
        <v>-2</v>
      </c>
      <c r="Q1094">
        <f>IF(P1094&lt;1, 1, P1094)</f>
        <v>1</v>
      </c>
      <c r="R1094">
        <v>0</v>
      </c>
      <c r="S1094" t="str">
        <f>IF(OR(R1094&lt;0,R1094&gt;100),"invalid","Valid")</f>
        <v>Valid</v>
      </c>
      <c r="T1094" t="s">
        <v>64</v>
      </c>
      <c r="U1094" t="str">
        <f>PROPER(TRIM(T1094))</f>
        <v>Transfer</v>
      </c>
      <c r="V1094" t="s">
        <v>25</v>
      </c>
      <c r="W1094" t="str">
        <f t="shared" si="34"/>
        <v>Dan</v>
      </c>
      <c r="X1094" t="s">
        <v>26</v>
      </c>
      <c r="Z1094" t="str">
        <f>IF(D1094="", "Missing", "ok")</f>
        <v>ok</v>
      </c>
      <c r="AA1094">
        <f t="shared" si="35"/>
        <v>207.91</v>
      </c>
    </row>
    <row r="1095" spans="1:27" x14ac:dyDescent="0.25">
      <c r="A1095" t="s">
        <v>2759</v>
      </c>
      <c r="B1095" s="1" t="s">
        <v>2760</v>
      </c>
      <c r="C1095" t="s">
        <v>2761</v>
      </c>
      <c r="D1095" t="s">
        <v>101</v>
      </c>
      <c r="E1095" t="str">
        <f>PROPER(TRIM(D1095))</f>
        <v>Grace</v>
      </c>
      <c r="F1095" t="s">
        <v>20</v>
      </c>
      <c r="G1095">
        <v>130</v>
      </c>
      <c r="H1095" t="str">
        <f>IF(AND(G1095&gt;18, G1095&lt;65), "Valid", "Invalid")</f>
        <v>Invalid</v>
      </c>
      <c r="I1095" t="s">
        <v>53</v>
      </c>
      <c r="J1095" t="str">
        <f>PROPER(TRIM(I1095))</f>
        <v>Lagos</v>
      </c>
      <c r="K1095" t="s">
        <v>87</v>
      </c>
      <c r="L1095" t="str">
        <f>PROPER(TRIM(K1095))</f>
        <v>Groceris</v>
      </c>
      <c r="M1095" t="s">
        <v>49</v>
      </c>
      <c r="N1095" t="str">
        <f>PROPER(TRIM(M1095))</f>
        <v>Rice</v>
      </c>
      <c r="O1095">
        <v>402.71</v>
      </c>
      <c r="P1095">
        <v>-2</v>
      </c>
      <c r="Q1095">
        <f>IF(P1095&lt;1, 1, P1095)</f>
        <v>1</v>
      </c>
      <c r="R1095">
        <v>0</v>
      </c>
      <c r="S1095" t="str">
        <f>IF(OR(R1095&lt;0,R1095&gt;100),"invalid","Valid")</f>
        <v>Valid</v>
      </c>
      <c r="U1095" t="str">
        <f>PROPER(TRIM(T1095))</f>
        <v/>
      </c>
      <c r="V1095" t="s">
        <v>41</v>
      </c>
      <c r="W1095" t="str">
        <f t="shared" si="34"/>
        <v>Chi</v>
      </c>
      <c r="X1095" t="s">
        <v>26</v>
      </c>
      <c r="Y1095">
        <v>2</v>
      </c>
      <c r="Z1095" t="str">
        <f>IF(D1095="", "Missing", "ok")</f>
        <v>ok</v>
      </c>
      <c r="AA1095">
        <f t="shared" si="35"/>
        <v>402.71</v>
      </c>
    </row>
    <row r="1096" spans="1:27" x14ac:dyDescent="0.25">
      <c r="A1096" t="s">
        <v>2762</v>
      </c>
      <c r="B1096" s="1" t="s">
        <v>464</v>
      </c>
      <c r="C1096" t="s">
        <v>398</v>
      </c>
      <c r="D1096" t="s">
        <v>45</v>
      </c>
      <c r="E1096" t="str">
        <f>PROPER(TRIM(D1096))</f>
        <v>James</v>
      </c>
      <c r="F1096" t="s">
        <v>20</v>
      </c>
      <c r="G1096">
        <v>130</v>
      </c>
      <c r="H1096" t="str">
        <f>IF(AND(G1096&gt;18, G1096&lt;65), "Valid", "Invalid")</f>
        <v>Invalid</v>
      </c>
      <c r="I1096" t="s">
        <v>53</v>
      </c>
      <c r="J1096" t="str">
        <f>PROPER(TRIM(I1096))</f>
        <v>Lagos</v>
      </c>
      <c r="K1096" t="s">
        <v>87</v>
      </c>
      <c r="L1096" t="str">
        <f>PROPER(TRIM(K1096))</f>
        <v>Groceris</v>
      </c>
      <c r="M1096" t="s">
        <v>49</v>
      </c>
      <c r="N1096" t="str">
        <f>PROPER(TRIM(M1096))</f>
        <v>Rice</v>
      </c>
      <c r="O1096">
        <v>181.81</v>
      </c>
      <c r="P1096">
        <v>-2</v>
      </c>
      <c r="Q1096">
        <f>IF(P1096&lt;1, 1, P1096)</f>
        <v>1</v>
      </c>
      <c r="R1096">
        <v>0</v>
      </c>
      <c r="S1096" t="str">
        <f>IF(OR(R1096&lt;0,R1096&gt;100),"invalid","Valid")</f>
        <v>Valid</v>
      </c>
      <c r="T1096" t="s">
        <v>59</v>
      </c>
      <c r="U1096" t="str">
        <f>PROPER(TRIM(T1096))</f>
        <v>Mobile Money</v>
      </c>
      <c r="V1096" t="s">
        <v>25</v>
      </c>
      <c r="W1096" t="str">
        <f t="shared" si="34"/>
        <v>Dan</v>
      </c>
      <c r="X1096" t="s">
        <v>82</v>
      </c>
      <c r="Y1096">
        <v>3</v>
      </c>
      <c r="Z1096" t="str">
        <f>IF(D1096="", "Missing", "ok")</f>
        <v>ok</v>
      </c>
      <c r="AA1096">
        <f t="shared" si="35"/>
        <v>181.81</v>
      </c>
    </row>
    <row r="1097" spans="1:27" x14ac:dyDescent="0.25">
      <c r="A1097" t="s">
        <v>2763</v>
      </c>
      <c r="B1097" s="1" t="s">
        <v>2764</v>
      </c>
      <c r="C1097" t="s">
        <v>2765</v>
      </c>
      <c r="D1097" t="s">
        <v>69</v>
      </c>
      <c r="E1097" t="str">
        <f>PROPER(TRIM(D1097))</f>
        <v>Mary</v>
      </c>
      <c r="F1097" t="s">
        <v>46</v>
      </c>
      <c r="G1097">
        <v>8</v>
      </c>
      <c r="H1097" t="str">
        <f>IF(AND(G1097&gt;18, G1097&lt;65), "Valid", "Invalid")</f>
        <v>Invalid</v>
      </c>
      <c r="I1097" t="s">
        <v>47</v>
      </c>
      <c r="J1097" t="str">
        <f>PROPER(TRIM(I1097))</f>
        <v>Enugu</v>
      </c>
      <c r="K1097" t="s">
        <v>48</v>
      </c>
      <c r="L1097" t="str">
        <f>PROPER(TRIM(K1097))</f>
        <v>Groceries</v>
      </c>
      <c r="M1097" t="s">
        <v>49</v>
      </c>
      <c r="N1097" t="str">
        <f>PROPER(TRIM(M1097))</f>
        <v>Rice</v>
      </c>
      <c r="O1097">
        <v>106.42</v>
      </c>
      <c r="P1097">
        <v>4</v>
      </c>
      <c r="Q1097">
        <f>IF(P1097&lt;1, 1, P1097)</f>
        <v>4</v>
      </c>
      <c r="R1097">
        <v>0</v>
      </c>
      <c r="S1097" t="str">
        <f>IF(OR(R1097&lt;0,R1097&gt;100),"invalid","Valid")</f>
        <v>Valid</v>
      </c>
      <c r="T1097" t="s">
        <v>59</v>
      </c>
      <c r="U1097" t="str">
        <f>PROPER(TRIM(T1097))</f>
        <v>Mobile Money</v>
      </c>
      <c r="V1097" t="s">
        <v>91</v>
      </c>
      <c r="W1097" t="str">
        <f t="shared" si="34"/>
        <v>Ben</v>
      </c>
      <c r="X1097" t="s">
        <v>65</v>
      </c>
      <c r="Y1097">
        <v>3</v>
      </c>
      <c r="Z1097" t="str">
        <f>IF(D1097="", "Missing", "ok")</f>
        <v>ok</v>
      </c>
      <c r="AA1097">
        <f t="shared" si="35"/>
        <v>425.68</v>
      </c>
    </row>
    <row r="1098" spans="1:27" x14ac:dyDescent="0.25">
      <c r="A1098" t="s">
        <v>2766</v>
      </c>
      <c r="B1098" s="1" t="s">
        <v>788</v>
      </c>
      <c r="C1098" t="s">
        <v>2767</v>
      </c>
      <c r="D1098" t="s">
        <v>19</v>
      </c>
      <c r="E1098" t="str">
        <f>PROPER(TRIM(D1098))</f>
        <v>Peter</v>
      </c>
      <c r="F1098" t="s">
        <v>46</v>
      </c>
      <c r="G1098">
        <v>130</v>
      </c>
      <c r="H1098" t="str">
        <f>IF(AND(G1098&gt;18, G1098&lt;65), "Valid", "Invalid")</f>
        <v>Invalid</v>
      </c>
      <c r="I1098" t="s">
        <v>70</v>
      </c>
      <c r="J1098" t="str">
        <f>PROPER(TRIM(I1098))</f>
        <v>Abuja</v>
      </c>
      <c r="K1098" t="s">
        <v>48</v>
      </c>
      <c r="L1098" t="str">
        <f>PROPER(TRIM(K1098))</f>
        <v>Groceries</v>
      </c>
      <c r="M1098" t="s">
        <v>49</v>
      </c>
      <c r="N1098" t="str">
        <f>PROPER(TRIM(M1098))</f>
        <v>Rice</v>
      </c>
      <c r="O1098">
        <v>248.77</v>
      </c>
      <c r="P1098">
        <v>-2</v>
      </c>
      <c r="Q1098">
        <f>IF(P1098&lt;1, 1, P1098)</f>
        <v>1</v>
      </c>
      <c r="R1098">
        <v>-10</v>
      </c>
      <c r="S1098" t="str">
        <f>IF(OR(R1098&lt;0,R1098&gt;100),"invalid","Valid")</f>
        <v>invalid</v>
      </c>
      <c r="T1098" t="s">
        <v>24</v>
      </c>
      <c r="U1098" t="str">
        <f>PROPER(TRIM(T1098))</f>
        <v>Pos</v>
      </c>
      <c r="V1098" t="s">
        <v>81</v>
      </c>
      <c r="W1098" t="str">
        <f t="shared" si="34"/>
        <v>Ada</v>
      </c>
      <c r="X1098" t="s">
        <v>33</v>
      </c>
      <c r="Z1098" t="str">
        <f>IF(D1098="", "Missing", "ok")</f>
        <v>ok</v>
      </c>
      <c r="AA1098">
        <f t="shared" si="35"/>
        <v>273.64700000000005</v>
      </c>
    </row>
    <row r="1099" spans="1:27" x14ac:dyDescent="0.25">
      <c r="A1099" t="s">
        <v>2768</v>
      </c>
      <c r="B1099" s="1" t="s">
        <v>879</v>
      </c>
      <c r="C1099" t="s">
        <v>2769</v>
      </c>
      <c r="D1099" t="s">
        <v>37</v>
      </c>
      <c r="E1099" t="str">
        <f>PROPER(TRIM(D1099))</f>
        <v>Aisha</v>
      </c>
      <c r="F1099" t="s">
        <v>46</v>
      </c>
      <c r="G1099">
        <v>45</v>
      </c>
      <c r="H1099" t="str">
        <f>IF(AND(G1099&gt;18, G1099&lt;65), "Valid", "Invalid")</f>
        <v>Valid</v>
      </c>
      <c r="I1099" t="s">
        <v>38</v>
      </c>
      <c r="J1099" t="str">
        <f>PROPER(TRIM(I1099))</f>
        <v>Ph</v>
      </c>
      <c r="K1099" t="s">
        <v>39</v>
      </c>
      <c r="L1099" t="str">
        <f>PROPER(TRIM(K1099))</f>
        <v>Electronics</v>
      </c>
      <c r="M1099" t="s">
        <v>40</v>
      </c>
      <c r="N1099" t="str">
        <f>PROPER(TRIM(M1099))</f>
        <v>Phone</v>
      </c>
      <c r="O1099">
        <v>249.02</v>
      </c>
      <c r="P1099">
        <v>-2</v>
      </c>
      <c r="Q1099">
        <f>IF(P1099&lt;1, 1, P1099)</f>
        <v>1</v>
      </c>
      <c r="R1099">
        <v>5</v>
      </c>
      <c r="S1099" t="str">
        <f>IF(OR(R1099&lt;0,R1099&gt;100),"invalid","Valid")</f>
        <v>Valid</v>
      </c>
      <c r="T1099" t="s">
        <v>77</v>
      </c>
      <c r="U1099" t="str">
        <f>PROPER(TRIM(T1099))</f>
        <v>Cash</v>
      </c>
      <c r="V1099" t="s">
        <v>91</v>
      </c>
      <c r="W1099" t="str">
        <f t="shared" si="34"/>
        <v>Ben</v>
      </c>
      <c r="X1099" t="s">
        <v>82</v>
      </c>
      <c r="Y1099">
        <v>3</v>
      </c>
      <c r="Z1099" t="str">
        <f>IF(D1099="", "Missing", "ok")</f>
        <v>ok</v>
      </c>
      <c r="AA1099">
        <f t="shared" si="35"/>
        <v>236.56899999999999</v>
      </c>
    </row>
    <row r="1100" spans="1:27" x14ac:dyDescent="0.25">
      <c r="A1100" t="s">
        <v>2770</v>
      </c>
      <c r="B1100" s="1" t="s">
        <v>2056</v>
      </c>
      <c r="C1100" t="s">
        <v>2771</v>
      </c>
      <c r="E1100" t="str">
        <f>PROPER(TRIM(D1100))</f>
        <v/>
      </c>
      <c r="F1100" t="s">
        <v>20</v>
      </c>
      <c r="G1100">
        <v>28</v>
      </c>
      <c r="H1100" t="str">
        <f>IF(AND(G1100&gt;18, G1100&lt;65), "Valid", "Invalid")</f>
        <v>Valid</v>
      </c>
      <c r="I1100" t="s">
        <v>38</v>
      </c>
      <c r="J1100" t="str">
        <f>PROPER(TRIM(I1100))</f>
        <v>Ph</v>
      </c>
      <c r="K1100" t="s">
        <v>31</v>
      </c>
      <c r="L1100" t="str">
        <f>PROPER(TRIM(K1100))</f>
        <v>Sports</v>
      </c>
      <c r="M1100" t="s">
        <v>32</v>
      </c>
      <c r="N1100" t="str">
        <f>PROPER(TRIM(M1100))</f>
        <v>Ball</v>
      </c>
      <c r="O1100">
        <v>128.62</v>
      </c>
      <c r="P1100">
        <v>5</v>
      </c>
      <c r="Q1100">
        <f>IF(P1100&lt;1, 1, P1100)</f>
        <v>5</v>
      </c>
      <c r="R1100">
        <v>0</v>
      </c>
      <c r="S1100" t="str">
        <f>IF(OR(R1100&lt;0,R1100&gt;100),"invalid","Valid")</f>
        <v>Valid</v>
      </c>
      <c r="T1100" t="s">
        <v>77</v>
      </c>
      <c r="U1100" t="str">
        <f>PROPER(TRIM(T1100))</f>
        <v>Cash</v>
      </c>
      <c r="V1100" t="s">
        <v>81</v>
      </c>
      <c r="W1100" t="str">
        <f t="shared" si="34"/>
        <v>Ada</v>
      </c>
      <c r="X1100" t="s">
        <v>65</v>
      </c>
      <c r="Y1100">
        <v>1</v>
      </c>
      <c r="Z1100" t="str">
        <f>IF(D1100="", "Missing", "ok")</f>
        <v>Missing</v>
      </c>
      <c r="AA1100">
        <f t="shared" si="35"/>
        <v>643.1</v>
      </c>
    </row>
    <row r="1101" spans="1:27" x14ac:dyDescent="0.25">
      <c r="A1101" t="s">
        <v>2772</v>
      </c>
      <c r="B1101" s="1" t="s">
        <v>84</v>
      </c>
      <c r="C1101" t="s">
        <v>2773</v>
      </c>
      <c r="D1101" t="s">
        <v>19</v>
      </c>
      <c r="E1101" t="str">
        <f>PROPER(TRIM(D1101))</f>
        <v>Peter</v>
      </c>
      <c r="F1101" t="s">
        <v>20</v>
      </c>
      <c r="G1101">
        <v>8</v>
      </c>
      <c r="H1101" t="str">
        <f>IF(AND(G1101&gt;18, G1101&lt;65), "Valid", "Invalid")</f>
        <v>Invalid</v>
      </c>
      <c r="I1101" t="s">
        <v>86</v>
      </c>
      <c r="J1101" t="str">
        <f>PROPER(TRIM(I1101))</f>
        <v>Kano</v>
      </c>
      <c r="K1101" t="s">
        <v>54</v>
      </c>
      <c r="L1101" t="str">
        <f>PROPER(TRIM(K1101))</f>
        <v>Home</v>
      </c>
      <c r="M1101" t="s">
        <v>55</v>
      </c>
      <c r="N1101" t="str">
        <f>PROPER(TRIM(M1101))</f>
        <v>Chair</v>
      </c>
      <c r="O1101">
        <v>66.87</v>
      </c>
      <c r="P1101">
        <v>-2</v>
      </c>
      <c r="Q1101">
        <f>IF(P1101&lt;1, 1, P1101)</f>
        <v>1</v>
      </c>
      <c r="R1101">
        <v>5</v>
      </c>
      <c r="S1101" t="str">
        <f>IF(OR(R1101&lt;0,R1101&gt;100),"invalid","Valid")</f>
        <v>Valid</v>
      </c>
      <c r="T1101" t="s">
        <v>77</v>
      </c>
      <c r="U1101" t="str">
        <f>PROPER(TRIM(T1101))</f>
        <v>Cash</v>
      </c>
      <c r="V1101" t="s">
        <v>81</v>
      </c>
      <c r="W1101" t="str">
        <f t="shared" si="34"/>
        <v>Ada</v>
      </c>
      <c r="X1101" t="s">
        <v>82</v>
      </c>
      <c r="Y1101">
        <v>2</v>
      </c>
      <c r="Z1101" t="str">
        <f>IF(D1101="", "Missing", "ok")</f>
        <v>ok</v>
      </c>
      <c r="AA1101">
        <f t="shared" si="35"/>
        <v>63.526499999999999</v>
      </c>
    </row>
    <row r="1102" spans="1:27" x14ac:dyDescent="0.25">
      <c r="A1102" t="s">
        <v>2774</v>
      </c>
      <c r="B1102" s="1" t="s">
        <v>1860</v>
      </c>
      <c r="C1102" t="s">
        <v>2775</v>
      </c>
      <c r="D1102" t="s">
        <v>63</v>
      </c>
      <c r="E1102" t="str">
        <f>PROPER(TRIM(D1102))</f>
        <v>John</v>
      </c>
      <c r="F1102" t="s">
        <v>20</v>
      </c>
      <c r="G1102">
        <v>130</v>
      </c>
      <c r="H1102" t="str">
        <f>IF(AND(G1102&gt;18, G1102&lt;65), "Valid", "Invalid")</f>
        <v>Invalid</v>
      </c>
      <c r="I1102" t="s">
        <v>47</v>
      </c>
      <c r="J1102" t="str">
        <f>PROPER(TRIM(I1102))</f>
        <v>Enugu</v>
      </c>
      <c r="K1102" t="s">
        <v>39</v>
      </c>
      <c r="L1102" t="str">
        <f>PROPER(TRIM(K1102))</f>
        <v>Electronics</v>
      </c>
      <c r="M1102" t="s">
        <v>40</v>
      </c>
      <c r="N1102" t="str">
        <f>PROPER(TRIM(M1102))</f>
        <v>Phone</v>
      </c>
      <c r="O1102">
        <v>430.4</v>
      </c>
      <c r="P1102">
        <v>4</v>
      </c>
      <c r="Q1102">
        <f>IF(P1102&lt;1, 1, P1102)</f>
        <v>4</v>
      </c>
      <c r="R1102">
        <v>10</v>
      </c>
      <c r="S1102" t="str">
        <f>IF(OR(R1102&lt;0,R1102&gt;100),"invalid","Valid")</f>
        <v>Valid</v>
      </c>
      <c r="U1102" t="str">
        <f>PROPER(TRIM(T1102))</f>
        <v/>
      </c>
      <c r="V1102" t="s">
        <v>41</v>
      </c>
      <c r="W1102" t="str">
        <f t="shared" si="34"/>
        <v>Chi</v>
      </c>
      <c r="X1102" t="s">
        <v>26</v>
      </c>
      <c r="Y1102">
        <v>2</v>
      </c>
      <c r="Z1102" t="str">
        <f>IF(D1102="", "Missing", "ok")</f>
        <v>ok</v>
      </c>
      <c r="AA1102">
        <f t="shared" si="35"/>
        <v>1549.44</v>
      </c>
    </row>
    <row r="1103" spans="1:27" x14ac:dyDescent="0.25">
      <c r="A1103" t="s">
        <v>2776</v>
      </c>
      <c r="B1103" s="1" t="s">
        <v>1679</v>
      </c>
      <c r="C1103" t="s">
        <v>2777</v>
      </c>
      <c r="D1103" t="s">
        <v>101</v>
      </c>
      <c r="E1103" t="str">
        <f>PROPER(TRIM(D1103))</f>
        <v>Grace</v>
      </c>
      <c r="F1103" t="s">
        <v>20</v>
      </c>
      <c r="G1103">
        <v>47</v>
      </c>
      <c r="H1103" t="str">
        <f>IF(AND(G1103&gt;18, G1103&lt;65), "Valid", "Invalid")</f>
        <v>Valid</v>
      </c>
      <c r="I1103" t="s">
        <v>47</v>
      </c>
      <c r="J1103" t="str">
        <f>PROPER(TRIM(I1103))</f>
        <v>Enugu</v>
      </c>
      <c r="K1103" t="s">
        <v>87</v>
      </c>
      <c r="L1103" t="str">
        <f>PROPER(TRIM(K1103))</f>
        <v>Groceris</v>
      </c>
      <c r="M1103" t="s">
        <v>49</v>
      </c>
      <c r="N1103" t="str">
        <f>PROPER(TRIM(M1103))</f>
        <v>Rice</v>
      </c>
      <c r="O1103">
        <v>330.15</v>
      </c>
      <c r="P1103">
        <v>-2</v>
      </c>
      <c r="Q1103">
        <f>IF(P1103&lt;1, 1, P1103)</f>
        <v>1</v>
      </c>
      <c r="R1103">
        <v>0</v>
      </c>
      <c r="S1103" t="str">
        <f>IF(OR(R1103&lt;0,R1103&gt;100),"invalid","Valid")</f>
        <v>Valid</v>
      </c>
      <c r="T1103" t="s">
        <v>77</v>
      </c>
      <c r="U1103" t="str">
        <f>PROPER(TRIM(T1103))</f>
        <v>Cash</v>
      </c>
      <c r="V1103" t="s">
        <v>41</v>
      </c>
      <c r="W1103" t="str">
        <f t="shared" si="34"/>
        <v>Chi</v>
      </c>
      <c r="X1103" t="s">
        <v>33</v>
      </c>
      <c r="Y1103">
        <v>1</v>
      </c>
      <c r="Z1103" t="str">
        <f>IF(D1103="", "Missing", "ok")</f>
        <v>ok</v>
      </c>
      <c r="AA1103">
        <f t="shared" si="35"/>
        <v>330.15</v>
      </c>
    </row>
    <row r="1104" spans="1:27" x14ac:dyDescent="0.25">
      <c r="A1104" t="s">
        <v>2778</v>
      </c>
      <c r="B1104" s="1" t="s">
        <v>2040</v>
      </c>
      <c r="C1104" t="s">
        <v>2779</v>
      </c>
      <c r="E1104" t="str">
        <f>PROPER(TRIM(D1104))</f>
        <v/>
      </c>
      <c r="F1104" t="s">
        <v>46</v>
      </c>
      <c r="G1104">
        <v>45</v>
      </c>
      <c r="H1104" t="str">
        <f>IF(AND(G1104&gt;18, G1104&lt;65), "Valid", "Invalid")</f>
        <v>Valid</v>
      </c>
      <c r="I1104" t="s">
        <v>38</v>
      </c>
      <c r="J1104" t="str">
        <f>PROPER(TRIM(I1104))</f>
        <v>Ph</v>
      </c>
      <c r="K1104" t="s">
        <v>121</v>
      </c>
      <c r="L1104" t="str">
        <f>PROPER(TRIM(K1104))</f>
        <v>Beauty</v>
      </c>
      <c r="M1104" t="s">
        <v>122</v>
      </c>
      <c r="N1104" t="str">
        <f>PROPER(TRIM(M1104))</f>
        <v>Cream</v>
      </c>
      <c r="O1104">
        <v>87.22</v>
      </c>
      <c r="P1104">
        <v>-2</v>
      </c>
      <c r="Q1104">
        <f>IF(P1104&lt;1, 1, P1104)</f>
        <v>1</v>
      </c>
      <c r="R1104">
        <v>120</v>
      </c>
      <c r="S1104" t="str">
        <f>IF(OR(R1104&lt;0,R1104&gt;100),"invalid","Valid")</f>
        <v>invalid</v>
      </c>
      <c r="T1104" t="s">
        <v>77</v>
      </c>
      <c r="U1104" t="str">
        <f>PROPER(TRIM(T1104))</f>
        <v>Cash</v>
      </c>
      <c r="V1104" t="s">
        <v>41</v>
      </c>
      <c r="W1104" t="str">
        <f t="shared" si="34"/>
        <v>Chi</v>
      </c>
      <c r="X1104" t="s">
        <v>26</v>
      </c>
      <c r="Y1104">
        <v>5</v>
      </c>
      <c r="Z1104" t="str">
        <f>IF(D1104="", "Missing", "ok")</f>
        <v>Missing</v>
      </c>
      <c r="AA1104">
        <f t="shared" si="35"/>
        <v>-17.443999999999996</v>
      </c>
    </row>
    <row r="1105" spans="1:27" x14ac:dyDescent="0.25">
      <c r="A1105" t="s">
        <v>2780</v>
      </c>
      <c r="B1105" s="1" t="s">
        <v>2781</v>
      </c>
      <c r="C1105" t="s">
        <v>2782</v>
      </c>
      <c r="D1105" t="s">
        <v>45</v>
      </c>
      <c r="E1105" t="str">
        <f>PROPER(TRIM(D1105))</f>
        <v>James</v>
      </c>
      <c r="F1105" t="s">
        <v>20</v>
      </c>
      <c r="G1105">
        <v>57</v>
      </c>
      <c r="H1105" t="str">
        <f>IF(AND(G1105&gt;18, G1105&lt;65), "Valid", "Invalid")</f>
        <v>Valid</v>
      </c>
      <c r="I1105" t="s">
        <v>86</v>
      </c>
      <c r="J1105" t="str">
        <f>PROPER(TRIM(I1105))</f>
        <v>Kano</v>
      </c>
      <c r="K1105" t="s">
        <v>87</v>
      </c>
      <c r="L1105" t="str">
        <f>PROPER(TRIM(K1105))</f>
        <v>Groceris</v>
      </c>
      <c r="M1105" t="s">
        <v>49</v>
      </c>
      <c r="N1105" t="str">
        <f>PROPER(TRIM(M1105))</f>
        <v>Rice</v>
      </c>
      <c r="O1105">
        <v>140.63999999999999</v>
      </c>
      <c r="P1105">
        <v>1</v>
      </c>
      <c r="Q1105">
        <f>IF(P1105&lt;1, 1, P1105)</f>
        <v>1</v>
      </c>
      <c r="R1105">
        <v>10</v>
      </c>
      <c r="S1105" t="str">
        <f>IF(OR(R1105&lt;0,R1105&gt;100),"invalid","Valid")</f>
        <v>Valid</v>
      </c>
      <c r="T1105" t="s">
        <v>59</v>
      </c>
      <c r="U1105" t="str">
        <f>PROPER(TRIM(T1105))</f>
        <v>Mobile Money</v>
      </c>
      <c r="V1105" t="s">
        <v>41</v>
      </c>
      <c r="W1105" t="str">
        <f t="shared" si="34"/>
        <v>Chi</v>
      </c>
      <c r="X1105" t="s">
        <v>65</v>
      </c>
      <c r="Y1105">
        <v>5</v>
      </c>
      <c r="Z1105" t="str">
        <f>IF(D1105="", "Missing", "ok")</f>
        <v>ok</v>
      </c>
      <c r="AA1105">
        <f t="shared" si="35"/>
        <v>126.57599999999999</v>
      </c>
    </row>
    <row r="1106" spans="1:27" x14ac:dyDescent="0.25">
      <c r="A1106" t="s">
        <v>2783</v>
      </c>
      <c r="B1106" s="1" t="s">
        <v>178</v>
      </c>
      <c r="C1106" t="s">
        <v>2784</v>
      </c>
      <c r="D1106" t="s">
        <v>117</v>
      </c>
      <c r="E1106" t="str">
        <f>PROPER(TRIM(D1106))</f>
        <v>David</v>
      </c>
      <c r="F1106" t="s">
        <v>20</v>
      </c>
      <c r="G1106">
        <v>130</v>
      </c>
      <c r="H1106" t="str">
        <f>IF(AND(G1106&gt;18, G1106&lt;65), "Valid", "Invalid")</f>
        <v>Invalid</v>
      </c>
      <c r="I1106" t="s">
        <v>47</v>
      </c>
      <c r="J1106" t="str">
        <f>PROPER(TRIM(I1106))</f>
        <v>Enugu</v>
      </c>
      <c r="K1106" t="s">
        <v>121</v>
      </c>
      <c r="L1106" t="str">
        <f>PROPER(TRIM(K1106))</f>
        <v>Beauty</v>
      </c>
      <c r="M1106" t="s">
        <v>122</v>
      </c>
      <c r="N1106" t="str">
        <f>PROPER(TRIM(M1106))</f>
        <v>Cream</v>
      </c>
      <c r="O1106">
        <v>372.97</v>
      </c>
      <c r="P1106">
        <v>-2</v>
      </c>
      <c r="Q1106">
        <f>IF(P1106&lt;1, 1, P1106)</f>
        <v>1</v>
      </c>
      <c r="R1106">
        <v>120</v>
      </c>
      <c r="S1106" t="str">
        <f>IF(OR(R1106&lt;0,R1106&gt;100),"invalid","Valid")</f>
        <v>invalid</v>
      </c>
      <c r="T1106" t="s">
        <v>64</v>
      </c>
      <c r="U1106" t="str">
        <f>PROPER(TRIM(T1106))</f>
        <v>Transfer</v>
      </c>
      <c r="V1106" t="s">
        <v>81</v>
      </c>
      <c r="W1106" t="str">
        <f t="shared" si="34"/>
        <v>Ada</v>
      </c>
      <c r="X1106" t="s">
        <v>26</v>
      </c>
      <c r="Z1106" t="str">
        <f>IF(D1106="", "Missing", "ok")</f>
        <v>ok</v>
      </c>
      <c r="AA1106">
        <f t="shared" si="35"/>
        <v>-74.593999999999994</v>
      </c>
    </row>
    <row r="1107" spans="1:27" x14ac:dyDescent="0.25">
      <c r="A1107" t="s">
        <v>2785</v>
      </c>
      <c r="B1107" s="1" t="s">
        <v>2786</v>
      </c>
      <c r="C1107" t="s">
        <v>2787</v>
      </c>
      <c r="D1107" t="s">
        <v>101</v>
      </c>
      <c r="E1107" t="str">
        <f>PROPER(TRIM(D1107))</f>
        <v>Grace</v>
      </c>
      <c r="F1107" t="s">
        <v>20</v>
      </c>
      <c r="G1107">
        <v>130</v>
      </c>
      <c r="H1107" t="str">
        <f>IF(AND(G1107&gt;18, G1107&lt;65), "Valid", "Invalid")</f>
        <v>Invalid</v>
      </c>
      <c r="I1107" t="s">
        <v>53</v>
      </c>
      <c r="J1107" t="str">
        <f>PROPER(TRIM(I1107))</f>
        <v>Lagos</v>
      </c>
      <c r="K1107" t="s">
        <v>121</v>
      </c>
      <c r="L1107" t="str">
        <f>PROPER(TRIM(K1107))</f>
        <v>Beauty</v>
      </c>
      <c r="M1107" t="s">
        <v>122</v>
      </c>
      <c r="N1107" t="str">
        <f>PROPER(TRIM(M1107))</f>
        <v>Cream</v>
      </c>
      <c r="O1107">
        <v>158.04</v>
      </c>
      <c r="P1107">
        <v>6</v>
      </c>
      <c r="Q1107">
        <f>IF(P1107&lt;1, 1, P1107)</f>
        <v>6</v>
      </c>
      <c r="R1107">
        <v>10</v>
      </c>
      <c r="S1107" t="str">
        <f>IF(OR(R1107&lt;0,R1107&gt;100),"invalid","Valid")</f>
        <v>Valid</v>
      </c>
      <c r="T1107" t="s">
        <v>59</v>
      </c>
      <c r="U1107" t="str">
        <f>PROPER(TRIM(T1107))</f>
        <v>Mobile Money</v>
      </c>
      <c r="V1107" t="s">
        <v>91</v>
      </c>
      <c r="W1107" t="str">
        <f t="shared" si="34"/>
        <v>Ben</v>
      </c>
      <c r="X1107" t="s">
        <v>82</v>
      </c>
      <c r="Y1107">
        <v>5</v>
      </c>
      <c r="Z1107" t="str">
        <f>IF(D1107="", "Missing", "ok")</f>
        <v>ok</v>
      </c>
      <c r="AA1107">
        <f t="shared" si="35"/>
        <v>853.41600000000005</v>
      </c>
    </row>
    <row r="1108" spans="1:27" x14ac:dyDescent="0.25">
      <c r="A1108" t="s">
        <v>2788</v>
      </c>
      <c r="B1108" s="1" t="s">
        <v>807</v>
      </c>
      <c r="C1108" t="s">
        <v>2789</v>
      </c>
      <c r="D1108" t="s">
        <v>69</v>
      </c>
      <c r="E1108" t="str">
        <f>PROPER(TRIM(D1108))</f>
        <v>Mary</v>
      </c>
      <c r="F1108" t="s">
        <v>46</v>
      </c>
      <c r="G1108">
        <v>8</v>
      </c>
      <c r="H1108" t="str">
        <f>IF(AND(G1108&gt;18, G1108&lt;65), "Valid", "Invalid")</f>
        <v>Invalid</v>
      </c>
      <c r="I1108" t="s">
        <v>70</v>
      </c>
      <c r="J1108" t="str">
        <f>PROPER(TRIM(I1108))</f>
        <v>Abuja</v>
      </c>
      <c r="K1108" t="s">
        <v>48</v>
      </c>
      <c r="L1108" t="str">
        <f>PROPER(TRIM(K1108))</f>
        <v>Groceries</v>
      </c>
      <c r="M1108" t="s">
        <v>49</v>
      </c>
      <c r="N1108" t="str">
        <f>PROPER(TRIM(M1108))</f>
        <v>Rice</v>
      </c>
      <c r="O1108">
        <v>458.92</v>
      </c>
      <c r="P1108">
        <v>-2</v>
      </c>
      <c r="Q1108">
        <f>IF(P1108&lt;1, 1, P1108)</f>
        <v>1</v>
      </c>
      <c r="R1108">
        <v>10</v>
      </c>
      <c r="S1108" t="str">
        <f>IF(OR(R1108&lt;0,R1108&gt;100),"invalid","Valid")</f>
        <v>Valid</v>
      </c>
      <c r="T1108" t="s">
        <v>59</v>
      </c>
      <c r="U1108" t="str">
        <f>PROPER(TRIM(T1108))</f>
        <v>Mobile Money</v>
      </c>
      <c r="V1108" t="s">
        <v>25</v>
      </c>
      <c r="W1108" t="str">
        <f t="shared" si="34"/>
        <v>Dan</v>
      </c>
      <c r="X1108" t="s">
        <v>26</v>
      </c>
      <c r="Y1108">
        <v>2</v>
      </c>
      <c r="Z1108" t="str">
        <f>IF(D1108="", "Missing", "ok")</f>
        <v>ok</v>
      </c>
      <c r="AA1108">
        <f t="shared" si="35"/>
        <v>413.02800000000002</v>
      </c>
    </row>
    <row r="1109" spans="1:27" x14ac:dyDescent="0.25">
      <c r="A1109" t="s">
        <v>2790</v>
      </c>
      <c r="B1109" s="1" t="s">
        <v>2791</v>
      </c>
      <c r="C1109" t="s">
        <v>2792</v>
      </c>
      <c r="D1109" t="s">
        <v>19</v>
      </c>
      <c r="E1109" t="str">
        <f>PROPER(TRIM(D1109))</f>
        <v>Peter</v>
      </c>
      <c r="F1109" t="s">
        <v>20</v>
      </c>
      <c r="G1109">
        <v>130</v>
      </c>
      <c r="H1109" t="str">
        <f>IF(AND(G1109&gt;18, G1109&lt;65), "Valid", "Invalid")</f>
        <v>Invalid</v>
      </c>
      <c r="I1109" t="s">
        <v>21</v>
      </c>
      <c r="J1109" t="str">
        <f>PROPER(TRIM(I1109))</f>
        <v>Lagos</v>
      </c>
      <c r="K1109" t="s">
        <v>48</v>
      </c>
      <c r="L1109" t="str">
        <f>PROPER(TRIM(K1109))</f>
        <v>Groceries</v>
      </c>
      <c r="M1109" t="s">
        <v>49</v>
      </c>
      <c r="N1109" t="str">
        <f>PROPER(TRIM(M1109))</f>
        <v>Rice</v>
      </c>
      <c r="O1109">
        <v>389.79</v>
      </c>
      <c r="P1109">
        <v>-2</v>
      </c>
      <c r="Q1109">
        <f>IF(P1109&lt;1, 1, P1109)</f>
        <v>1</v>
      </c>
      <c r="R1109">
        <v>-10</v>
      </c>
      <c r="S1109" t="str">
        <f>IF(OR(R1109&lt;0,R1109&gt;100),"invalid","Valid")</f>
        <v>invalid</v>
      </c>
      <c r="T1109" t="s">
        <v>77</v>
      </c>
      <c r="U1109" t="str">
        <f>PROPER(TRIM(T1109))</f>
        <v>Cash</v>
      </c>
      <c r="V1109" t="s">
        <v>41</v>
      </c>
      <c r="W1109" t="str">
        <f t="shared" si="34"/>
        <v>Chi</v>
      </c>
      <c r="X1109" t="s">
        <v>65</v>
      </c>
      <c r="Z1109" t="str">
        <f>IF(D1109="", "Missing", "ok")</f>
        <v>ok</v>
      </c>
      <c r="AA1109">
        <f t="shared" si="35"/>
        <v>428.76900000000006</v>
      </c>
    </row>
    <row r="1110" spans="1:27" x14ac:dyDescent="0.25">
      <c r="A1110" t="s">
        <v>2793</v>
      </c>
      <c r="B1110" s="1" t="s">
        <v>2455</v>
      </c>
      <c r="C1110" t="s">
        <v>2794</v>
      </c>
      <c r="D1110" t="s">
        <v>19</v>
      </c>
      <c r="E1110" t="str">
        <f>PROPER(TRIM(D1110))</f>
        <v>Peter</v>
      </c>
      <c r="F1110" t="s">
        <v>20</v>
      </c>
      <c r="G1110">
        <v>130</v>
      </c>
      <c r="H1110" t="str">
        <f>IF(AND(G1110&gt;18, G1110&lt;65), "Valid", "Invalid")</f>
        <v>Invalid</v>
      </c>
      <c r="I1110" t="s">
        <v>38</v>
      </c>
      <c r="J1110" t="str">
        <f>PROPER(TRIM(I1110))</f>
        <v>Ph</v>
      </c>
      <c r="K1110" t="s">
        <v>48</v>
      </c>
      <c r="L1110" t="str">
        <f>PROPER(TRIM(K1110))</f>
        <v>Groceries</v>
      </c>
      <c r="M1110" t="s">
        <v>49</v>
      </c>
      <c r="N1110" t="str">
        <f>PROPER(TRIM(M1110))</f>
        <v>Rice</v>
      </c>
      <c r="O1110">
        <v>35.67</v>
      </c>
      <c r="P1110">
        <v>8</v>
      </c>
      <c r="Q1110">
        <f>IF(P1110&lt;1, 1, P1110)</f>
        <v>8</v>
      </c>
      <c r="R1110">
        <v>120</v>
      </c>
      <c r="S1110" t="str">
        <f>IF(OR(R1110&lt;0,R1110&gt;100),"invalid","Valid")</f>
        <v>invalid</v>
      </c>
      <c r="T1110" t="s">
        <v>77</v>
      </c>
      <c r="U1110" t="str">
        <f>PROPER(TRIM(T1110))</f>
        <v>Cash</v>
      </c>
      <c r="V1110" t="s">
        <v>81</v>
      </c>
      <c r="W1110" t="str">
        <f t="shared" si="34"/>
        <v>Ada</v>
      </c>
      <c r="X1110" t="s">
        <v>33</v>
      </c>
      <c r="Y1110">
        <v>3</v>
      </c>
      <c r="Z1110" t="str">
        <f>IF(D1110="", "Missing", "ok")</f>
        <v>ok</v>
      </c>
      <c r="AA1110">
        <f t="shared" si="35"/>
        <v>-57.071999999999989</v>
      </c>
    </row>
    <row r="1111" spans="1:27" x14ac:dyDescent="0.25">
      <c r="A1111" t="s">
        <v>2795</v>
      </c>
      <c r="B1111" s="1" t="s">
        <v>2796</v>
      </c>
      <c r="C1111" t="s">
        <v>2797</v>
      </c>
      <c r="D1111" t="s">
        <v>63</v>
      </c>
      <c r="E1111" t="str">
        <f>PROPER(TRIM(D1111))</f>
        <v>John</v>
      </c>
      <c r="F1111" t="s">
        <v>46</v>
      </c>
      <c r="G1111">
        <v>44</v>
      </c>
      <c r="H1111" t="str">
        <f>IF(AND(G1111&gt;18, G1111&lt;65), "Valid", "Invalid")</f>
        <v>Valid</v>
      </c>
      <c r="I1111" t="s">
        <v>53</v>
      </c>
      <c r="J1111" t="str">
        <f>PROPER(TRIM(I1111))</f>
        <v>Lagos</v>
      </c>
      <c r="K1111" t="s">
        <v>54</v>
      </c>
      <c r="L1111" t="str">
        <f>PROPER(TRIM(K1111))</f>
        <v>Home</v>
      </c>
      <c r="M1111" t="s">
        <v>55</v>
      </c>
      <c r="N1111" t="str">
        <f>PROPER(TRIM(M1111))</f>
        <v>Chair</v>
      </c>
      <c r="O1111">
        <v>181.35</v>
      </c>
      <c r="P1111">
        <v>2</v>
      </c>
      <c r="Q1111">
        <f>IF(P1111&lt;1, 1, P1111)</f>
        <v>2</v>
      </c>
      <c r="R1111">
        <v>5</v>
      </c>
      <c r="S1111" t="str">
        <f>IF(OR(R1111&lt;0,R1111&gt;100),"invalid","Valid")</f>
        <v>Valid</v>
      </c>
      <c r="T1111" t="s">
        <v>64</v>
      </c>
      <c r="U1111" t="str">
        <f>PROPER(TRIM(T1111))</f>
        <v>Transfer</v>
      </c>
      <c r="V1111" t="s">
        <v>91</v>
      </c>
      <c r="W1111" t="str">
        <f t="shared" si="34"/>
        <v>Ben</v>
      </c>
      <c r="X1111" t="s">
        <v>65</v>
      </c>
      <c r="Y1111">
        <v>4</v>
      </c>
      <c r="Z1111" t="str">
        <f>IF(D1111="", "Missing", "ok")</f>
        <v>ok</v>
      </c>
      <c r="AA1111">
        <f t="shared" si="35"/>
        <v>344.565</v>
      </c>
    </row>
    <row r="1112" spans="1:27" x14ac:dyDescent="0.25">
      <c r="A1112" t="s">
        <v>2798</v>
      </c>
      <c r="B1112" s="1" t="s">
        <v>1935</v>
      </c>
      <c r="C1112" t="s">
        <v>826</v>
      </c>
      <c r="D1112" t="s">
        <v>45</v>
      </c>
      <c r="E1112" t="str">
        <f>PROPER(TRIM(D1112))</f>
        <v>James</v>
      </c>
      <c r="F1112" t="s">
        <v>20</v>
      </c>
      <c r="G1112">
        <v>47</v>
      </c>
      <c r="H1112" t="str">
        <f>IF(AND(G1112&gt;18, G1112&lt;65), "Valid", "Invalid")</f>
        <v>Valid</v>
      </c>
      <c r="I1112" t="s">
        <v>30</v>
      </c>
      <c r="J1112" t="str">
        <f>PROPER(TRIM(I1112))</f>
        <v>Lagos</v>
      </c>
      <c r="K1112" t="s">
        <v>121</v>
      </c>
      <c r="L1112" t="str">
        <f>PROPER(TRIM(K1112))</f>
        <v>Beauty</v>
      </c>
      <c r="M1112" t="s">
        <v>122</v>
      </c>
      <c r="N1112" t="str">
        <f>PROPER(TRIM(M1112))</f>
        <v>Cream</v>
      </c>
      <c r="O1112">
        <v>203.55</v>
      </c>
      <c r="P1112">
        <v>-2</v>
      </c>
      <c r="Q1112">
        <f>IF(P1112&lt;1, 1, P1112)</f>
        <v>1</v>
      </c>
      <c r="R1112">
        <v>15</v>
      </c>
      <c r="S1112" t="str">
        <f>IF(OR(R1112&lt;0,R1112&gt;100),"invalid","Valid")</f>
        <v>Valid</v>
      </c>
      <c r="T1112" t="s">
        <v>24</v>
      </c>
      <c r="U1112" t="str">
        <f>PROPER(TRIM(T1112))</f>
        <v>Pos</v>
      </c>
      <c r="V1112" t="s">
        <v>25</v>
      </c>
      <c r="W1112" t="str">
        <f t="shared" si="34"/>
        <v>Dan</v>
      </c>
      <c r="X1112" t="s">
        <v>65</v>
      </c>
      <c r="Y1112">
        <v>5</v>
      </c>
      <c r="Z1112" t="str">
        <f>IF(D1112="", "Missing", "ok")</f>
        <v>ok</v>
      </c>
      <c r="AA1112">
        <f t="shared" si="35"/>
        <v>173.01750000000001</v>
      </c>
    </row>
    <row r="1113" spans="1:27" x14ac:dyDescent="0.25">
      <c r="A1113" t="s">
        <v>2799</v>
      </c>
      <c r="B1113" s="1" t="s">
        <v>2800</v>
      </c>
      <c r="C1113" t="s">
        <v>2801</v>
      </c>
      <c r="D1113" t="s">
        <v>117</v>
      </c>
      <c r="E1113" t="str">
        <f>PROPER(TRIM(D1113))</f>
        <v>David</v>
      </c>
      <c r="F1113" t="s">
        <v>46</v>
      </c>
      <c r="G1113">
        <v>8</v>
      </c>
      <c r="H1113" t="str">
        <f>IF(AND(G1113&gt;18, G1113&lt;65), "Valid", "Invalid")</f>
        <v>Invalid</v>
      </c>
      <c r="I1113" t="s">
        <v>30</v>
      </c>
      <c r="J1113" t="str">
        <f>PROPER(TRIM(I1113))</f>
        <v>Lagos</v>
      </c>
      <c r="K1113" t="s">
        <v>31</v>
      </c>
      <c r="L1113" t="str">
        <f>PROPER(TRIM(K1113))</f>
        <v>Sports</v>
      </c>
      <c r="M1113" t="s">
        <v>32</v>
      </c>
      <c r="N1113" t="str">
        <f>PROPER(TRIM(M1113))</f>
        <v>Ball</v>
      </c>
      <c r="O1113">
        <v>234.41</v>
      </c>
      <c r="P1113">
        <v>2</v>
      </c>
      <c r="Q1113">
        <f>IF(P1113&lt;1, 1, P1113)</f>
        <v>2</v>
      </c>
      <c r="R1113">
        <v>-10</v>
      </c>
      <c r="S1113" t="str">
        <f>IF(OR(R1113&lt;0,R1113&gt;100),"invalid","Valid")</f>
        <v>invalid</v>
      </c>
      <c r="T1113" t="s">
        <v>64</v>
      </c>
      <c r="U1113" t="str">
        <f>PROPER(TRIM(T1113))</f>
        <v>Transfer</v>
      </c>
      <c r="V1113" t="s">
        <v>91</v>
      </c>
      <c r="W1113" t="str">
        <f t="shared" si="34"/>
        <v>Ben</v>
      </c>
      <c r="X1113" t="s">
        <v>33</v>
      </c>
      <c r="Y1113">
        <v>2</v>
      </c>
      <c r="Z1113" t="str">
        <f>IF(D1113="", "Missing", "ok")</f>
        <v>ok</v>
      </c>
      <c r="AA1113">
        <f t="shared" si="35"/>
        <v>515.702</v>
      </c>
    </row>
    <row r="1114" spans="1:27" x14ac:dyDescent="0.25">
      <c r="A1114" t="s">
        <v>2802</v>
      </c>
      <c r="B1114" s="1" t="s">
        <v>2175</v>
      </c>
      <c r="C1114" t="s">
        <v>2803</v>
      </c>
      <c r="D1114" t="s">
        <v>117</v>
      </c>
      <c r="E1114" t="str">
        <f>PROPER(TRIM(D1114))</f>
        <v>David</v>
      </c>
      <c r="F1114" t="s">
        <v>46</v>
      </c>
      <c r="G1114">
        <v>8</v>
      </c>
      <c r="H1114" t="str">
        <f>IF(AND(G1114&gt;18, G1114&lt;65), "Valid", "Invalid")</f>
        <v>Invalid</v>
      </c>
      <c r="I1114" t="s">
        <v>70</v>
      </c>
      <c r="J1114" t="str">
        <f>PROPER(TRIM(I1114))</f>
        <v>Abuja</v>
      </c>
      <c r="K1114" t="s">
        <v>54</v>
      </c>
      <c r="L1114" t="str">
        <f>PROPER(TRIM(K1114))</f>
        <v>Home</v>
      </c>
      <c r="M1114" t="s">
        <v>55</v>
      </c>
      <c r="N1114" t="str">
        <f>PROPER(TRIM(M1114))</f>
        <v>Chair</v>
      </c>
      <c r="O1114">
        <v>328.22</v>
      </c>
      <c r="P1114">
        <v>-2</v>
      </c>
      <c r="Q1114">
        <f>IF(P1114&lt;1, 1, P1114)</f>
        <v>1</v>
      </c>
      <c r="R1114">
        <v>0</v>
      </c>
      <c r="S1114" t="str">
        <f>IF(OR(R1114&lt;0,R1114&gt;100),"invalid","Valid")</f>
        <v>Valid</v>
      </c>
      <c r="U1114" t="str">
        <f>PROPER(TRIM(T1114))</f>
        <v/>
      </c>
      <c r="V1114" t="s">
        <v>25</v>
      </c>
      <c r="W1114" t="str">
        <f t="shared" si="34"/>
        <v>Dan</v>
      </c>
      <c r="X1114" t="s">
        <v>82</v>
      </c>
      <c r="Y1114">
        <v>3</v>
      </c>
      <c r="Z1114" t="str">
        <f>IF(D1114="", "Missing", "ok")</f>
        <v>ok</v>
      </c>
      <c r="AA1114">
        <f t="shared" si="35"/>
        <v>328.22</v>
      </c>
    </row>
    <row r="1115" spans="1:27" x14ac:dyDescent="0.25">
      <c r="A1115" t="s">
        <v>2804</v>
      </c>
      <c r="B1115" s="1" t="s">
        <v>2040</v>
      </c>
      <c r="C1115" t="s">
        <v>2805</v>
      </c>
      <c r="D1115" t="s">
        <v>117</v>
      </c>
      <c r="E1115" t="str">
        <f>PROPER(TRIM(D1115))</f>
        <v>David</v>
      </c>
      <c r="F1115" t="s">
        <v>20</v>
      </c>
      <c r="G1115">
        <v>130</v>
      </c>
      <c r="H1115" t="str">
        <f>IF(AND(G1115&gt;18, G1115&lt;65), "Valid", "Invalid")</f>
        <v>Invalid</v>
      </c>
      <c r="I1115" t="s">
        <v>21</v>
      </c>
      <c r="J1115" t="str">
        <f>PROPER(TRIM(I1115))</f>
        <v>Lagos</v>
      </c>
      <c r="K1115" t="s">
        <v>48</v>
      </c>
      <c r="L1115" t="str">
        <f>PROPER(TRIM(K1115))</f>
        <v>Groceries</v>
      </c>
      <c r="M1115" t="s">
        <v>49</v>
      </c>
      <c r="N1115" t="str">
        <f>PROPER(TRIM(M1115))</f>
        <v>Rice</v>
      </c>
      <c r="O1115">
        <v>469.16</v>
      </c>
      <c r="P1115">
        <v>9</v>
      </c>
      <c r="Q1115">
        <f>IF(P1115&lt;1, 1, P1115)</f>
        <v>9</v>
      </c>
      <c r="R1115">
        <v>15</v>
      </c>
      <c r="S1115" t="str">
        <f>IF(OR(R1115&lt;0,R1115&gt;100),"invalid","Valid")</f>
        <v>Valid</v>
      </c>
      <c r="T1115" t="s">
        <v>59</v>
      </c>
      <c r="U1115" t="str">
        <f>PROPER(TRIM(T1115))</f>
        <v>Mobile Money</v>
      </c>
      <c r="V1115" t="s">
        <v>91</v>
      </c>
      <c r="W1115" t="str">
        <f t="shared" si="34"/>
        <v>Ben</v>
      </c>
      <c r="X1115" t="s">
        <v>33</v>
      </c>
      <c r="Y1115">
        <v>2</v>
      </c>
      <c r="Z1115" t="str">
        <f>IF(D1115="", "Missing", "ok")</f>
        <v>ok</v>
      </c>
      <c r="AA1115">
        <f t="shared" si="35"/>
        <v>3589.0740000000005</v>
      </c>
    </row>
    <row r="1116" spans="1:27" x14ac:dyDescent="0.25">
      <c r="A1116" t="s">
        <v>2806</v>
      </c>
      <c r="B1116" s="1" t="s">
        <v>2807</v>
      </c>
      <c r="C1116" t="s">
        <v>2808</v>
      </c>
      <c r="D1116" t="s">
        <v>69</v>
      </c>
      <c r="E1116" t="str">
        <f>PROPER(TRIM(D1116))</f>
        <v>Mary</v>
      </c>
      <c r="F1116" t="s">
        <v>20</v>
      </c>
      <c r="G1116">
        <v>130</v>
      </c>
      <c r="H1116" t="str">
        <f>IF(AND(G1116&gt;18, G1116&lt;65), "Valid", "Invalid")</f>
        <v>Invalid</v>
      </c>
      <c r="I1116" t="s">
        <v>38</v>
      </c>
      <c r="J1116" t="str">
        <f>PROPER(TRIM(I1116))</f>
        <v>Ph</v>
      </c>
      <c r="K1116" t="s">
        <v>121</v>
      </c>
      <c r="L1116" t="str">
        <f>PROPER(TRIM(K1116))</f>
        <v>Beauty</v>
      </c>
      <c r="M1116" t="s">
        <v>122</v>
      </c>
      <c r="N1116" t="str">
        <f>PROPER(TRIM(M1116))</f>
        <v>Cream</v>
      </c>
      <c r="O1116">
        <v>269.55</v>
      </c>
      <c r="P1116">
        <v>4</v>
      </c>
      <c r="Q1116">
        <f>IF(P1116&lt;1, 1, P1116)</f>
        <v>4</v>
      </c>
      <c r="R1116">
        <v>120</v>
      </c>
      <c r="S1116" t="str">
        <f>IF(OR(R1116&lt;0,R1116&gt;100),"invalid","Valid")</f>
        <v>invalid</v>
      </c>
      <c r="T1116" t="s">
        <v>24</v>
      </c>
      <c r="U1116" t="str">
        <f>PROPER(TRIM(T1116))</f>
        <v>Pos</v>
      </c>
      <c r="V1116" t="s">
        <v>81</v>
      </c>
      <c r="W1116" t="str">
        <f t="shared" si="34"/>
        <v>Ada</v>
      </c>
      <c r="X1116" t="s">
        <v>33</v>
      </c>
      <c r="Z1116" t="str">
        <f>IF(D1116="", "Missing", "ok")</f>
        <v>ok</v>
      </c>
      <c r="AA1116">
        <f t="shared" si="35"/>
        <v>-215.63999999999996</v>
      </c>
    </row>
    <row r="1117" spans="1:27" x14ac:dyDescent="0.25">
      <c r="A1117" t="s">
        <v>2809</v>
      </c>
      <c r="B1117" s="1" t="s">
        <v>2796</v>
      </c>
      <c r="C1117" t="s">
        <v>2810</v>
      </c>
      <c r="D1117" t="s">
        <v>63</v>
      </c>
      <c r="E1117" t="str">
        <f>PROPER(TRIM(D1117))</f>
        <v>John</v>
      </c>
      <c r="F1117" t="s">
        <v>20</v>
      </c>
      <c r="G1117">
        <v>130</v>
      </c>
      <c r="H1117" t="str">
        <f>IF(AND(G1117&gt;18, G1117&lt;65), "Valid", "Invalid")</f>
        <v>Invalid</v>
      </c>
      <c r="I1117" t="s">
        <v>21</v>
      </c>
      <c r="J1117" t="str">
        <f>PROPER(TRIM(I1117))</f>
        <v>Lagos</v>
      </c>
      <c r="K1117" t="s">
        <v>48</v>
      </c>
      <c r="L1117" t="str">
        <f>PROPER(TRIM(K1117))</f>
        <v>Groceries</v>
      </c>
      <c r="M1117" t="s">
        <v>49</v>
      </c>
      <c r="N1117" t="str">
        <f>PROPER(TRIM(M1117))</f>
        <v>Rice</v>
      </c>
      <c r="O1117">
        <v>255.06</v>
      </c>
      <c r="P1117">
        <v>-2</v>
      </c>
      <c r="Q1117">
        <f>IF(P1117&lt;1, 1, P1117)</f>
        <v>1</v>
      </c>
      <c r="R1117">
        <v>-10</v>
      </c>
      <c r="S1117" t="str">
        <f>IF(OR(R1117&lt;0,R1117&gt;100),"invalid","Valid")</f>
        <v>invalid</v>
      </c>
      <c r="T1117" t="s">
        <v>24</v>
      </c>
      <c r="U1117" t="str">
        <f>PROPER(TRIM(T1117))</f>
        <v>Pos</v>
      </c>
      <c r="V1117" t="s">
        <v>25</v>
      </c>
      <c r="W1117" t="str">
        <f t="shared" si="34"/>
        <v>Dan</v>
      </c>
      <c r="X1117" t="s">
        <v>33</v>
      </c>
      <c r="Y1117">
        <v>2</v>
      </c>
      <c r="Z1117" t="str">
        <f>IF(D1117="", "Missing", "ok")</f>
        <v>ok</v>
      </c>
      <c r="AA1117">
        <f t="shared" si="35"/>
        <v>280.56600000000003</v>
      </c>
    </row>
    <row r="1118" spans="1:27" x14ac:dyDescent="0.25">
      <c r="A1118" t="s">
        <v>2811</v>
      </c>
      <c r="B1118" s="1" t="s">
        <v>791</v>
      </c>
      <c r="C1118" t="s">
        <v>2812</v>
      </c>
      <c r="D1118" t="s">
        <v>63</v>
      </c>
      <c r="E1118" t="str">
        <f>PROPER(TRIM(D1118))</f>
        <v>John</v>
      </c>
      <c r="F1118" t="s">
        <v>46</v>
      </c>
      <c r="G1118">
        <v>130</v>
      </c>
      <c r="H1118" t="str">
        <f>IF(AND(G1118&gt;18, G1118&lt;65), "Valid", "Invalid")</f>
        <v>Invalid</v>
      </c>
      <c r="I1118" t="s">
        <v>30</v>
      </c>
      <c r="J1118" t="str">
        <f>PROPER(TRIM(I1118))</f>
        <v>Lagos</v>
      </c>
      <c r="K1118" t="s">
        <v>22</v>
      </c>
      <c r="L1118" t="str">
        <f>PROPER(TRIM(K1118))</f>
        <v>Fashion</v>
      </c>
      <c r="M1118" t="s">
        <v>23</v>
      </c>
      <c r="N1118" t="str">
        <f>PROPER(TRIM(M1118))</f>
        <v>Shirt</v>
      </c>
      <c r="O1118">
        <v>333.08</v>
      </c>
      <c r="P1118">
        <v>8</v>
      </c>
      <c r="Q1118">
        <f>IF(P1118&lt;1, 1, P1118)</f>
        <v>8</v>
      </c>
      <c r="R1118">
        <v>10</v>
      </c>
      <c r="S1118" t="str">
        <f>IF(OR(R1118&lt;0,R1118&gt;100),"invalid","Valid")</f>
        <v>Valid</v>
      </c>
      <c r="U1118" t="str">
        <f>PROPER(TRIM(T1118))</f>
        <v/>
      </c>
      <c r="V1118" t="s">
        <v>81</v>
      </c>
      <c r="W1118" t="str">
        <f t="shared" si="34"/>
        <v>Ada</v>
      </c>
      <c r="X1118" t="s">
        <v>65</v>
      </c>
      <c r="Y1118">
        <v>3</v>
      </c>
      <c r="Z1118" t="str">
        <f>IF(D1118="", "Missing", "ok")</f>
        <v>ok</v>
      </c>
      <c r="AA1118">
        <f t="shared" si="35"/>
        <v>2398.1759999999999</v>
      </c>
    </row>
    <row r="1119" spans="1:27" x14ac:dyDescent="0.25">
      <c r="A1119" t="s">
        <v>2813</v>
      </c>
      <c r="B1119" s="1" t="s">
        <v>2814</v>
      </c>
      <c r="C1119" t="s">
        <v>2815</v>
      </c>
      <c r="D1119" t="s">
        <v>45</v>
      </c>
      <c r="E1119" t="str">
        <f>PROPER(TRIM(D1119))</f>
        <v>James</v>
      </c>
      <c r="F1119" t="s">
        <v>20</v>
      </c>
      <c r="G1119">
        <v>8</v>
      </c>
      <c r="H1119" t="str">
        <f>IF(AND(G1119&gt;18, G1119&lt;65), "Valid", "Invalid")</f>
        <v>Invalid</v>
      </c>
      <c r="I1119" t="s">
        <v>70</v>
      </c>
      <c r="J1119" t="str">
        <f>PROPER(TRIM(I1119))</f>
        <v>Abuja</v>
      </c>
      <c r="K1119" t="s">
        <v>54</v>
      </c>
      <c r="L1119" t="str">
        <f>PROPER(TRIM(K1119))</f>
        <v>Home</v>
      </c>
      <c r="M1119" t="s">
        <v>55</v>
      </c>
      <c r="N1119" t="str">
        <f>PROPER(TRIM(M1119))</f>
        <v>Chair</v>
      </c>
      <c r="O1119">
        <v>100.1</v>
      </c>
      <c r="P1119">
        <v>5</v>
      </c>
      <c r="Q1119">
        <f>IF(P1119&lt;1, 1, P1119)</f>
        <v>5</v>
      </c>
      <c r="R1119">
        <v>-10</v>
      </c>
      <c r="S1119" t="str">
        <f>IF(OR(R1119&lt;0,R1119&gt;100),"invalid","Valid")</f>
        <v>invalid</v>
      </c>
      <c r="T1119" t="s">
        <v>24</v>
      </c>
      <c r="U1119" t="str">
        <f>PROPER(TRIM(T1119))</f>
        <v>Pos</v>
      </c>
      <c r="V1119" t="s">
        <v>41</v>
      </c>
      <c r="W1119" t="str">
        <f t="shared" si="34"/>
        <v>Chi</v>
      </c>
      <c r="X1119" t="s">
        <v>33</v>
      </c>
      <c r="Y1119">
        <v>3</v>
      </c>
      <c r="Z1119" t="str">
        <f>IF(D1119="", "Missing", "ok")</f>
        <v>ok</v>
      </c>
      <c r="AA1119">
        <f t="shared" si="35"/>
        <v>550.55000000000007</v>
      </c>
    </row>
    <row r="1120" spans="1:27" x14ac:dyDescent="0.25">
      <c r="A1120" t="s">
        <v>2816</v>
      </c>
      <c r="B1120" s="1" t="s">
        <v>988</v>
      </c>
      <c r="C1120" t="s">
        <v>2817</v>
      </c>
      <c r="E1120" t="str">
        <f>PROPER(TRIM(D1120))</f>
        <v/>
      </c>
      <c r="F1120" t="s">
        <v>46</v>
      </c>
      <c r="G1120">
        <v>130</v>
      </c>
      <c r="H1120" t="str">
        <f>IF(AND(G1120&gt;18, G1120&lt;65), "Valid", "Invalid")</f>
        <v>Invalid</v>
      </c>
      <c r="I1120" t="s">
        <v>47</v>
      </c>
      <c r="J1120" t="str">
        <f>PROPER(TRIM(I1120))</f>
        <v>Enugu</v>
      </c>
      <c r="K1120" t="s">
        <v>121</v>
      </c>
      <c r="L1120" t="str">
        <f>PROPER(TRIM(K1120))</f>
        <v>Beauty</v>
      </c>
      <c r="M1120" t="s">
        <v>122</v>
      </c>
      <c r="N1120" t="str">
        <f>PROPER(TRIM(M1120))</f>
        <v>Cream</v>
      </c>
      <c r="O1120">
        <v>424.71</v>
      </c>
      <c r="P1120">
        <v>9</v>
      </c>
      <c r="Q1120">
        <f>IF(P1120&lt;1, 1, P1120)</f>
        <v>9</v>
      </c>
      <c r="R1120">
        <v>10</v>
      </c>
      <c r="S1120" t="str">
        <f>IF(OR(R1120&lt;0,R1120&gt;100),"invalid","Valid")</f>
        <v>Valid</v>
      </c>
      <c r="T1120" t="s">
        <v>64</v>
      </c>
      <c r="U1120" t="str">
        <f>PROPER(TRIM(T1120))</f>
        <v>Transfer</v>
      </c>
      <c r="V1120" t="s">
        <v>91</v>
      </c>
      <c r="W1120" t="str">
        <f t="shared" si="34"/>
        <v>Ben</v>
      </c>
      <c r="X1120" t="s">
        <v>33</v>
      </c>
      <c r="Y1120">
        <v>1</v>
      </c>
      <c r="Z1120" t="str">
        <f>IF(D1120="", "Missing", "ok")</f>
        <v>Missing</v>
      </c>
      <c r="AA1120">
        <f t="shared" si="35"/>
        <v>3440.1509999999998</v>
      </c>
    </row>
    <row r="1121" spans="1:27" x14ac:dyDescent="0.25">
      <c r="A1121" t="s">
        <v>2818</v>
      </c>
      <c r="B1121" s="1" t="s">
        <v>282</v>
      </c>
      <c r="C1121" t="s">
        <v>2819</v>
      </c>
      <c r="D1121" t="s">
        <v>37</v>
      </c>
      <c r="E1121" t="str">
        <f>PROPER(TRIM(D1121))</f>
        <v>Aisha</v>
      </c>
      <c r="F1121" t="s">
        <v>46</v>
      </c>
      <c r="G1121">
        <v>130</v>
      </c>
      <c r="H1121" t="str">
        <f>IF(AND(G1121&gt;18, G1121&lt;65), "Valid", "Invalid")</f>
        <v>Invalid</v>
      </c>
      <c r="I1121" t="s">
        <v>86</v>
      </c>
      <c r="J1121" t="str">
        <f>PROPER(TRIM(I1121))</f>
        <v>Kano</v>
      </c>
      <c r="K1121" t="s">
        <v>87</v>
      </c>
      <c r="L1121" t="str">
        <f>PROPER(TRIM(K1121))</f>
        <v>Groceris</v>
      </c>
      <c r="M1121" t="s">
        <v>49</v>
      </c>
      <c r="N1121" t="str">
        <f>PROPER(TRIM(M1121))</f>
        <v>Rice</v>
      </c>
      <c r="O1121">
        <v>35.54</v>
      </c>
      <c r="P1121">
        <v>-2</v>
      </c>
      <c r="Q1121">
        <f>IF(P1121&lt;1, 1, P1121)</f>
        <v>1</v>
      </c>
      <c r="R1121">
        <v>15</v>
      </c>
      <c r="S1121" t="str">
        <f>IF(OR(R1121&lt;0,R1121&gt;100),"invalid","Valid")</f>
        <v>Valid</v>
      </c>
      <c r="T1121" t="s">
        <v>77</v>
      </c>
      <c r="U1121" t="str">
        <f>PROPER(TRIM(T1121))</f>
        <v>Cash</v>
      </c>
      <c r="V1121" t="s">
        <v>91</v>
      </c>
      <c r="W1121" t="str">
        <f t="shared" si="34"/>
        <v>Ben</v>
      </c>
      <c r="X1121" t="s">
        <v>65</v>
      </c>
      <c r="Y1121">
        <v>1</v>
      </c>
      <c r="Z1121" t="str">
        <f>IF(D1121="", "Missing", "ok")</f>
        <v>ok</v>
      </c>
      <c r="AA1121">
        <f t="shared" si="35"/>
        <v>30.209</v>
      </c>
    </row>
    <row r="1122" spans="1:27" x14ac:dyDescent="0.25">
      <c r="A1122" t="s">
        <v>2820</v>
      </c>
      <c r="B1122" s="1" t="s">
        <v>2403</v>
      </c>
      <c r="C1122" t="s">
        <v>2821</v>
      </c>
      <c r="D1122" t="s">
        <v>45</v>
      </c>
      <c r="E1122" t="str">
        <f>PROPER(TRIM(D1122))</f>
        <v>James</v>
      </c>
      <c r="F1122" t="s">
        <v>46</v>
      </c>
      <c r="G1122">
        <v>62</v>
      </c>
      <c r="H1122" t="str">
        <f>IF(AND(G1122&gt;18, G1122&lt;65), "Valid", "Invalid")</f>
        <v>Valid</v>
      </c>
      <c r="I1122" t="s">
        <v>21</v>
      </c>
      <c r="J1122" t="str">
        <f>PROPER(TRIM(I1122))</f>
        <v>Lagos</v>
      </c>
      <c r="K1122" t="s">
        <v>39</v>
      </c>
      <c r="L1122" t="str">
        <f>PROPER(TRIM(K1122))</f>
        <v>Electronics</v>
      </c>
      <c r="M1122" t="s">
        <v>40</v>
      </c>
      <c r="N1122" t="str">
        <f>PROPER(TRIM(M1122))</f>
        <v>Phone</v>
      </c>
      <c r="O1122">
        <v>398.03</v>
      </c>
      <c r="P1122">
        <v>-2</v>
      </c>
      <c r="Q1122">
        <f>IF(P1122&lt;1, 1, P1122)</f>
        <v>1</v>
      </c>
      <c r="R1122">
        <v>5</v>
      </c>
      <c r="S1122" t="str">
        <f>IF(OR(R1122&lt;0,R1122&gt;100),"invalid","Valid")</f>
        <v>Valid</v>
      </c>
      <c r="T1122" t="s">
        <v>77</v>
      </c>
      <c r="U1122" t="str">
        <f>PROPER(TRIM(T1122))</f>
        <v>Cash</v>
      </c>
      <c r="V1122" t="s">
        <v>41</v>
      </c>
      <c r="W1122" t="str">
        <f t="shared" si="34"/>
        <v>Chi</v>
      </c>
      <c r="X1122" t="s">
        <v>26</v>
      </c>
      <c r="Y1122">
        <v>1</v>
      </c>
      <c r="Z1122" t="str">
        <f>IF(D1122="", "Missing", "ok")</f>
        <v>ok</v>
      </c>
      <c r="AA1122">
        <f t="shared" si="35"/>
        <v>378.12849999999997</v>
      </c>
    </row>
    <row r="1123" spans="1:27" x14ac:dyDescent="0.25">
      <c r="A1123" t="s">
        <v>2822</v>
      </c>
      <c r="B1123" s="1" t="s">
        <v>2823</v>
      </c>
      <c r="C1123" t="s">
        <v>2824</v>
      </c>
      <c r="D1123" t="s">
        <v>63</v>
      </c>
      <c r="E1123" t="str">
        <f>PROPER(TRIM(D1123))</f>
        <v>John</v>
      </c>
      <c r="F1123" t="s">
        <v>46</v>
      </c>
      <c r="G1123">
        <v>130</v>
      </c>
      <c r="H1123" t="str">
        <f>IF(AND(G1123&gt;18, G1123&lt;65), "Valid", "Invalid")</f>
        <v>Invalid</v>
      </c>
      <c r="I1123" t="s">
        <v>21</v>
      </c>
      <c r="J1123" t="str">
        <f>PROPER(TRIM(I1123))</f>
        <v>Lagos</v>
      </c>
      <c r="K1123" t="s">
        <v>31</v>
      </c>
      <c r="L1123" t="str">
        <f>PROPER(TRIM(K1123))</f>
        <v>Sports</v>
      </c>
      <c r="M1123" t="s">
        <v>32</v>
      </c>
      <c r="N1123" t="str">
        <f>PROPER(TRIM(M1123))</f>
        <v>Ball</v>
      </c>
      <c r="O1123">
        <v>442.39</v>
      </c>
      <c r="P1123">
        <v>2</v>
      </c>
      <c r="Q1123">
        <f>IF(P1123&lt;1, 1, P1123)</f>
        <v>2</v>
      </c>
      <c r="R1123">
        <v>-10</v>
      </c>
      <c r="S1123" t="str">
        <f>IF(OR(R1123&lt;0,R1123&gt;100),"invalid","Valid")</f>
        <v>invalid</v>
      </c>
      <c r="T1123" t="s">
        <v>64</v>
      </c>
      <c r="U1123" t="str">
        <f>PROPER(TRIM(T1123))</f>
        <v>Transfer</v>
      </c>
      <c r="V1123" t="s">
        <v>25</v>
      </c>
      <c r="W1123" t="str">
        <f t="shared" si="34"/>
        <v>Dan</v>
      </c>
      <c r="X1123" t="s">
        <v>26</v>
      </c>
      <c r="Y1123">
        <v>2</v>
      </c>
      <c r="Z1123" t="str">
        <f>IF(D1123="", "Missing", "ok")</f>
        <v>ok</v>
      </c>
      <c r="AA1123">
        <f t="shared" si="35"/>
        <v>973.25800000000004</v>
      </c>
    </row>
    <row r="1124" spans="1:27" x14ac:dyDescent="0.25">
      <c r="A1124" t="s">
        <v>2825</v>
      </c>
      <c r="B1124" s="1" t="s">
        <v>1783</v>
      </c>
      <c r="C1124" t="s">
        <v>2826</v>
      </c>
      <c r="D1124" t="s">
        <v>117</v>
      </c>
      <c r="E1124" t="str">
        <f>PROPER(TRIM(D1124))</f>
        <v>David</v>
      </c>
      <c r="F1124" t="s">
        <v>46</v>
      </c>
      <c r="G1124">
        <v>130</v>
      </c>
      <c r="H1124" t="str">
        <f>IF(AND(G1124&gt;18, G1124&lt;65), "Valid", "Invalid")</f>
        <v>Invalid</v>
      </c>
      <c r="I1124" t="s">
        <v>53</v>
      </c>
      <c r="J1124" t="str">
        <f>PROPER(TRIM(I1124))</f>
        <v>Lagos</v>
      </c>
      <c r="K1124" t="s">
        <v>31</v>
      </c>
      <c r="L1124" t="str">
        <f>PROPER(TRIM(K1124))</f>
        <v>Sports</v>
      </c>
      <c r="M1124" t="s">
        <v>32</v>
      </c>
      <c r="N1124" t="str">
        <f>PROPER(TRIM(M1124))</f>
        <v>Ball</v>
      </c>
      <c r="O1124">
        <v>265.60000000000002</v>
      </c>
      <c r="P1124">
        <v>-2</v>
      </c>
      <c r="Q1124">
        <f>IF(P1124&lt;1, 1, P1124)</f>
        <v>1</v>
      </c>
      <c r="R1124">
        <v>5</v>
      </c>
      <c r="S1124" t="str">
        <f>IF(OR(R1124&lt;0,R1124&gt;100),"invalid","Valid")</f>
        <v>Valid</v>
      </c>
      <c r="T1124" t="s">
        <v>24</v>
      </c>
      <c r="U1124" t="str">
        <f>PROPER(TRIM(T1124))</f>
        <v>Pos</v>
      </c>
      <c r="V1124" t="s">
        <v>81</v>
      </c>
      <c r="W1124" t="str">
        <f t="shared" si="34"/>
        <v>Ada</v>
      </c>
      <c r="X1124" t="s">
        <v>26</v>
      </c>
      <c r="Y1124">
        <v>3</v>
      </c>
      <c r="Z1124" t="str">
        <f>IF(D1124="", "Missing", "ok")</f>
        <v>ok</v>
      </c>
      <c r="AA1124">
        <f t="shared" si="35"/>
        <v>252.32000000000002</v>
      </c>
    </row>
    <row r="1125" spans="1:27" x14ac:dyDescent="0.25">
      <c r="A1125" t="s">
        <v>2827</v>
      </c>
      <c r="B1125" s="1" t="s">
        <v>184</v>
      </c>
      <c r="C1125" t="s">
        <v>2828</v>
      </c>
      <c r="D1125" t="s">
        <v>37</v>
      </c>
      <c r="E1125" t="str">
        <f>PROPER(TRIM(D1125))</f>
        <v>Aisha</v>
      </c>
      <c r="F1125" t="s">
        <v>46</v>
      </c>
      <c r="G1125">
        <v>34</v>
      </c>
      <c r="H1125" t="str">
        <f>IF(AND(G1125&gt;18, G1125&lt;65), "Valid", "Invalid")</f>
        <v>Valid</v>
      </c>
      <c r="I1125" t="s">
        <v>21</v>
      </c>
      <c r="J1125" t="str">
        <f>PROPER(TRIM(I1125))</f>
        <v>Lagos</v>
      </c>
      <c r="K1125" t="s">
        <v>54</v>
      </c>
      <c r="L1125" t="str">
        <f>PROPER(TRIM(K1125))</f>
        <v>Home</v>
      </c>
      <c r="M1125" t="s">
        <v>55</v>
      </c>
      <c r="N1125" t="str">
        <f>PROPER(TRIM(M1125))</f>
        <v>Chair</v>
      </c>
      <c r="O1125">
        <v>224.45</v>
      </c>
      <c r="P1125">
        <v>-2</v>
      </c>
      <c r="Q1125">
        <f>IF(P1125&lt;1, 1, P1125)</f>
        <v>1</v>
      </c>
      <c r="R1125">
        <v>0</v>
      </c>
      <c r="S1125" t="str">
        <f>IF(OR(R1125&lt;0,R1125&gt;100),"invalid","Valid")</f>
        <v>Valid</v>
      </c>
      <c r="T1125" t="s">
        <v>77</v>
      </c>
      <c r="U1125" t="str">
        <f>PROPER(TRIM(T1125))</f>
        <v>Cash</v>
      </c>
      <c r="V1125" t="s">
        <v>91</v>
      </c>
      <c r="W1125" t="str">
        <f t="shared" si="34"/>
        <v>Ben</v>
      </c>
      <c r="X1125" t="s">
        <v>82</v>
      </c>
      <c r="Y1125">
        <v>5</v>
      </c>
      <c r="Z1125" t="str">
        <f>IF(D1125="", "Missing", "ok")</f>
        <v>ok</v>
      </c>
      <c r="AA1125">
        <f t="shared" si="35"/>
        <v>224.45</v>
      </c>
    </row>
    <row r="1126" spans="1:27" x14ac:dyDescent="0.25">
      <c r="A1126" t="s">
        <v>2829</v>
      </c>
      <c r="B1126" s="1" t="s">
        <v>1309</v>
      </c>
      <c r="C1126" t="s">
        <v>758</v>
      </c>
      <c r="D1126" t="s">
        <v>101</v>
      </c>
      <c r="E1126" t="str">
        <f>PROPER(TRIM(D1126))</f>
        <v>Grace</v>
      </c>
      <c r="F1126" t="s">
        <v>20</v>
      </c>
      <c r="G1126">
        <v>130</v>
      </c>
      <c r="H1126" t="str">
        <f>IF(AND(G1126&gt;18, G1126&lt;65), "Valid", "Invalid")</f>
        <v>Invalid</v>
      </c>
      <c r="I1126" t="s">
        <v>30</v>
      </c>
      <c r="J1126" t="str">
        <f>PROPER(TRIM(I1126))</f>
        <v>Lagos</v>
      </c>
      <c r="K1126" t="s">
        <v>87</v>
      </c>
      <c r="L1126" t="str">
        <f>PROPER(TRIM(K1126))</f>
        <v>Groceris</v>
      </c>
      <c r="M1126" t="s">
        <v>49</v>
      </c>
      <c r="N1126" t="str">
        <f>PROPER(TRIM(M1126))</f>
        <v>Rice</v>
      </c>
      <c r="O1126">
        <v>273.83999999999997</v>
      </c>
      <c r="P1126">
        <v>6</v>
      </c>
      <c r="Q1126">
        <f>IF(P1126&lt;1, 1, P1126)</f>
        <v>6</v>
      </c>
      <c r="R1126">
        <v>15</v>
      </c>
      <c r="S1126" t="str">
        <f>IF(OR(R1126&lt;0,R1126&gt;100),"invalid","Valid")</f>
        <v>Valid</v>
      </c>
      <c r="T1126" t="s">
        <v>64</v>
      </c>
      <c r="U1126" t="str">
        <f>PROPER(TRIM(T1126))</f>
        <v>Transfer</v>
      </c>
      <c r="V1126" t="s">
        <v>25</v>
      </c>
      <c r="W1126" t="str">
        <f t="shared" si="34"/>
        <v>Dan</v>
      </c>
      <c r="X1126" t="s">
        <v>33</v>
      </c>
      <c r="Z1126" t="str">
        <f>IF(D1126="", "Missing", "ok")</f>
        <v>ok</v>
      </c>
      <c r="AA1126">
        <f t="shared" si="35"/>
        <v>1396.5839999999998</v>
      </c>
    </row>
    <row r="1127" spans="1:27" x14ac:dyDescent="0.25">
      <c r="A1127" t="s">
        <v>2830</v>
      </c>
      <c r="B1127" s="1" t="s">
        <v>2831</v>
      </c>
      <c r="C1127" t="s">
        <v>2832</v>
      </c>
      <c r="D1127" t="s">
        <v>19</v>
      </c>
      <c r="E1127" t="str">
        <f>PROPER(TRIM(D1127))</f>
        <v>Peter</v>
      </c>
      <c r="F1127" t="s">
        <v>20</v>
      </c>
      <c r="G1127">
        <v>47</v>
      </c>
      <c r="H1127" t="str">
        <f>IF(AND(G1127&gt;18, G1127&lt;65), "Valid", "Invalid")</f>
        <v>Valid</v>
      </c>
      <c r="I1127" t="s">
        <v>21</v>
      </c>
      <c r="J1127" t="str">
        <f>PROPER(TRIM(I1127))</f>
        <v>Lagos</v>
      </c>
      <c r="K1127" t="s">
        <v>54</v>
      </c>
      <c r="L1127" t="str">
        <f>PROPER(TRIM(K1127))</f>
        <v>Home</v>
      </c>
      <c r="M1127" t="s">
        <v>55</v>
      </c>
      <c r="N1127" t="str">
        <f>PROPER(TRIM(M1127))</f>
        <v>Chair</v>
      </c>
      <c r="O1127">
        <v>415.18</v>
      </c>
      <c r="P1127">
        <v>-2</v>
      </c>
      <c r="Q1127">
        <f>IF(P1127&lt;1, 1, P1127)</f>
        <v>1</v>
      </c>
      <c r="R1127">
        <v>15</v>
      </c>
      <c r="S1127" t="str">
        <f>IF(OR(R1127&lt;0,R1127&gt;100),"invalid","Valid")</f>
        <v>Valid</v>
      </c>
      <c r="T1127" t="s">
        <v>64</v>
      </c>
      <c r="U1127" t="str">
        <f>PROPER(TRIM(T1127))</f>
        <v>Transfer</v>
      </c>
      <c r="V1127" t="s">
        <v>41</v>
      </c>
      <c r="W1127" t="str">
        <f t="shared" si="34"/>
        <v>Chi</v>
      </c>
      <c r="X1127" t="s">
        <v>82</v>
      </c>
      <c r="Y1127">
        <v>2</v>
      </c>
      <c r="Z1127" t="str">
        <f>IF(D1127="", "Missing", "ok")</f>
        <v>ok</v>
      </c>
      <c r="AA1127">
        <f t="shared" si="35"/>
        <v>352.90300000000002</v>
      </c>
    </row>
    <row r="1128" spans="1:27" x14ac:dyDescent="0.25">
      <c r="A1128" t="s">
        <v>2833</v>
      </c>
      <c r="B1128" s="1" t="s">
        <v>2749</v>
      </c>
      <c r="C1128" t="s">
        <v>2834</v>
      </c>
      <c r="D1128" t="s">
        <v>117</v>
      </c>
      <c r="E1128" t="str">
        <f>PROPER(TRIM(D1128))</f>
        <v>David</v>
      </c>
      <c r="F1128" t="s">
        <v>20</v>
      </c>
      <c r="G1128">
        <v>21</v>
      </c>
      <c r="H1128" t="str">
        <f>IF(AND(G1128&gt;18, G1128&lt;65), "Valid", "Invalid")</f>
        <v>Valid</v>
      </c>
      <c r="I1128" t="s">
        <v>70</v>
      </c>
      <c r="J1128" t="str">
        <f>PROPER(TRIM(I1128))</f>
        <v>Abuja</v>
      </c>
      <c r="K1128" t="s">
        <v>121</v>
      </c>
      <c r="L1128" t="str">
        <f>PROPER(TRIM(K1128))</f>
        <v>Beauty</v>
      </c>
      <c r="M1128" t="s">
        <v>122</v>
      </c>
      <c r="N1128" t="str">
        <f>PROPER(TRIM(M1128))</f>
        <v>Cream</v>
      </c>
      <c r="O1128">
        <v>468.25</v>
      </c>
      <c r="P1128">
        <v>10</v>
      </c>
      <c r="Q1128">
        <f>IF(P1128&lt;1, 1, P1128)</f>
        <v>10</v>
      </c>
      <c r="R1128">
        <v>15</v>
      </c>
      <c r="S1128" t="str">
        <f>IF(OR(R1128&lt;0,R1128&gt;100),"invalid","Valid")</f>
        <v>Valid</v>
      </c>
      <c r="T1128" t="s">
        <v>59</v>
      </c>
      <c r="U1128" t="str">
        <f>PROPER(TRIM(T1128))</f>
        <v>Mobile Money</v>
      </c>
      <c r="V1128" t="s">
        <v>41</v>
      </c>
      <c r="W1128" t="str">
        <f t="shared" si="34"/>
        <v>Chi</v>
      </c>
      <c r="X1128" t="s">
        <v>82</v>
      </c>
      <c r="Y1128">
        <v>1</v>
      </c>
      <c r="Z1128" t="str">
        <f>IF(D1128="", "Missing", "ok")</f>
        <v>ok</v>
      </c>
      <c r="AA1128">
        <f t="shared" si="35"/>
        <v>3980.125</v>
      </c>
    </row>
    <row r="1129" spans="1:27" x14ac:dyDescent="0.25">
      <c r="A1129" t="s">
        <v>2835</v>
      </c>
      <c r="B1129" s="1" t="s">
        <v>754</v>
      </c>
      <c r="C1129" t="s">
        <v>2836</v>
      </c>
      <c r="D1129" t="s">
        <v>63</v>
      </c>
      <c r="E1129" t="str">
        <f>PROPER(TRIM(D1129))</f>
        <v>John</v>
      </c>
      <c r="F1129" t="s">
        <v>46</v>
      </c>
      <c r="G1129">
        <v>45</v>
      </c>
      <c r="H1129" t="str">
        <f>IF(AND(G1129&gt;18, G1129&lt;65), "Valid", "Invalid")</f>
        <v>Valid</v>
      </c>
      <c r="I1129" t="s">
        <v>53</v>
      </c>
      <c r="J1129" t="str">
        <f>PROPER(TRIM(I1129))</f>
        <v>Lagos</v>
      </c>
      <c r="K1129" t="s">
        <v>54</v>
      </c>
      <c r="L1129" t="str">
        <f>PROPER(TRIM(K1129))</f>
        <v>Home</v>
      </c>
      <c r="M1129" t="s">
        <v>55</v>
      </c>
      <c r="N1129" t="str">
        <f>PROPER(TRIM(M1129))</f>
        <v>Chair</v>
      </c>
      <c r="O1129">
        <v>75.11</v>
      </c>
      <c r="P1129">
        <v>-2</v>
      </c>
      <c r="Q1129">
        <f>IF(P1129&lt;1, 1, P1129)</f>
        <v>1</v>
      </c>
      <c r="R1129">
        <v>5</v>
      </c>
      <c r="S1129" t="str">
        <f>IF(OR(R1129&lt;0,R1129&gt;100),"invalid","Valid")</f>
        <v>Valid</v>
      </c>
      <c r="T1129" t="s">
        <v>64</v>
      </c>
      <c r="U1129" t="str">
        <f>PROPER(TRIM(T1129))</f>
        <v>Transfer</v>
      </c>
      <c r="V1129" t="s">
        <v>81</v>
      </c>
      <c r="W1129" t="str">
        <f t="shared" si="34"/>
        <v>Ada</v>
      </c>
      <c r="X1129" t="s">
        <v>26</v>
      </c>
      <c r="Y1129">
        <v>2</v>
      </c>
      <c r="Z1129" t="str">
        <f>IF(D1129="", "Missing", "ok")</f>
        <v>ok</v>
      </c>
      <c r="AA1129">
        <f t="shared" si="35"/>
        <v>71.354500000000002</v>
      </c>
    </row>
    <row r="1130" spans="1:27" x14ac:dyDescent="0.25">
      <c r="A1130" t="s">
        <v>2837</v>
      </c>
      <c r="B1130" s="1" t="s">
        <v>2838</v>
      </c>
      <c r="C1130" t="s">
        <v>2839</v>
      </c>
      <c r="E1130" t="str">
        <f>PROPER(TRIM(D1130))</f>
        <v/>
      </c>
      <c r="F1130" t="s">
        <v>46</v>
      </c>
      <c r="G1130">
        <v>8</v>
      </c>
      <c r="H1130" t="str">
        <f>IF(AND(G1130&gt;18, G1130&lt;65), "Valid", "Invalid")</f>
        <v>Invalid</v>
      </c>
      <c r="I1130" t="s">
        <v>38</v>
      </c>
      <c r="J1130" t="str">
        <f>PROPER(TRIM(I1130))</f>
        <v>Ph</v>
      </c>
      <c r="K1130" t="s">
        <v>48</v>
      </c>
      <c r="L1130" t="str">
        <f>PROPER(TRIM(K1130))</f>
        <v>Groceries</v>
      </c>
      <c r="M1130" t="s">
        <v>49</v>
      </c>
      <c r="N1130" t="str">
        <f>PROPER(TRIM(M1130))</f>
        <v>Rice</v>
      </c>
      <c r="O1130">
        <v>442.39</v>
      </c>
      <c r="P1130">
        <v>1</v>
      </c>
      <c r="Q1130">
        <f>IF(P1130&lt;1, 1, P1130)</f>
        <v>1</v>
      </c>
      <c r="R1130">
        <v>5</v>
      </c>
      <c r="S1130" t="str">
        <f>IF(OR(R1130&lt;0,R1130&gt;100),"invalid","Valid")</f>
        <v>Valid</v>
      </c>
      <c r="T1130" t="s">
        <v>64</v>
      </c>
      <c r="U1130" t="str">
        <f>PROPER(TRIM(T1130))</f>
        <v>Transfer</v>
      </c>
      <c r="V1130" t="s">
        <v>91</v>
      </c>
      <c r="W1130" t="str">
        <f t="shared" si="34"/>
        <v>Ben</v>
      </c>
      <c r="X1130" t="s">
        <v>65</v>
      </c>
      <c r="Y1130">
        <v>5</v>
      </c>
      <c r="Z1130" t="str">
        <f>IF(D1130="", "Missing", "ok")</f>
        <v>Missing</v>
      </c>
      <c r="AA1130">
        <f t="shared" si="35"/>
        <v>420.27049999999997</v>
      </c>
    </row>
    <row r="1131" spans="1:27" x14ac:dyDescent="0.25">
      <c r="A1131" t="s">
        <v>2840</v>
      </c>
      <c r="B1131" s="1" t="s">
        <v>903</v>
      </c>
      <c r="C1131" t="s">
        <v>1253</v>
      </c>
      <c r="D1131" t="s">
        <v>69</v>
      </c>
      <c r="E1131" t="str">
        <f>PROPER(TRIM(D1131))</f>
        <v>Mary</v>
      </c>
      <c r="F1131" t="s">
        <v>46</v>
      </c>
      <c r="G1131">
        <v>130</v>
      </c>
      <c r="H1131" t="str">
        <f>IF(AND(G1131&gt;18, G1131&lt;65), "Valid", "Invalid")</f>
        <v>Invalid</v>
      </c>
      <c r="I1131" t="s">
        <v>47</v>
      </c>
      <c r="J1131" t="str">
        <f>PROPER(TRIM(I1131))</f>
        <v>Enugu</v>
      </c>
      <c r="K1131" t="s">
        <v>121</v>
      </c>
      <c r="L1131" t="str">
        <f>PROPER(TRIM(K1131))</f>
        <v>Beauty</v>
      </c>
      <c r="M1131" t="s">
        <v>122</v>
      </c>
      <c r="N1131" t="str">
        <f>PROPER(TRIM(M1131))</f>
        <v>Cream</v>
      </c>
      <c r="O1131">
        <v>108.35</v>
      </c>
      <c r="P1131">
        <v>-2</v>
      </c>
      <c r="Q1131">
        <f>IF(P1131&lt;1, 1, P1131)</f>
        <v>1</v>
      </c>
      <c r="R1131">
        <v>15</v>
      </c>
      <c r="S1131" t="str">
        <f>IF(OR(R1131&lt;0,R1131&gt;100),"invalid","Valid")</f>
        <v>Valid</v>
      </c>
      <c r="T1131" t="s">
        <v>64</v>
      </c>
      <c r="U1131" t="str">
        <f>PROPER(TRIM(T1131))</f>
        <v>Transfer</v>
      </c>
      <c r="V1131" t="s">
        <v>25</v>
      </c>
      <c r="W1131" t="str">
        <f t="shared" si="34"/>
        <v>Dan</v>
      </c>
      <c r="X1131" t="s">
        <v>26</v>
      </c>
      <c r="Y1131">
        <v>2</v>
      </c>
      <c r="Z1131" t="str">
        <f>IF(D1131="", "Missing", "ok")</f>
        <v>ok</v>
      </c>
      <c r="AA1131">
        <f t="shared" si="35"/>
        <v>92.097499999999997</v>
      </c>
    </row>
    <row r="1132" spans="1:27" x14ac:dyDescent="0.25">
      <c r="A1132" t="s">
        <v>2841</v>
      </c>
      <c r="B1132" s="1" t="s">
        <v>309</v>
      </c>
      <c r="C1132" t="s">
        <v>2842</v>
      </c>
      <c r="D1132" t="s">
        <v>117</v>
      </c>
      <c r="E1132" t="str">
        <f>PROPER(TRIM(D1132))</f>
        <v>David</v>
      </c>
      <c r="F1132" t="s">
        <v>46</v>
      </c>
      <c r="G1132">
        <v>26</v>
      </c>
      <c r="H1132" t="str">
        <f>IF(AND(G1132&gt;18, G1132&lt;65), "Valid", "Invalid")</f>
        <v>Valid</v>
      </c>
      <c r="I1132" t="s">
        <v>21</v>
      </c>
      <c r="J1132" t="str">
        <f>PROPER(TRIM(I1132))</f>
        <v>Lagos</v>
      </c>
      <c r="K1132" t="s">
        <v>31</v>
      </c>
      <c r="L1132" t="str">
        <f>PROPER(TRIM(K1132))</f>
        <v>Sports</v>
      </c>
      <c r="M1132" t="s">
        <v>32</v>
      </c>
      <c r="N1132" t="str">
        <f>PROPER(TRIM(M1132))</f>
        <v>Ball</v>
      </c>
      <c r="O1132">
        <v>496.67</v>
      </c>
      <c r="P1132">
        <v>3</v>
      </c>
      <c r="Q1132">
        <f>IF(P1132&lt;1, 1, P1132)</f>
        <v>3</v>
      </c>
      <c r="R1132">
        <v>0</v>
      </c>
      <c r="S1132" t="str">
        <f>IF(OR(R1132&lt;0,R1132&gt;100),"invalid","Valid")</f>
        <v>Valid</v>
      </c>
      <c r="T1132" t="s">
        <v>77</v>
      </c>
      <c r="U1132" t="str">
        <f>PROPER(TRIM(T1132))</f>
        <v>Cash</v>
      </c>
      <c r="V1132" t="s">
        <v>41</v>
      </c>
      <c r="W1132" t="str">
        <f t="shared" si="34"/>
        <v>Chi</v>
      </c>
      <c r="X1132" t="s">
        <v>65</v>
      </c>
      <c r="Y1132">
        <v>4</v>
      </c>
      <c r="Z1132" t="str">
        <f>IF(D1132="", "Missing", "ok")</f>
        <v>ok</v>
      </c>
      <c r="AA1132">
        <f t="shared" si="35"/>
        <v>1490.01</v>
      </c>
    </row>
    <row r="1133" spans="1:27" x14ac:dyDescent="0.25">
      <c r="A1133" t="s">
        <v>2843</v>
      </c>
      <c r="B1133" s="1" t="s">
        <v>2080</v>
      </c>
      <c r="C1133" t="s">
        <v>2844</v>
      </c>
      <c r="D1133" t="s">
        <v>45</v>
      </c>
      <c r="E1133" t="str">
        <f>PROPER(TRIM(D1133))</f>
        <v>James</v>
      </c>
      <c r="F1133" t="s">
        <v>46</v>
      </c>
      <c r="G1133">
        <v>130</v>
      </c>
      <c r="H1133" t="str">
        <f>IF(AND(G1133&gt;18, G1133&lt;65), "Valid", "Invalid")</f>
        <v>Invalid</v>
      </c>
      <c r="I1133" t="s">
        <v>21</v>
      </c>
      <c r="J1133" t="str">
        <f>PROPER(TRIM(I1133))</f>
        <v>Lagos</v>
      </c>
      <c r="K1133" t="s">
        <v>54</v>
      </c>
      <c r="L1133" t="str">
        <f>PROPER(TRIM(K1133))</f>
        <v>Home</v>
      </c>
      <c r="M1133" t="s">
        <v>55</v>
      </c>
      <c r="N1133" t="str">
        <f>PROPER(TRIM(M1133))</f>
        <v>Chair</v>
      </c>
      <c r="O1133">
        <v>328.34</v>
      </c>
      <c r="P1133">
        <v>-2</v>
      </c>
      <c r="Q1133">
        <f>IF(P1133&lt;1, 1, P1133)</f>
        <v>1</v>
      </c>
      <c r="R1133">
        <v>15</v>
      </c>
      <c r="S1133" t="str">
        <f>IF(OR(R1133&lt;0,R1133&gt;100),"invalid","Valid")</f>
        <v>Valid</v>
      </c>
      <c r="T1133" t="s">
        <v>64</v>
      </c>
      <c r="U1133" t="str">
        <f>PROPER(TRIM(T1133))</f>
        <v>Transfer</v>
      </c>
      <c r="V1133" t="s">
        <v>91</v>
      </c>
      <c r="W1133" t="str">
        <f t="shared" si="34"/>
        <v>Ben</v>
      </c>
      <c r="X1133" t="s">
        <v>33</v>
      </c>
      <c r="Y1133">
        <v>3</v>
      </c>
      <c r="Z1133" t="str">
        <f>IF(D1133="", "Missing", "ok")</f>
        <v>ok</v>
      </c>
      <c r="AA1133">
        <f t="shared" si="35"/>
        <v>279.089</v>
      </c>
    </row>
    <row r="1134" spans="1:27" x14ac:dyDescent="0.25">
      <c r="A1134" t="s">
        <v>2845</v>
      </c>
      <c r="B1134" s="1" t="s">
        <v>1851</v>
      </c>
      <c r="C1134" t="s">
        <v>2846</v>
      </c>
      <c r="D1134" t="s">
        <v>37</v>
      </c>
      <c r="E1134" t="str">
        <f>PROPER(TRIM(D1134))</f>
        <v>Aisha</v>
      </c>
      <c r="F1134" t="s">
        <v>46</v>
      </c>
      <c r="G1134">
        <v>24</v>
      </c>
      <c r="H1134" t="str">
        <f>IF(AND(G1134&gt;18, G1134&lt;65), "Valid", "Invalid")</f>
        <v>Valid</v>
      </c>
      <c r="I1134" t="s">
        <v>38</v>
      </c>
      <c r="J1134" t="str">
        <f>PROPER(TRIM(I1134))</f>
        <v>Ph</v>
      </c>
      <c r="K1134" t="s">
        <v>87</v>
      </c>
      <c r="L1134" t="str">
        <f>PROPER(TRIM(K1134))</f>
        <v>Groceris</v>
      </c>
      <c r="M1134" t="s">
        <v>49</v>
      </c>
      <c r="N1134" t="str">
        <f>PROPER(TRIM(M1134))</f>
        <v>Rice</v>
      </c>
      <c r="O1134">
        <v>7.37</v>
      </c>
      <c r="P1134">
        <v>5</v>
      </c>
      <c r="Q1134">
        <f>IF(P1134&lt;1, 1, P1134)</f>
        <v>5</v>
      </c>
      <c r="R1134">
        <v>120</v>
      </c>
      <c r="S1134" t="str">
        <f>IF(OR(R1134&lt;0,R1134&gt;100),"invalid","Valid")</f>
        <v>invalid</v>
      </c>
      <c r="T1134" t="s">
        <v>24</v>
      </c>
      <c r="U1134" t="str">
        <f>PROPER(TRIM(T1134))</f>
        <v>Pos</v>
      </c>
      <c r="V1134" t="s">
        <v>81</v>
      </c>
      <c r="W1134" t="str">
        <f t="shared" si="34"/>
        <v>Ada</v>
      </c>
      <c r="X1134" t="s">
        <v>26</v>
      </c>
      <c r="Y1134">
        <v>1</v>
      </c>
      <c r="Z1134" t="str">
        <f>IF(D1134="", "Missing", "ok")</f>
        <v>ok</v>
      </c>
      <c r="AA1134">
        <f t="shared" si="35"/>
        <v>-7.3699999999999983</v>
      </c>
    </row>
    <row r="1135" spans="1:27" x14ac:dyDescent="0.25">
      <c r="A1135" t="s">
        <v>2847</v>
      </c>
      <c r="B1135" s="1" t="s">
        <v>938</v>
      </c>
      <c r="C1135" t="s">
        <v>2848</v>
      </c>
      <c r="D1135" t="s">
        <v>69</v>
      </c>
      <c r="E1135" t="str">
        <f>PROPER(TRIM(D1135))</f>
        <v>Mary</v>
      </c>
      <c r="F1135" t="s">
        <v>46</v>
      </c>
      <c r="G1135">
        <v>130</v>
      </c>
      <c r="H1135" t="str">
        <f>IF(AND(G1135&gt;18, G1135&lt;65), "Valid", "Invalid")</f>
        <v>Invalid</v>
      </c>
      <c r="I1135" t="s">
        <v>21</v>
      </c>
      <c r="J1135" t="str">
        <f>PROPER(TRIM(I1135))</f>
        <v>Lagos</v>
      </c>
      <c r="K1135" t="s">
        <v>121</v>
      </c>
      <c r="L1135" t="str">
        <f>PROPER(TRIM(K1135))</f>
        <v>Beauty</v>
      </c>
      <c r="M1135" t="s">
        <v>122</v>
      </c>
      <c r="N1135" t="str">
        <f>PROPER(TRIM(M1135))</f>
        <v>Cream</v>
      </c>
      <c r="O1135">
        <v>20.39</v>
      </c>
      <c r="P1135">
        <v>-2</v>
      </c>
      <c r="Q1135">
        <f>IF(P1135&lt;1, 1, P1135)</f>
        <v>1</v>
      </c>
      <c r="R1135">
        <v>10</v>
      </c>
      <c r="S1135" t="str">
        <f>IF(OR(R1135&lt;0,R1135&gt;100),"invalid","Valid")</f>
        <v>Valid</v>
      </c>
      <c r="T1135" t="s">
        <v>77</v>
      </c>
      <c r="U1135" t="str">
        <f>PROPER(TRIM(T1135))</f>
        <v>Cash</v>
      </c>
      <c r="V1135" t="s">
        <v>81</v>
      </c>
      <c r="W1135" t="str">
        <f t="shared" si="34"/>
        <v>Ada</v>
      </c>
      <c r="X1135" t="s">
        <v>65</v>
      </c>
      <c r="Z1135" t="str">
        <f>IF(D1135="", "Missing", "ok")</f>
        <v>ok</v>
      </c>
      <c r="AA1135">
        <f t="shared" si="35"/>
        <v>18.351000000000003</v>
      </c>
    </row>
    <row r="1136" spans="1:27" x14ac:dyDescent="0.25">
      <c r="A1136" t="s">
        <v>2849</v>
      </c>
      <c r="B1136" s="1" t="s">
        <v>347</v>
      </c>
      <c r="C1136" t="s">
        <v>2850</v>
      </c>
      <c r="D1136" t="s">
        <v>117</v>
      </c>
      <c r="E1136" t="str">
        <f>PROPER(TRIM(D1136))</f>
        <v>David</v>
      </c>
      <c r="F1136" t="s">
        <v>20</v>
      </c>
      <c r="G1136">
        <v>8</v>
      </c>
      <c r="H1136" t="str">
        <f>IF(AND(G1136&gt;18, G1136&lt;65), "Valid", "Invalid")</f>
        <v>Invalid</v>
      </c>
      <c r="I1136" t="s">
        <v>38</v>
      </c>
      <c r="J1136" t="str">
        <f>PROPER(TRIM(I1136))</f>
        <v>Ph</v>
      </c>
      <c r="K1136" t="s">
        <v>39</v>
      </c>
      <c r="L1136" t="str">
        <f>PROPER(TRIM(K1136))</f>
        <v>Electronics</v>
      </c>
      <c r="M1136" t="s">
        <v>40</v>
      </c>
      <c r="N1136" t="str">
        <f>PROPER(TRIM(M1136))</f>
        <v>Phone</v>
      </c>
      <c r="O1136">
        <v>397.67</v>
      </c>
      <c r="P1136">
        <v>-2</v>
      </c>
      <c r="Q1136">
        <f>IF(P1136&lt;1, 1, P1136)</f>
        <v>1</v>
      </c>
      <c r="R1136">
        <v>120</v>
      </c>
      <c r="S1136" t="str">
        <f>IF(OR(R1136&lt;0,R1136&gt;100),"invalid","Valid")</f>
        <v>invalid</v>
      </c>
      <c r="T1136" t="s">
        <v>64</v>
      </c>
      <c r="U1136" t="str">
        <f>PROPER(TRIM(T1136))</f>
        <v>Transfer</v>
      </c>
      <c r="V1136" t="s">
        <v>25</v>
      </c>
      <c r="W1136" t="str">
        <f t="shared" si="34"/>
        <v>Dan</v>
      </c>
      <c r="X1136" t="s">
        <v>65</v>
      </c>
      <c r="Y1136">
        <v>3</v>
      </c>
      <c r="Z1136" t="str">
        <f>IF(D1136="", "Missing", "ok")</f>
        <v>ok</v>
      </c>
      <c r="AA1136">
        <f t="shared" si="35"/>
        <v>-79.533999999999992</v>
      </c>
    </row>
    <row r="1137" spans="1:27" x14ac:dyDescent="0.25">
      <c r="A1137" t="s">
        <v>2851</v>
      </c>
      <c r="B1137" s="1" t="s">
        <v>217</v>
      </c>
      <c r="C1137" t="s">
        <v>2852</v>
      </c>
      <c r="D1137" t="s">
        <v>101</v>
      </c>
      <c r="E1137" t="str">
        <f>PROPER(TRIM(D1137))</f>
        <v>Grace</v>
      </c>
      <c r="F1137" t="s">
        <v>20</v>
      </c>
      <c r="G1137">
        <v>51</v>
      </c>
      <c r="H1137" t="str">
        <f>IF(AND(G1137&gt;18, G1137&lt;65), "Valid", "Invalid")</f>
        <v>Valid</v>
      </c>
      <c r="I1137" t="s">
        <v>38</v>
      </c>
      <c r="J1137" t="str">
        <f>PROPER(TRIM(I1137))</f>
        <v>Ph</v>
      </c>
      <c r="K1137" t="s">
        <v>39</v>
      </c>
      <c r="L1137" t="str">
        <f>PROPER(TRIM(K1137))</f>
        <v>Electronics</v>
      </c>
      <c r="M1137" t="s">
        <v>40</v>
      </c>
      <c r="N1137" t="str">
        <f>PROPER(TRIM(M1137))</f>
        <v>Phone</v>
      </c>
      <c r="O1137">
        <v>74.7</v>
      </c>
      <c r="P1137">
        <v>2</v>
      </c>
      <c r="Q1137">
        <f>IF(P1137&lt;1, 1, P1137)</f>
        <v>2</v>
      </c>
      <c r="R1137">
        <v>-10</v>
      </c>
      <c r="S1137" t="str">
        <f>IF(OR(R1137&lt;0,R1137&gt;100),"invalid","Valid")</f>
        <v>invalid</v>
      </c>
      <c r="T1137" t="s">
        <v>64</v>
      </c>
      <c r="U1137" t="str">
        <f>PROPER(TRIM(T1137))</f>
        <v>Transfer</v>
      </c>
      <c r="V1137" t="s">
        <v>41</v>
      </c>
      <c r="W1137" t="str">
        <f t="shared" si="34"/>
        <v>Chi</v>
      </c>
      <c r="X1137" t="s">
        <v>26</v>
      </c>
      <c r="Y1137">
        <v>5</v>
      </c>
      <c r="Z1137" t="str">
        <f>IF(D1137="", "Missing", "ok")</f>
        <v>ok</v>
      </c>
      <c r="AA1137">
        <f t="shared" si="35"/>
        <v>164.34000000000003</v>
      </c>
    </row>
    <row r="1138" spans="1:27" x14ac:dyDescent="0.25">
      <c r="A1138" t="s">
        <v>2853</v>
      </c>
      <c r="B1138" s="1" t="s">
        <v>329</v>
      </c>
      <c r="C1138" t="s">
        <v>2471</v>
      </c>
      <c r="D1138" t="s">
        <v>117</v>
      </c>
      <c r="E1138" t="str">
        <f>PROPER(TRIM(D1138))</f>
        <v>David</v>
      </c>
      <c r="F1138" t="s">
        <v>46</v>
      </c>
      <c r="G1138">
        <v>54</v>
      </c>
      <c r="H1138" t="str">
        <f>IF(AND(G1138&gt;18, G1138&lt;65), "Valid", "Invalid")</f>
        <v>Valid</v>
      </c>
      <c r="I1138" t="s">
        <v>53</v>
      </c>
      <c r="J1138" t="str">
        <f>PROPER(TRIM(I1138))</f>
        <v>Lagos</v>
      </c>
      <c r="K1138" t="s">
        <v>48</v>
      </c>
      <c r="L1138" t="str">
        <f>PROPER(TRIM(K1138))</f>
        <v>Groceries</v>
      </c>
      <c r="M1138" t="s">
        <v>49</v>
      </c>
      <c r="N1138" t="str">
        <f>PROPER(TRIM(M1138))</f>
        <v>Rice</v>
      </c>
      <c r="O1138">
        <v>7.09</v>
      </c>
      <c r="P1138">
        <v>-2</v>
      </c>
      <c r="Q1138">
        <f>IF(P1138&lt;1, 1, P1138)</f>
        <v>1</v>
      </c>
      <c r="R1138">
        <v>5</v>
      </c>
      <c r="S1138" t="str">
        <f>IF(OR(R1138&lt;0,R1138&gt;100),"invalid","Valid")</f>
        <v>Valid</v>
      </c>
      <c r="T1138" t="s">
        <v>64</v>
      </c>
      <c r="U1138" t="str">
        <f>PROPER(TRIM(T1138))</f>
        <v>Transfer</v>
      </c>
      <c r="V1138" t="s">
        <v>25</v>
      </c>
      <c r="W1138" t="str">
        <f t="shared" si="34"/>
        <v>Dan</v>
      </c>
      <c r="X1138" t="s">
        <v>26</v>
      </c>
      <c r="Y1138">
        <v>3</v>
      </c>
      <c r="Z1138" t="str">
        <f>IF(D1138="", "Missing", "ok")</f>
        <v>ok</v>
      </c>
      <c r="AA1138">
        <f t="shared" si="35"/>
        <v>6.7354999999999992</v>
      </c>
    </row>
    <row r="1139" spans="1:27" x14ac:dyDescent="0.25">
      <c r="A1139" t="s">
        <v>2854</v>
      </c>
      <c r="B1139" s="1" t="s">
        <v>2855</v>
      </c>
      <c r="C1139" t="s">
        <v>2856</v>
      </c>
      <c r="D1139" t="s">
        <v>37</v>
      </c>
      <c r="E1139" t="str">
        <f>PROPER(TRIM(D1139))</f>
        <v>Aisha</v>
      </c>
      <c r="F1139" t="s">
        <v>20</v>
      </c>
      <c r="G1139">
        <v>8</v>
      </c>
      <c r="H1139" t="str">
        <f>IF(AND(G1139&gt;18, G1139&lt;65), "Valid", "Invalid")</f>
        <v>Invalid</v>
      </c>
      <c r="I1139" t="s">
        <v>86</v>
      </c>
      <c r="J1139" t="str">
        <f>PROPER(TRIM(I1139))</f>
        <v>Kano</v>
      </c>
      <c r="K1139" t="s">
        <v>54</v>
      </c>
      <c r="L1139" t="str">
        <f>PROPER(TRIM(K1139))</f>
        <v>Home</v>
      </c>
      <c r="M1139" t="s">
        <v>55</v>
      </c>
      <c r="N1139" t="str">
        <f>PROPER(TRIM(M1139))</f>
        <v>Chair</v>
      </c>
      <c r="O1139">
        <v>233.07</v>
      </c>
      <c r="P1139">
        <v>2</v>
      </c>
      <c r="Q1139">
        <f>IF(P1139&lt;1, 1, P1139)</f>
        <v>2</v>
      </c>
      <c r="R1139">
        <v>-10</v>
      </c>
      <c r="S1139" t="str">
        <f>IF(OR(R1139&lt;0,R1139&gt;100),"invalid","Valid")</f>
        <v>invalid</v>
      </c>
      <c r="T1139" t="s">
        <v>77</v>
      </c>
      <c r="U1139" t="str">
        <f>PROPER(TRIM(T1139))</f>
        <v>Cash</v>
      </c>
      <c r="V1139" t="s">
        <v>25</v>
      </c>
      <c r="W1139" t="str">
        <f t="shared" si="34"/>
        <v>Dan</v>
      </c>
      <c r="X1139" t="s">
        <v>82</v>
      </c>
      <c r="Y1139">
        <v>3</v>
      </c>
      <c r="Z1139" t="str">
        <f>IF(D1139="", "Missing", "ok")</f>
        <v>ok</v>
      </c>
      <c r="AA1139">
        <f t="shared" si="35"/>
        <v>512.75400000000002</v>
      </c>
    </row>
    <row r="1140" spans="1:27" x14ac:dyDescent="0.25">
      <c r="A1140" t="s">
        <v>2857</v>
      </c>
      <c r="B1140" s="1" t="s">
        <v>631</v>
      </c>
      <c r="C1140" t="s">
        <v>2858</v>
      </c>
      <c r="D1140" t="s">
        <v>101</v>
      </c>
      <c r="E1140" t="str">
        <f>PROPER(TRIM(D1140))</f>
        <v>Grace</v>
      </c>
      <c r="F1140" t="s">
        <v>46</v>
      </c>
      <c r="G1140">
        <v>46</v>
      </c>
      <c r="H1140" t="str">
        <f>IF(AND(G1140&gt;18, G1140&lt;65), "Valid", "Invalid")</f>
        <v>Valid</v>
      </c>
      <c r="I1140" t="s">
        <v>86</v>
      </c>
      <c r="J1140" t="str">
        <f>PROPER(TRIM(I1140))</f>
        <v>Kano</v>
      </c>
      <c r="K1140" t="s">
        <v>31</v>
      </c>
      <c r="L1140" t="str">
        <f>PROPER(TRIM(K1140))</f>
        <v>Sports</v>
      </c>
      <c r="M1140" t="s">
        <v>32</v>
      </c>
      <c r="N1140" t="str">
        <f>PROPER(TRIM(M1140))</f>
        <v>Ball</v>
      </c>
      <c r="O1140">
        <v>361.79</v>
      </c>
      <c r="P1140">
        <v>8</v>
      </c>
      <c r="Q1140">
        <f>IF(P1140&lt;1, 1, P1140)</f>
        <v>8</v>
      </c>
      <c r="R1140">
        <v>120</v>
      </c>
      <c r="S1140" t="str">
        <f>IF(OR(R1140&lt;0,R1140&gt;100),"invalid","Valid")</f>
        <v>invalid</v>
      </c>
      <c r="T1140" t="s">
        <v>24</v>
      </c>
      <c r="U1140" t="str">
        <f>PROPER(TRIM(T1140))</f>
        <v>Pos</v>
      </c>
      <c r="V1140" t="s">
        <v>41</v>
      </c>
      <c r="W1140" t="str">
        <f t="shared" si="34"/>
        <v>Chi</v>
      </c>
      <c r="X1140" t="s">
        <v>33</v>
      </c>
      <c r="Z1140" t="str">
        <f>IF(D1140="", "Missing", "ok")</f>
        <v>ok</v>
      </c>
      <c r="AA1140">
        <f t="shared" si="35"/>
        <v>-578.86399999999992</v>
      </c>
    </row>
    <row r="1141" spans="1:27" x14ac:dyDescent="0.25">
      <c r="A1141" t="s">
        <v>2859</v>
      </c>
      <c r="B1141" s="1" t="s">
        <v>2860</v>
      </c>
      <c r="C1141" t="s">
        <v>2861</v>
      </c>
      <c r="E1141" t="str">
        <f>PROPER(TRIM(D1141))</f>
        <v/>
      </c>
      <c r="F1141" t="s">
        <v>20</v>
      </c>
      <c r="G1141">
        <v>48</v>
      </c>
      <c r="H1141" t="str">
        <f>IF(AND(G1141&gt;18, G1141&lt;65), "Valid", "Invalid")</f>
        <v>Valid</v>
      </c>
      <c r="I1141" t="s">
        <v>30</v>
      </c>
      <c r="J1141" t="str">
        <f>PROPER(TRIM(I1141))</f>
        <v>Lagos</v>
      </c>
      <c r="K1141" t="s">
        <v>87</v>
      </c>
      <c r="L1141" t="str">
        <f>PROPER(TRIM(K1141))</f>
        <v>Groceris</v>
      </c>
      <c r="M1141" t="s">
        <v>49</v>
      </c>
      <c r="N1141" t="str">
        <f>PROPER(TRIM(M1141))</f>
        <v>Rice</v>
      </c>
      <c r="O1141">
        <v>396.79</v>
      </c>
      <c r="P1141">
        <v>4</v>
      </c>
      <c r="Q1141">
        <f>IF(P1141&lt;1, 1, P1141)</f>
        <v>4</v>
      </c>
      <c r="R1141">
        <v>0</v>
      </c>
      <c r="S1141" t="str">
        <f>IF(OR(R1141&lt;0,R1141&gt;100),"invalid","Valid")</f>
        <v>Valid</v>
      </c>
      <c r="T1141" t="s">
        <v>77</v>
      </c>
      <c r="U1141" t="str">
        <f>PROPER(TRIM(T1141))</f>
        <v>Cash</v>
      </c>
      <c r="V1141" t="s">
        <v>81</v>
      </c>
      <c r="W1141" t="str">
        <f t="shared" si="34"/>
        <v>Ada</v>
      </c>
      <c r="X1141" t="s">
        <v>26</v>
      </c>
      <c r="Y1141">
        <v>2</v>
      </c>
      <c r="Z1141" t="str">
        <f>IF(D1141="", "Missing", "ok")</f>
        <v>Missing</v>
      </c>
      <c r="AA1141">
        <f t="shared" si="35"/>
        <v>1587.16</v>
      </c>
    </row>
    <row r="1142" spans="1:27" x14ac:dyDescent="0.25">
      <c r="A1142" t="s">
        <v>2862</v>
      </c>
      <c r="B1142" s="1" t="s">
        <v>1722</v>
      </c>
      <c r="C1142" t="s">
        <v>2863</v>
      </c>
      <c r="D1142" t="s">
        <v>37</v>
      </c>
      <c r="E1142" t="str">
        <f>PROPER(TRIM(D1142))</f>
        <v>Aisha</v>
      </c>
      <c r="F1142" t="s">
        <v>46</v>
      </c>
      <c r="G1142">
        <v>8</v>
      </c>
      <c r="H1142" t="str">
        <f>IF(AND(G1142&gt;18, G1142&lt;65), "Valid", "Invalid")</f>
        <v>Invalid</v>
      </c>
      <c r="I1142" t="s">
        <v>53</v>
      </c>
      <c r="J1142" t="str">
        <f>PROPER(TRIM(I1142))</f>
        <v>Lagos</v>
      </c>
      <c r="K1142" t="s">
        <v>54</v>
      </c>
      <c r="L1142" t="str">
        <f>PROPER(TRIM(K1142))</f>
        <v>Home</v>
      </c>
      <c r="M1142" t="s">
        <v>55</v>
      </c>
      <c r="N1142" t="str">
        <f>PROPER(TRIM(M1142))</f>
        <v>Chair</v>
      </c>
      <c r="O1142">
        <v>53.8</v>
      </c>
      <c r="P1142">
        <v>1</v>
      </c>
      <c r="Q1142">
        <f>IF(P1142&lt;1, 1, P1142)</f>
        <v>1</v>
      </c>
      <c r="R1142">
        <v>5</v>
      </c>
      <c r="S1142" t="str">
        <f>IF(OR(R1142&lt;0,R1142&gt;100),"invalid","Valid")</f>
        <v>Valid</v>
      </c>
      <c r="T1142" t="s">
        <v>59</v>
      </c>
      <c r="U1142" t="str">
        <f>PROPER(TRIM(T1142))</f>
        <v>Mobile Money</v>
      </c>
      <c r="V1142" t="s">
        <v>81</v>
      </c>
      <c r="W1142" t="str">
        <f t="shared" si="34"/>
        <v>Ada</v>
      </c>
      <c r="X1142" t="s">
        <v>65</v>
      </c>
      <c r="Y1142">
        <v>3</v>
      </c>
      <c r="Z1142" t="str">
        <f>IF(D1142="", "Missing", "ok")</f>
        <v>ok</v>
      </c>
      <c r="AA1142">
        <f t="shared" si="35"/>
        <v>51.109999999999992</v>
      </c>
    </row>
    <row r="1143" spans="1:27" x14ac:dyDescent="0.25">
      <c r="A1143" t="s">
        <v>2864</v>
      </c>
      <c r="B1143" s="1" t="s">
        <v>568</v>
      </c>
      <c r="C1143" t="s">
        <v>2865</v>
      </c>
      <c r="D1143" t="s">
        <v>45</v>
      </c>
      <c r="E1143" t="str">
        <f>PROPER(TRIM(D1143))</f>
        <v>James</v>
      </c>
      <c r="F1143" t="s">
        <v>20</v>
      </c>
      <c r="G1143">
        <v>56</v>
      </c>
      <c r="H1143" t="str">
        <f>IF(AND(G1143&gt;18, G1143&lt;65), "Valid", "Invalid")</f>
        <v>Valid</v>
      </c>
      <c r="I1143" t="s">
        <v>53</v>
      </c>
      <c r="J1143" t="str">
        <f>PROPER(TRIM(I1143))</f>
        <v>Lagos</v>
      </c>
      <c r="K1143" t="s">
        <v>48</v>
      </c>
      <c r="L1143" t="str">
        <f>PROPER(TRIM(K1143))</f>
        <v>Groceries</v>
      </c>
      <c r="M1143" t="s">
        <v>49</v>
      </c>
      <c r="N1143" t="str">
        <f>PROPER(TRIM(M1143))</f>
        <v>Rice</v>
      </c>
      <c r="O1143">
        <v>89.28</v>
      </c>
      <c r="P1143">
        <v>-2</v>
      </c>
      <c r="Q1143">
        <f>IF(P1143&lt;1, 1, P1143)</f>
        <v>1</v>
      </c>
      <c r="R1143">
        <v>120</v>
      </c>
      <c r="S1143" t="str">
        <f>IF(OR(R1143&lt;0,R1143&gt;100),"invalid","Valid")</f>
        <v>invalid</v>
      </c>
      <c r="T1143" t="s">
        <v>59</v>
      </c>
      <c r="U1143" t="str">
        <f>PROPER(TRIM(T1143))</f>
        <v>Mobile Money</v>
      </c>
      <c r="V1143" t="s">
        <v>25</v>
      </c>
      <c r="W1143" t="str">
        <f t="shared" si="34"/>
        <v>Dan</v>
      </c>
      <c r="X1143" t="s">
        <v>26</v>
      </c>
      <c r="Y1143">
        <v>2</v>
      </c>
      <c r="Z1143" t="str">
        <f>IF(D1143="", "Missing", "ok")</f>
        <v>ok</v>
      </c>
      <c r="AA1143">
        <f t="shared" si="35"/>
        <v>-17.855999999999995</v>
      </c>
    </row>
    <row r="1144" spans="1:27" x14ac:dyDescent="0.25">
      <c r="A1144" t="s">
        <v>2866</v>
      </c>
      <c r="B1144" s="1" t="s">
        <v>1120</v>
      </c>
      <c r="C1144" t="s">
        <v>2867</v>
      </c>
      <c r="D1144" t="s">
        <v>19</v>
      </c>
      <c r="E1144" t="str">
        <f>PROPER(TRIM(D1144))</f>
        <v>Peter</v>
      </c>
      <c r="F1144" t="s">
        <v>20</v>
      </c>
      <c r="G1144">
        <v>130</v>
      </c>
      <c r="H1144" t="str">
        <f>IF(AND(G1144&gt;18, G1144&lt;65), "Valid", "Invalid")</f>
        <v>Invalid</v>
      </c>
      <c r="I1144" t="s">
        <v>47</v>
      </c>
      <c r="J1144" t="str">
        <f>PROPER(TRIM(I1144))</f>
        <v>Enugu</v>
      </c>
      <c r="K1144" t="s">
        <v>22</v>
      </c>
      <c r="L1144" t="str">
        <f>PROPER(TRIM(K1144))</f>
        <v>Fashion</v>
      </c>
      <c r="M1144" t="s">
        <v>23</v>
      </c>
      <c r="N1144" t="str">
        <f>PROPER(TRIM(M1144))</f>
        <v>Shirt</v>
      </c>
      <c r="O1144">
        <v>313.10000000000002</v>
      </c>
      <c r="P1144">
        <v>-2</v>
      </c>
      <c r="Q1144">
        <f>IF(P1144&lt;1, 1, P1144)</f>
        <v>1</v>
      </c>
      <c r="R1144">
        <v>-10</v>
      </c>
      <c r="S1144" t="str">
        <f>IF(OR(R1144&lt;0,R1144&gt;100),"invalid","Valid")</f>
        <v>invalid</v>
      </c>
      <c r="T1144" t="s">
        <v>24</v>
      </c>
      <c r="U1144" t="str">
        <f>PROPER(TRIM(T1144))</f>
        <v>Pos</v>
      </c>
      <c r="V1144" t="s">
        <v>25</v>
      </c>
      <c r="W1144" t="str">
        <f t="shared" si="34"/>
        <v>Dan</v>
      </c>
      <c r="X1144" t="s">
        <v>82</v>
      </c>
      <c r="Y1144">
        <v>2</v>
      </c>
      <c r="Z1144" t="str">
        <f>IF(D1144="", "Missing", "ok")</f>
        <v>ok</v>
      </c>
      <c r="AA1144">
        <f t="shared" si="35"/>
        <v>344.41</v>
      </c>
    </row>
    <row r="1145" spans="1:27" x14ac:dyDescent="0.25">
      <c r="A1145" t="s">
        <v>2868</v>
      </c>
      <c r="B1145" s="1" t="s">
        <v>1468</v>
      </c>
      <c r="C1145" t="s">
        <v>2869</v>
      </c>
      <c r="D1145" t="s">
        <v>19</v>
      </c>
      <c r="E1145" t="str">
        <f>PROPER(TRIM(D1145))</f>
        <v>Peter</v>
      </c>
      <c r="F1145" t="s">
        <v>46</v>
      </c>
      <c r="G1145">
        <v>130</v>
      </c>
      <c r="H1145" t="str">
        <f>IF(AND(G1145&gt;18, G1145&lt;65), "Valid", "Invalid")</f>
        <v>Invalid</v>
      </c>
      <c r="I1145" t="s">
        <v>21</v>
      </c>
      <c r="J1145" t="str">
        <f>PROPER(TRIM(I1145))</f>
        <v>Lagos</v>
      </c>
      <c r="K1145" t="s">
        <v>31</v>
      </c>
      <c r="L1145" t="str">
        <f>PROPER(TRIM(K1145))</f>
        <v>Sports</v>
      </c>
      <c r="M1145" t="s">
        <v>32</v>
      </c>
      <c r="N1145" t="str">
        <f>PROPER(TRIM(M1145))</f>
        <v>Ball</v>
      </c>
      <c r="O1145">
        <v>36.369999999999997</v>
      </c>
      <c r="P1145">
        <v>1</v>
      </c>
      <c r="Q1145">
        <f>IF(P1145&lt;1, 1, P1145)</f>
        <v>1</v>
      </c>
      <c r="R1145">
        <v>10</v>
      </c>
      <c r="S1145" t="str">
        <f>IF(OR(R1145&lt;0,R1145&gt;100),"invalid","Valid")</f>
        <v>Valid</v>
      </c>
      <c r="T1145" t="s">
        <v>77</v>
      </c>
      <c r="U1145" t="str">
        <f>PROPER(TRIM(T1145))</f>
        <v>Cash</v>
      </c>
      <c r="V1145" t="s">
        <v>25</v>
      </c>
      <c r="W1145" t="str">
        <f t="shared" si="34"/>
        <v>Dan</v>
      </c>
      <c r="X1145" t="s">
        <v>65</v>
      </c>
      <c r="Y1145">
        <v>3</v>
      </c>
      <c r="Z1145" t="str">
        <f>IF(D1145="", "Missing", "ok")</f>
        <v>ok</v>
      </c>
      <c r="AA1145">
        <f t="shared" si="35"/>
        <v>32.732999999999997</v>
      </c>
    </row>
    <row r="1146" spans="1:27" x14ac:dyDescent="0.25">
      <c r="A1146" t="s">
        <v>2870</v>
      </c>
      <c r="B1146" s="1" t="s">
        <v>2871</v>
      </c>
      <c r="C1146" t="s">
        <v>2872</v>
      </c>
      <c r="E1146" t="str">
        <f>PROPER(TRIM(D1146))</f>
        <v/>
      </c>
      <c r="F1146" t="s">
        <v>46</v>
      </c>
      <c r="G1146">
        <v>61</v>
      </c>
      <c r="H1146" t="str">
        <f>IF(AND(G1146&gt;18, G1146&lt;65), "Valid", "Invalid")</f>
        <v>Valid</v>
      </c>
      <c r="I1146" t="s">
        <v>70</v>
      </c>
      <c r="J1146" t="str">
        <f>PROPER(TRIM(I1146))</f>
        <v>Abuja</v>
      </c>
      <c r="K1146" t="s">
        <v>39</v>
      </c>
      <c r="L1146" t="str">
        <f>PROPER(TRIM(K1146))</f>
        <v>Electronics</v>
      </c>
      <c r="M1146" t="s">
        <v>40</v>
      </c>
      <c r="N1146" t="str">
        <f>PROPER(TRIM(M1146))</f>
        <v>Phone</v>
      </c>
      <c r="O1146">
        <v>438.62</v>
      </c>
      <c r="P1146">
        <v>6</v>
      </c>
      <c r="Q1146">
        <f>IF(P1146&lt;1, 1, P1146)</f>
        <v>6</v>
      </c>
      <c r="R1146">
        <v>15</v>
      </c>
      <c r="S1146" t="str">
        <f>IF(OR(R1146&lt;0,R1146&gt;100),"invalid","Valid")</f>
        <v>Valid</v>
      </c>
      <c r="T1146" t="s">
        <v>64</v>
      </c>
      <c r="U1146" t="str">
        <f>PROPER(TRIM(T1146))</f>
        <v>Transfer</v>
      </c>
      <c r="V1146" t="s">
        <v>91</v>
      </c>
      <c r="W1146" t="str">
        <f t="shared" si="34"/>
        <v>Ben</v>
      </c>
      <c r="X1146" t="s">
        <v>65</v>
      </c>
      <c r="Y1146">
        <v>2</v>
      </c>
      <c r="Z1146" t="str">
        <f>IF(D1146="", "Missing", "ok")</f>
        <v>Missing</v>
      </c>
      <c r="AA1146">
        <f t="shared" si="35"/>
        <v>2236.962</v>
      </c>
    </row>
    <row r="1147" spans="1:27" x14ac:dyDescent="0.25">
      <c r="A1147" t="s">
        <v>2873</v>
      </c>
      <c r="B1147" s="1" t="s">
        <v>2489</v>
      </c>
      <c r="C1147" t="s">
        <v>2874</v>
      </c>
      <c r="D1147" t="s">
        <v>117</v>
      </c>
      <c r="E1147" t="str">
        <f>PROPER(TRIM(D1147))</f>
        <v>David</v>
      </c>
      <c r="F1147" t="s">
        <v>20</v>
      </c>
      <c r="G1147">
        <v>8</v>
      </c>
      <c r="H1147" t="str">
        <f>IF(AND(G1147&gt;18, G1147&lt;65), "Valid", "Invalid")</f>
        <v>Invalid</v>
      </c>
      <c r="I1147" t="s">
        <v>38</v>
      </c>
      <c r="J1147" t="str">
        <f>PROPER(TRIM(I1147))</f>
        <v>Ph</v>
      </c>
      <c r="K1147" t="s">
        <v>22</v>
      </c>
      <c r="L1147" t="str">
        <f>PROPER(TRIM(K1147))</f>
        <v>Fashion</v>
      </c>
      <c r="M1147" t="s">
        <v>23</v>
      </c>
      <c r="N1147" t="str">
        <f>PROPER(TRIM(M1147))</f>
        <v>Shirt</v>
      </c>
      <c r="O1147">
        <v>112.93</v>
      </c>
      <c r="P1147">
        <v>4</v>
      </c>
      <c r="Q1147">
        <f>IF(P1147&lt;1, 1, P1147)</f>
        <v>4</v>
      </c>
      <c r="R1147">
        <v>15</v>
      </c>
      <c r="S1147" t="str">
        <f>IF(OR(R1147&lt;0,R1147&gt;100),"invalid","Valid")</f>
        <v>Valid</v>
      </c>
      <c r="T1147" t="s">
        <v>59</v>
      </c>
      <c r="U1147" t="str">
        <f>PROPER(TRIM(T1147))</f>
        <v>Mobile Money</v>
      </c>
      <c r="V1147" t="s">
        <v>25</v>
      </c>
      <c r="W1147" t="str">
        <f t="shared" si="34"/>
        <v>Dan</v>
      </c>
      <c r="X1147" t="s">
        <v>82</v>
      </c>
      <c r="Y1147">
        <v>1</v>
      </c>
      <c r="Z1147" t="str">
        <f>IF(D1147="", "Missing", "ok")</f>
        <v>ok</v>
      </c>
      <c r="AA1147">
        <f t="shared" si="35"/>
        <v>383.96199999999999</v>
      </c>
    </row>
    <row r="1148" spans="1:27" x14ac:dyDescent="0.25">
      <c r="A1148" t="s">
        <v>2875</v>
      </c>
      <c r="B1148" s="1" t="s">
        <v>631</v>
      </c>
      <c r="C1148" t="s">
        <v>2876</v>
      </c>
      <c r="D1148" t="s">
        <v>117</v>
      </c>
      <c r="E1148" t="str">
        <f>PROPER(TRIM(D1148))</f>
        <v>David</v>
      </c>
      <c r="F1148" t="s">
        <v>46</v>
      </c>
      <c r="G1148">
        <v>130</v>
      </c>
      <c r="H1148" t="str">
        <f>IF(AND(G1148&gt;18, G1148&lt;65), "Valid", "Invalid")</f>
        <v>Invalid</v>
      </c>
      <c r="I1148" t="s">
        <v>47</v>
      </c>
      <c r="J1148" t="str">
        <f>PROPER(TRIM(I1148))</f>
        <v>Enugu</v>
      </c>
      <c r="K1148" t="s">
        <v>39</v>
      </c>
      <c r="L1148" t="str">
        <f>PROPER(TRIM(K1148))</f>
        <v>Electronics</v>
      </c>
      <c r="M1148" t="s">
        <v>40</v>
      </c>
      <c r="N1148" t="str">
        <f>PROPER(TRIM(M1148))</f>
        <v>Phone</v>
      </c>
      <c r="O1148">
        <v>202.73</v>
      </c>
      <c r="P1148">
        <v>-2</v>
      </c>
      <c r="Q1148">
        <f>IF(P1148&lt;1, 1, P1148)</f>
        <v>1</v>
      </c>
      <c r="R1148">
        <v>10</v>
      </c>
      <c r="S1148" t="str">
        <f>IF(OR(R1148&lt;0,R1148&gt;100),"invalid","Valid")</f>
        <v>Valid</v>
      </c>
      <c r="T1148" t="s">
        <v>59</v>
      </c>
      <c r="U1148" t="str">
        <f>PROPER(TRIM(T1148))</f>
        <v>Mobile Money</v>
      </c>
      <c r="V1148" t="s">
        <v>25</v>
      </c>
      <c r="W1148" t="str">
        <f t="shared" si="34"/>
        <v>Dan</v>
      </c>
      <c r="X1148" t="s">
        <v>65</v>
      </c>
      <c r="Z1148" t="str">
        <f>IF(D1148="", "Missing", "ok")</f>
        <v>ok</v>
      </c>
      <c r="AA1148">
        <f t="shared" si="35"/>
        <v>182.45699999999999</v>
      </c>
    </row>
    <row r="1149" spans="1:27" x14ac:dyDescent="0.25">
      <c r="A1149" t="s">
        <v>2877</v>
      </c>
      <c r="B1149" s="1" t="s">
        <v>2855</v>
      </c>
      <c r="C1149" t="s">
        <v>2878</v>
      </c>
      <c r="D1149" t="s">
        <v>37</v>
      </c>
      <c r="E1149" t="str">
        <f>PROPER(TRIM(D1149))</f>
        <v>Aisha</v>
      </c>
      <c r="F1149" t="s">
        <v>20</v>
      </c>
      <c r="G1149">
        <v>130</v>
      </c>
      <c r="H1149" t="str">
        <f>IF(AND(G1149&gt;18, G1149&lt;65), "Valid", "Invalid")</f>
        <v>Invalid</v>
      </c>
      <c r="I1149" t="s">
        <v>47</v>
      </c>
      <c r="J1149" t="str">
        <f>PROPER(TRIM(I1149))</f>
        <v>Enugu</v>
      </c>
      <c r="K1149" t="s">
        <v>22</v>
      </c>
      <c r="L1149" t="str">
        <f>PROPER(TRIM(K1149))</f>
        <v>Fashion</v>
      </c>
      <c r="M1149" t="s">
        <v>23</v>
      </c>
      <c r="N1149" t="str">
        <f>PROPER(TRIM(M1149))</f>
        <v>Shirt</v>
      </c>
      <c r="O1149">
        <v>394.12</v>
      </c>
      <c r="P1149">
        <v>1</v>
      </c>
      <c r="Q1149">
        <f>IF(P1149&lt;1, 1, P1149)</f>
        <v>1</v>
      </c>
      <c r="R1149">
        <v>-10</v>
      </c>
      <c r="S1149" t="str">
        <f>IF(OR(R1149&lt;0,R1149&gt;100),"invalid","Valid")</f>
        <v>invalid</v>
      </c>
      <c r="T1149" t="s">
        <v>64</v>
      </c>
      <c r="U1149" t="str">
        <f>PROPER(TRIM(T1149))</f>
        <v>Transfer</v>
      </c>
      <c r="V1149" t="s">
        <v>41</v>
      </c>
      <c r="W1149" t="str">
        <f t="shared" si="34"/>
        <v>Chi</v>
      </c>
      <c r="X1149" t="s">
        <v>65</v>
      </c>
      <c r="Y1149">
        <v>5</v>
      </c>
      <c r="Z1149" t="str">
        <f>IF(D1149="", "Missing", "ok")</f>
        <v>ok</v>
      </c>
      <c r="AA1149">
        <f t="shared" si="35"/>
        <v>433.53200000000004</v>
      </c>
    </row>
    <row r="1150" spans="1:27" x14ac:dyDescent="0.25">
      <c r="A1150" t="s">
        <v>2879</v>
      </c>
      <c r="B1150" s="1" t="s">
        <v>2880</v>
      </c>
      <c r="C1150" t="s">
        <v>2881</v>
      </c>
      <c r="D1150" t="s">
        <v>63</v>
      </c>
      <c r="E1150" t="str">
        <f>PROPER(TRIM(D1150))</f>
        <v>John</v>
      </c>
      <c r="F1150" t="s">
        <v>20</v>
      </c>
      <c r="G1150">
        <v>130</v>
      </c>
      <c r="H1150" t="str">
        <f>IF(AND(G1150&gt;18, G1150&lt;65), "Valid", "Invalid")</f>
        <v>Invalid</v>
      </c>
      <c r="I1150" t="s">
        <v>70</v>
      </c>
      <c r="J1150" t="str">
        <f>PROPER(TRIM(I1150))</f>
        <v>Abuja</v>
      </c>
      <c r="K1150" t="s">
        <v>54</v>
      </c>
      <c r="L1150" t="str">
        <f>PROPER(TRIM(K1150))</f>
        <v>Home</v>
      </c>
      <c r="M1150" t="s">
        <v>55</v>
      </c>
      <c r="N1150" t="str">
        <f>PROPER(TRIM(M1150))</f>
        <v>Chair</v>
      </c>
      <c r="O1150">
        <v>470.61</v>
      </c>
      <c r="P1150">
        <v>5</v>
      </c>
      <c r="Q1150">
        <f>IF(P1150&lt;1, 1, P1150)</f>
        <v>5</v>
      </c>
      <c r="R1150">
        <v>-10</v>
      </c>
      <c r="S1150" t="str">
        <f>IF(OR(R1150&lt;0,R1150&gt;100),"invalid","Valid")</f>
        <v>invalid</v>
      </c>
      <c r="T1150" t="s">
        <v>64</v>
      </c>
      <c r="U1150" t="str">
        <f>PROPER(TRIM(T1150))</f>
        <v>Transfer</v>
      </c>
      <c r="V1150" t="s">
        <v>25</v>
      </c>
      <c r="W1150" t="str">
        <f t="shared" si="34"/>
        <v>Dan</v>
      </c>
      <c r="X1150" t="s">
        <v>33</v>
      </c>
      <c r="Y1150">
        <v>2</v>
      </c>
      <c r="Z1150" t="str">
        <f>IF(D1150="", "Missing", "ok")</f>
        <v>ok</v>
      </c>
      <c r="AA1150">
        <f t="shared" si="35"/>
        <v>2588.3550000000005</v>
      </c>
    </row>
    <row r="1151" spans="1:27" x14ac:dyDescent="0.25">
      <c r="A1151" t="s">
        <v>2882</v>
      </c>
      <c r="B1151" s="1" t="s">
        <v>2883</v>
      </c>
      <c r="C1151" t="s">
        <v>2884</v>
      </c>
      <c r="D1151" t="s">
        <v>69</v>
      </c>
      <c r="E1151" t="str">
        <f>PROPER(TRIM(D1151))</f>
        <v>Mary</v>
      </c>
      <c r="F1151" t="s">
        <v>20</v>
      </c>
      <c r="G1151">
        <v>34</v>
      </c>
      <c r="H1151" t="str">
        <f>IF(AND(G1151&gt;18, G1151&lt;65), "Valid", "Invalid")</f>
        <v>Valid</v>
      </c>
      <c r="I1151" t="s">
        <v>70</v>
      </c>
      <c r="J1151" t="str">
        <f>PROPER(TRIM(I1151))</f>
        <v>Abuja</v>
      </c>
      <c r="K1151" t="s">
        <v>54</v>
      </c>
      <c r="L1151" t="str">
        <f>PROPER(TRIM(K1151))</f>
        <v>Home</v>
      </c>
      <c r="M1151" t="s">
        <v>55</v>
      </c>
      <c r="N1151" t="str">
        <f>PROPER(TRIM(M1151))</f>
        <v>Chair</v>
      </c>
      <c r="O1151">
        <v>89.4</v>
      </c>
      <c r="P1151">
        <v>-2</v>
      </c>
      <c r="Q1151">
        <f>IF(P1151&lt;1, 1, P1151)</f>
        <v>1</v>
      </c>
      <c r="R1151">
        <v>10</v>
      </c>
      <c r="S1151" t="str">
        <f>IF(OR(R1151&lt;0,R1151&gt;100),"invalid","Valid")</f>
        <v>Valid</v>
      </c>
      <c r="U1151" t="str">
        <f>PROPER(TRIM(T1151))</f>
        <v/>
      </c>
      <c r="V1151" t="s">
        <v>81</v>
      </c>
      <c r="W1151" t="str">
        <f t="shared" si="34"/>
        <v>Ada</v>
      </c>
      <c r="X1151" t="s">
        <v>33</v>
      </c>
      <c r="Y1151">
        <v>5</v>
      </c>
      <c r="Z1151" t="str">
        <f>IF(D1151="", "Missing", "ok")</f>
        <v>ok</v>
      </c>
      <c r="AA1151">
        <f t="shared" si="35"/>
        <v>80.460000000000008</v>
      </c>
    </row>
    <row r="1152" spans="1:27" x14ac:dyDescent="0.25">
      <c r="A1152" t="s">
        <v>2885</v>
      </c>
      <c r="B1152" s="1" t="s">
        <v>246</v>
      </c>
      <c r="C1152" t="s">
        <v>2886</v>
      </c>
      <c r="D1152" t="s">
        <v>101</v>
      </c>
      <c r="E1152" t="str">
        <f>PROPER(TRIM(D1152))</f>
        <v>Grace</v>
      </c>
      <c r="F1152" t="s">
        <v>20</v>
      </c>
      <c r="G1152">
        <v>130</v>
      </c>
      <c r="H1152" t="str">
        <f>IF(AND(G1152&gt;18, G1152&lt;65), "Valid", "Invalid")</f>
        <v>Invalid</v>
      </c>
      <c r="I1152" t="s">
        <v>38</v>
      </c>
      <c r="J1152" t="str">
        <f>PROPER(TRIM(I1152))</f>
        <v>Ph</v>
      </c>
      <c r="K1152" t="s">
        <v>87</v>
      </c>
      <c r="L1152" t="str">
        <f>PROPER(TRIM(K1152))</f>
        <v>Groceris</v>
      </c>
      <c r="M1152" t="s">
        <v>49</v>
      </c>
      <c r="N1152" t="str">
        <f>PROPER(TRIM(M1152))</f>
        <v>Rice</v>
      </c>
      <c r="O1152">
        <v>61.35</v>
      </c>
      <c r="P1152">
        <v>-2</v>
      </c>
      <c r="Q1152">
        <f>IF(P1152&lt;1, 1, P1152)</f>
        <v>1</v>
      </c>
      <c r="R1152">
        <v>-10</v>
      </c>
      <c r="S1152" t="str">
        <f>IF(OR(R1152&lt;0,R1152&gt;100),"invalid","Valid")</f>
        <v>invalid</v>
      </c>
      <c r="T1152" t="s">
        <v>24</v>
      </c>
      <c r="U1152" t="str">
        <f>PROPER(TRIM(T1152))</f>
        <v>Pos</v>
      </c>
      <c r="V1152" t="s">
        <v>41</v>
      </c>
      <c r="W1152" t="str">
        <f t="shared" si="34"/>
        <v>Chi</v>
      </c>
      <c r="X1152" t="s">
        <v>26</v>
      </c>
      <c r="Y1152">
        <v>2</v>
      </c>
      <c r="Z1152" t="str">
        <f>IF(D1152="", "Missing", "ok")</f>
        <v>ok</v>
      </c>
      <c r="AA1152">
        <f t="shared" si="35"/>
        <v>67.485000000000014</v>
      </c>
    </row>
    <row r="1153" spans="1:27" x14ac:dyDescent="0.25">
      <c r="A1153" t="s">
        <v>2887</v>
      </c>
      <c r="B1153" s="1" t="s">
        <v>1612</v>
      </c>
      <c r="C1153" t="s">
        <v>2888</v>
      </c>
      <c r="D1153" t="s">
        <v>69</v>
      </c>
      <c r="E1153" t="str">
        <f>PROPER(TRIM(D1153))</f>
        <v>Mary</v>
      </c>
      <c r="F1153" t="s">
        <v>46</v>
      </c>
      <c r="G1153">
        <v>130</v>
      </c>
      <c r="H1153" t="str">
        <f>IF(AND(G1153&gt;18, G1153&lt;65), "Valid", "Invalid")</f>
        <v>Invalid</v>
      </c>
      <c r="I1153" t="s">
        <v>53</v>
      </c>
      <c r="J1153" t="str">
        <f>PROPER(TRIM(I1153))</f>
        <v>Lagos</v>
      </c>
      <c r="K1153" t="s">
        <v>22</v>
      </c>
      <c r="L1153" t="str">
        <f>PROPER(TRIM(K1153))</f>
        <v>Fashion</v>
      </c>
      <c r="M1153" t="s">
        <v>23</v>
      </c>
      <c r="N1153" t="str">
        <f>PROPER(TRIM(M1153))</f>
        <v>Shirt</v>
      </c>
      <c r="O1153">
        <v>19.100000000000001</v>
      </c>
      <c r="P1153">
        <v>-2</v>
      </c>
      <c r="Q1153">
        <f>IF(P1153&lt;1, 1, P1153)</f>
        <v>1</v>
      </c>
      <c r="R1153">
        <v>10</v>
      </c>
      <c r="S1153" t="str">
        <f>IF(OR(R1153&lt;0,R1153&gt;100),"invalid","Valid")</f>
        <v>Valid</v>
      </c>
      <c r="T1153" t="s">
        <v>64</v>
      </c>
      <c r="U1153" t="str">
        <f>PROPER(TRIM(T1153))</f>
        <v>Transfer</v>
      </c>
      <c r="V1153" t="s">
        <v>81</v>
      </c>
      <c r="W1153" t="str">
        <f t="shared" si="34"/>
        <v>Ada</v>
      </c>
      <c r="X1153" t="s">
        <v>33</v>
      </c>
      <c r="Y1153">
        <v>3</v>
      </c>
      <c r="Z1153" t="str">
        <f>IF(D1153="", "Missing", "ok")</f>
        <v>ok</v>
      </c>
      <c r="AA1153">
        <f t="shared" si="35"/>
        <v>17.190000000000001</v>
      </c>
    </row>
    <row r="1154" spans="1:27" x14ac:dyDescent="0.25">
      <c r="A1154" t="s">
        <v>2889</v>
      </c>
      <c r="B1154" s="1" t="s">
        <v>2890</v>
      </c>
      <c r="C1154" t="s">
        <v>2891</v>
      </c>
      <c r="D1154" t="s">
        <v>19</v>
      </c>
      <c r="E1154" t="str">
        <f>PROPER(TRIM(D1154))</f>
        <v>Peter</v>
      </c>
      <c r="F1154" t="s">
        <v>20</v>
      </c>
      <c r="G1154">
        <v>130</v>
      </c>
      <c r="H1154" t="str">
        <f>IF(AND(G1154&gt;18, G1154&lt;65), "Valid", "Invalid")</f>
        <v>Invalid</v>
      </c>
      <c r="I1154" t="s">
        <v>47</v>
      </c>
      <c r="J1154" t="str">
        <f>PROPER(TRIM(I1154))</f>
        <v>Enugu</v>
      </c>
      <c r="K1154" t="s">
        <v>22</v>
      </c>
      <c r="L1154" t="str">
        <f>PROPER(TRIM(K1154))</f>
        <v>Fashion</v>
      </c>
      <c r="M1154" t="s">
        <v>23</v>
      </c>
      <c r="N1154" t="str">
        <f>PROPER(TRIM(M1154))</f>
        <v>Shirt</v>
      </c>
      <c r="O1154">
        <v>403.65</v>
      </c>
      <c r="P1154">
        <v>-2</v>
      </c>
      <c r="Q1154">
        <f>IF(P1154&lt;1, 1, P1154)</f>
        <v>1</v>
      </c>
      <c r="R1154">
        <v>10</v>
      </c>
      <c r="S1154" t="str">
        <f>IF(OR(R1154&lt;0,R1154&gt;100),"invalid","Valid")</f>
        <v>Valid</v>
      </c>
      <c r="T1154" t="s">
        <v>59</v>
      </c>
      <c r="U1154" t="str">
        <f>PROPER(TRIM(T1154))</f>
        <v>Mobile Money</v>
      </c>
      <c r="V1154" t="s">
        <v>91</v>
      </c>
      <c r="W1154" t="str">
        <f t="shared" ref="W1154:W1197" si="36">PROPER(TRIM(V1154))</f>
        <v>Ben</v>
      </c>
      <c r="X1154" t="s">
        <v>65</v>
      </c>
      <c r="Y1154">
        <v>4</v>
      </c>
      <c r="Z1154" t="str">
        <f>IF(D1154="", "Missing", "ok")</f>
        <v>ok</v>
      </c>
      <c r="AA1154">
        <f t="shared" si="35"/>
        <v>363.28499999999997</v>
      </c>
    </row>
    <row r="1155" spans="1:27" x14ac:dyDescent="0.25">
      <c r="A1155" t="s">
        <v>2892</v>
      </c>
      <c r="B1155" s="1" t="s">
        <v>1374</v>
      </c>
      <c r="C1155" t="s">
        <v>2893</v>
      </c>
      <c r="D1155" t="s">
        <v>69</v>
      </c>
      <c r="E1155" t="str">
        <f>PROPER(TRIM(D1155))</f>
        <v>Mary</v>
      </c>
      <c r="F1155" t="s">
        <v>46</v>
      </c>
      <c r="G1155">
        <v>49</v>
      </c>
      <c r="H1155" t="str">
        <f>IF(AND(G1155&gt;18, G1155&lt;65), "Valid", "Invalid")</f>
        <v>Valid</v>
      </c>
      <c r="I1155" t="s">
        <v>86</v>
      </c>
      <c r="J1155" t="str">
        <f>PROPER(TRIM(I1155))</f>
        <v>Kano</v>
      </c>
      <c r="K1155" t="s">
        <v>39</v>
      </c>
      <c r="L1155" t="str">
        <f>PROPER(TRIM(K1155))</f>
        <v>Electronics</v>
      </c>
      <c r="M1155" t="s">
        <v>40</v>
      </c>
      <c r="N1155" t="str">
        <f>PROPER(TRIM(M1155))</f>
        <v>Phone</v>
      </c>
      <c r="O1155">
        <v>376.39</v>
      </c>
      <c r="P1155">
        <v>-2</v>
      </c>
      <c r="Q1155">
        <f>IF(P1155&lt;1, 1, P1155)</f>
        <v>1</v>
      </c>
      <c r="R1155">
        <v>0</v>
      </c>
      <c r="S1155" t="str">
        <f>IF(OR(R1155&lt;0,R1155&gt;100),"invalid","Valid")</f>
        <v>Valid</v>
      </c>
      <c r="U1155" t="str">
        <f>PROPER(TRIM(T1155))</f>
        <v/>
      </c>
      <c r="V1155" t="s">
        <v>41</v>
      </c>
      <c r="W1155" t="str">
        <f t="shared" si="36"/>
        <v>Chi</v>
      </c>
      <c r="X1155" t="s">
        <v>82</v>
      </c>
      <c r="Y1155">
        <v>2</v>
      </c>
      <c r="Z1155" t="str">
        <f>IF(D1155="", "Missing", "ok")</f>
        <v>ok</v>
      </c>
      <c r="AA1155">
        <f t="shared" ref="AA1155:AA1196" si="37">(O1155*Q1155)*(1-R1155/100)</f>
        <v>376.39</v>
      </c>
    </row>
    <row r="1156" spans="1:27" x14ac:dyDescent="0.25">
      <c r="A1156" t="s">
        <v>2894</v>
      </c>
      <c r="B1156" s="1" t="s">
        <v>473</v>
      </c>
      <c r="C1156" t="s">
        <v>2895</v>
      </c>
      <c r="D1156" t="s">
        <v>63</v>
      </c>
      <c r="E1156" t="str">
        <f>PROPER(TRIM(D1156))</f>
        <v>John</v>
      </c>
      <c r="F1156" t="s">
        <v>20</v>
      </c>
      <c r="G1156">
        <v>8</v>
      </c>
      <c r="H1156" t="str">
        <f>IF(AND(G1156&gt;18, G1156&lt;65), "Valid", "Invalid")</f>
        <v>Invalid</v>
      </c>
      <c r="I1156" t="s">
        <v>53</v>
      </c>
      <c r="J1156" t="str">
        <f>PROPER(TRIM(I1156))</f>
        <v>Lagos</v>
      </c>
      <c r="K1156" t="s">
        <v>31</v>
      </c>
      <c r="L1156" t="str">
        <f>PROPER(TRIM(K1156))</f>
        <v>Sports</v>
      </c>
      <c r="M1156" t="s">
        <v>32</v>
      </c>
      <c r="N1156" t="str">
        <f>PROPER(TRIM(M1156))</f>
        <v>Ball</v>
      </c>
      <c r="O1156">
        <v>258.52999999999997</v>
      </c>
      <c r="P1156">
        <v>1</v>
      </c>
      <c r="Q1156">
        <f>IF(P1156&lt;1, 1, P1156)</f>
        <v>1</v>
      </c>
      <c r="R1156">
        <v>-10</v>
      </c>
      <c r="S1156" t="str">
        <f>IF(OR(R1156&lt;0,R1156&gt;100),"invalid","Valid")</f>
        <v>invalid</v>
      </c>
      <c r="T1156" t="s">
        <v>64</v>
      </c>
      <c r="U1156" t="str">
        <f>PROPER(TRIM(T1156))</f>
        <v>Transfer</v>
      </c>
      <c r="V1156" t="s">
        <v>25</v>
      </c>
      <c r="W1156" t="str">
        <f t="shared" si="36"/>
        <v>Dan</v>
      </c>
      <c r="X1156" t="s">
        <v>82</v>
      </c>
      <c r="Y1156">
        <v>1</v>
      </c>
      <c r="Z1156" t="str">
        <f>IF(D1156="", "Missing", "ok")</f>
        <v>ok</v>
      </c>
      <c r="AA1156">
        <f t="shared" si="37"/>
        <v>284.38299999999998</v>
      </c>
    </row>
    <row r="1157" spans="1:27" x14ac:dyDescent="0.25">
      <c r="A1157" t="s">
        <v>2896</v>
      </c>
      <c r="B1157" s="1" t="s">
        <v>2796</v>
      </c>
      <c r="C1157" t="s">
        <v>2897</v>
      </c>
      <c r="E1157" t="str">
        <f>PROPER(TRIM(D1157))</f>
        <v/>
      </c>
      <c r="F1157" t="s">
        <v>20</v>
      </c>
      <c r="G1157">
        <v>8</v>
      </c>
      <c r="H1157" t="str">
        <f>IF(AND(G1157&gt;18, G1157&lt;65), "Valid", "Invalid")</f>
        <v>Invalid</v>
      </c>
      <c r="I1157" t="s">
        <v>38</v>
      </c>
      <c r="J1157" t="str">
        <f>PROPER(TRIM(I1157))</f>
        <v>Ph</v>
      </c>
      <c r="K1157" t="s">
        <v>54</v>
      </c>
      <c r="L1157" t="str">
        <f>PROPER(TRIM(K1157))</f>
        <v>Home</v>
      </c>
      <c r="M1157" t="s">
        <v>55</v>
      </c>
      <c r="N1157" t="str">
        <f>PROPER(TRIM(M1157))</f>
        <v>Chair</v>
      </c>
      <c r="O1157">
        <v>179.69</v>
      </c>
      <c r="P1157">
        <v>1</v>
      </c>
      <c r="Q1157">
        <f>IF(P1157&lt;1, 1, P1157)</f>
        <v>1</v>
      </c>
      <c r="R1157">
        <v>-10</v>
      </c>
      <c r="S1157" t="str">
        <f>IF(OR(R1157&lt;0,R1157&gt;100),"invalid","Valid")</f>
        <v>invalid</v>
      </c>
      <c r="U1157" t="str">
        <f>PROPER(TRIM(T1157))</f>
        <v/>
      </c>
      <c r="V1157" t="s">
        <v>81</v>
      </c>
      <c r="W1157" t="str">
        <f t="shared" si="36"/>
        <v>Ada</v>
      </c>
      <c r="X1157" t="s">
        <v>65</v>
      </c>
      <c r="Y1157">
        <v>2</v>
      </c>
      <c r="Z1157" t="str">
        <f>IF(D1157="", "Missing", "ok")</f>
        <v>Missing</v>
      </c>
      <c r="AA1157">
        <f t="shared" si="37"/>
        <v>197.65900000000002</v>
      </c>
    </row>
    <row r="1158" spans="1:27" x14ac:dyDescent="0.25">
      <c r="A1158" t="s">
        <v>2898</v>
      </c>
      <c r="B1158" s="1" t="s">
        <v>2899</v>
      </c>
      <c r="C1158" t="s">
        <v>2900</v>
      </c>
      <c r="D1158" t="s">
        <v>101</v>
      </c>
      <c r="E1158" t="str">
        <f>PROPER(TRIM(D1158))</f>
        <v>Grace</v>
      </c>
      <c r="F1158" t="s">
        <v>46</v>
      </c>
      <c r="G1158">
        <v>130</v>
      </c>
      <c r="H1158" t="str">
        <f>IF(AND(G1158&gt;18, G1158&lt;65), "Valid", "Invalid")</f>
        <v>Invalid</v>
      </c>
      <c r="I1158" t="s">
        <v>21</v>
      </c>
      <c r="J1158" t="str">
        <f>PROPER(TRIM(I1158))</f>
        <v>Lagos</v>
      </c>
      <c r="K1158" t="s">
        <v>87</v>
      </c>
      <c r="L1158" t="str">
        <f>PROPER(TRIM(K1158))</f>
        <v>Groceris</v>
      </c>
      <c r="M1158" t="s">
        <v>49</v>
      </c>
      <c r="N1158" t="str">
        <f>PROPER(TRIM(M1158))</f>
        <v>Rice</v>
      </c>
      <c r="O1158">
        <v>263.58</v>
      </c>
      <c r="P1158">
        <v>2</v>
      </c>
      <c r="Q1158">
        <f>IF(P1158&lt;1, 1, P1158)</f>
        <v>2</v>
      </c>
      <c r="R1158">
        <v>-10</v>
      </c>
      <c r="S1158" t="str">
        <f>IF(OR(R1158&lt;0,R1158&gt;100),"invalid","Valid")</f>
        <v>invalid</v>
      </c>
      <c r="T1158" t="s">
        <v>77</v>
      </c>
      <c r="U1158" t="str">
        <f>PROPER(TRIM(T1158))</f>
        <v>Cash</v>
      </c>
      <c r="V1158" t="s">
        <v>41</v>
      </c>
      <c r="W1158" t="str">
        <f t="shared" si="36"/>
        <v>Chi</v>
      </c>
      <c r="X1158" t="s">
        <v>82</v>
      </c>
      <c r="Y1158">
        <v>1</v>
      </c>
      <c r="Z1158" t="str">
        <f>IF(D1158="", "Missing", "ok")</f>
        <v>ok</v>
      </c>
      <c r="AA1158">
        <f t="shared" si="37"/>
        <v>579.87599999999998</v>
      </c>
    </row>
    <row r="1159" spans="1:27" x14ac:dyDescent="0.25">
      <c r="A1159" t="s">
        <v>2901</v>
      </c>
      <c r="B1159" s="1" t="s">
        <v>2855</v>
      </c>
      <c r="C1159" t="s">
        <v>2902</v>
      </c>
      <c r="D1159" t="s">
        <v>63</v>
      </c>
      <c r="E1159" t="str">
        <f>PROPER(TRIM(D1159))</f>
        <v>John</v>
      </c>
      <c r="F1159" t="s">
        <v>20</v>
      </c>
      <c r="G1159">
        <v>8</v>
      </c>
      <c r="H1159" t="str">
        <f>IF(AND(G1159&gt;18, G1159&lt;65), "Valid", "Invalid")</f>
        <v>Invalid</v>
      </c>
      <c r="I1159" t="s">
        <v>53</v>
      </c>
      <c r="J1159" t="str">
        <f>PROPER(TRIM(I1159))</f>
        <v>Lagos</v>
      </c>
      <c r="K1159" t="s">
        <v>121</v>
      </c>
      <c r="L1159" t="str">
        <f>PROPER(TRIM(K1159))</f>
        <v>Beauty</v>
      </c>
      <c r="M1159" t="s">
        <v>122</v>
      </c>
      <c r="N1159" t="str">
        <f>PROPER(TRIM(M1159))</f>
        <v>Cream</v>
      </c>
      <c r="O1159">
        <v>177.72</v>
      </c>
      <c r="P1159">
        <v>3</v>
      </c>
      <c r="Q1159">
        <f>IF(P1159&lt;1, 1, P1159)</f>
        <v>3</v>
      </c>
      <c r="R1159">
        <v>120</v>
      </c>
      <c r="S1159" t="str">
        <f>IF(OR(R1159&lt;0,R1159&gt;100),"invalid","Valid")</f>
        <v>invalid</v>
      </c>
      <c r="T1159" t="s">
        <v>64</v>
      </c>
      <c r="U1159" t="str">
        <f>PROPER(TRIM(T1159))</f>
        <v>Transfer</v>
      </c>
      <c r="V1159" t="s">
        <v>41</v>
      </c>
      <c r="W1159" t="str">
        <f t="shared" si="36"/>
        <v>Chi</v>
      </c>
      <c r="X1159" t="s">
        <v>26</v>
      </c>
      <c r="Y1159">
        <v>3</v>
      </c>
      <c r="Z1159" t="str">
        <f>IF(D1159="", "Missing", "ok")</f>
        <v>ok</v>
      </c>
      <c r="AA1159">
        <f t="shared" si="37"/>
        <v>-106.63199999999998</v>
      </c>
    </row>
    <row r="1160" spans="1:27" x14ac:dyDescent="0.25">
      <c r="A1160" t="s">
        <v>2903</v>
      </c>
      <c r="B1160" s="1" t="s">
        <v>1635</v>
      </c>
      <c r="C1160" t="s">
        <v>2904</v>
      </c>
      <c r="D1160" t="s">
        <v>63</v>
      </c>
      <c r="E1160" t="str">
        <f>PROPER(TRIM(D1160))</f>
        <v>John</v>
      </c>
      <c r="F1160" t="s">
        <v>20</v>
      </c>
      <c r="G1160">
        <v>8</v>
      </c>
      <c r="H1160" t="str">
        <f>IF(AND(G1160&gt;18, G1160&lt;65), "Valid", "Invalid")</f>
        <v>Invalid</v>
      </c>
      <c r="I1160" t="s">
        <v>86</v>
      </c>
      <c r="J1160" t="str">
        <f>PROPER(TRIM(I1160))</f>
        <v>Kano</v>
      </c>
      <c r="K1160" t="s">
        <v>31</v>
      </c>
      <c r="L1160" t="str">
        <f>PROPER(TRIM(K1160))</f>
        <v>Sports</v>
      </c>
      <c r="M1160" t="s">
        <v>32</v>
      </c>
      <c r="N1160" t="str">
        <f>PROPER(TRIM(M1160))</f>
        <v>Ball</v>
      </c>
      <c r="O1160">
        <v>446.89</v>
      </c>
      <c r="P1160">
        <v>-2</v>
      </c>
      <c r="Q1160">
        <f>IF(P1160&lt;1, 1, P1160)</f>
        <v>1</v>
      </c>
      <c r="R1160">
        <v>-10</v>
      </c>
      <c r="S1160" t="str">
        <f>IF(OR(R1160&lt;0,R1160&gt;100),"invalid","Valid")</f>
        <v>invalid</v>
      </c>
      <c r="T1160" t="s">
        <v>24</v>
      </c>
      <c r="U1160" t="str">
        <f>PROPER(TRIM(T1160))</f>
        <v>Pos</v>
      </c>
      <c r="V1160" t="s">
        <v>81</v>
      </c>
      <c r="W1160" t="str">
        <f t="shared" si="36"/>
        <v>Ada</v>
      </c>
      <c r="X1160" t="s">
        <v>65</v>
      </c>
      <c r="Y1160">
        <v>3</v>
      </c>
      <c r="Z1160" t="str">
        <f>IF(D1160="", "Missing", "ok")</f>
        <v>ok</v>
      </c>
      <c r="AA1160">
        <f t="shared" si="37"/>
        <v>491.57900000000001</v>
      </c>
    </row>
    <row r="1161" spans="1:27" x14ac:dyDescent="0.25">
      <c r="A1161" t="s">
        <v>2905</v>
      </c>
      <c r="B1161" s="1" t="s">
        <v>267</v>
      </c>
      <c r="C1161" t="s">
        <v>2906</v>
      </c>
      <c r="D1161" t="s">
        <v>63</v>
      </c>
      <c r="E1161" t="str">
        <f>PROPER(TRIM(D1161))</f>
        <v>John</v>
      </c>
      <c r="F1161" t="s">
        <v>46</v>
      </c>
      <c r="G1161">
        <v>130</v>
      </c>
      <c r="H1161" t="str">
        <f>IF(AND(G1161&gt;18, G1161&lt;65), "Valid", "Invalid")</f>
        <v>Invalid</v>
      </c>
      <c r="I1161" t="s">
        <v>47</v>
      </c>
      <c r="J1161" t="str">
        <f>PROPER(TRIM(I1161))</f>
        <v>Enugu</v>
      </c>
      <c r="K1161" t="s">
        <v>87</v>
      </c>
      <c r="L1161" t="str">
        <f>PROPER(TRIM(K1161))</f>
        <v>Groceris</v>
      </c>
      <c r="M1161" t="s">
        <v>49</v>
      </c>
      <c r="N1161" t="str">
        <f>PROPER(TRIM(M1161))</f>
        <v>Rice</v>
      </c>
      <c r="O1161">
        <v>376.48</v>
      </c>
      <c r="P1161">
        <v>7</v>
      </c>
      <c r="Q1161">
        <f>IF(P1161&lt;1, 1, P1161)</f>
        <v>7</v>
      </c>
      <c r="R1161">
        <v>0</v>
      </c>
      <c r="S1161" t="str">
        <f>IF(OR(R1161&lt;0,R1161&gt;100),"invalid","Valid")</f>
        <v>Valid</v>
      </c>
      <c r="U1161" t="str">
        <f>PROPER(TRIM(T1161))</f>
        <v/>
      </c>
      <c r="V1161" t="s">
        <v>41</v>
      </c>
      <c r="W1161" t="str">
        <f t="shared" si="36"/>
        <v>Chi</v>
      </c>
      <c r="X1161" t="s">
        <v>26</v>
      </c>
      <c r="Y1161">
        <v>5</v>
      </c>
      <c r="Z1161" t="str">
        <f>IF(D1161="", "Missing", "ok")</f>
        <v>ok</v>
      </c>
      <c r="AA1161">
        <f t="shared" si="37"/>
        <v>2635.36</v>
      </c>
    </row>
    <row r="1162" spans="1:27" x14ac:dyDescent="0.25">
      <c r="A1162" t="s">
        <v>2907</v>
      </c>
      <c r="B1162" s="1" t="s">
        <v>744</v>
      </c>
      <c r="C1162" t="s">
        <v>2908</v>
      </c>
      <c r="D1162" t="s">
        <v>37</v>
      </c>
      <c r="E1162" t="str">
        <f>PROPER(TRIM(D1162))</f>
        <v>Aisha</v>
      </c>
      <c r="F1162" t="s">
        <v>20</v>
      </c>
      <c r="G1162">
        <v>8</v>
      </c>
      <c r="H1162" t="str">
        <f>IF(AND(G1162&gt;18, G1162&lt;65), "Valid", "Invalid")</f>
        <v>Invalid</v>
      </c>
      <c r="I1162" t="s">
        <v>38</v>
      </c>
      <c r="J1162" t="str">
        <f>PROPER(TRIM(I1162))</f>
        <v>Ph</v>
      </c>
      <c r="K1162" t="s">
        <v>39</v>
      </c>
      <c r="L1162" t="str">
        <f>PROPER(TRIM(K1162))</f>
        <v>Electronics</v>
      </c>
      <c r="M1162" t="s">
        <v>40</v>
      </c>
      <c r="N1162" t="str">
        <f>PROPER(TRIM(M1162))</f>
        <v>Phone</v>
      </c>
      <c r="O1162">
        <v>338.82</v>
      </c>
      <c r="P1162">
        <v>8</v>
      </c>
      <c r="Q1162">
        <f>IF(P1162&lt;1, 1, P1162)</f>
        <v>8</v>
      </c>
      <c r="R1162">
        <v>10</v>
      </c>
      <c r="S1162" t="str">
        <f>IF(OR(R1162&lt;0,R1162&gt;100),"invalid","Valid")</f>
        <v>Valid</v>
      </c>
      <c r="T1162" t="s">
        <v>64</v>
      </c>
      <c r="U1162" t="str">
        <f>PROPER(TRIM(T1162))</f>
        <v>Transfer</v>
      </c>
      <c r="V1162" t="s">
        <v>91</v>
      </c>
      <c r="W1162" t="str">
        <f t="shared" si="36"/>
        <v>Ben</v>
      </c>
      <c r="X1162" t="s">
        <v>26</v>
      </c>
      <c r="Y1162">
        <v>2</v>
      </c>
      <c r="Z1162" t="str">
        <f>IF(D1162="", "Missing", "ok")</f>
        <v>ok</v>
      </c>
      <c r="AA1162">
        <f t="shared" si="37"/>
        <v>2439.5039999999999</v>
      </c>
    </row>
    <row r="1163" spans="1:27" x14ac:dyDescent="0.25">
      <c r="A1163" t="s">
        <v>2909</v>
      </c>
      <c r="B1163" s="1" t="s">
        <v>2910</v>
      </c>
      <c r="C1163" t="s">
        <v>2911</v>
      </c>
      <c r="D1163" t="s">
        <v>45</v>
      </c>
      <c r="E1163" t="str">
        <f>PROPER(TRIM(D1163))</f>
        <v>James</v>
      </c>
      <c r="F1163" t="s">
        <v>20</v>
      </c>
      <c r="G1163">
        <v>130</v>
      </c>
      <c r="H1163" t="str">
        <f>IF(AND(G1163&gt;18, G1163&lt;65), "Valid", "Invalid")</f>
        <v>Invalid</v>
      </c>
      <c r="I1163" t="s">
        <v>53</v>
      </c>
      <c r="J1163" t="str">
        <f>PROPER(TRIM(I1163))</f>
        <v>Lagos</v>
      </c>
      <c r="K1163" t="s">
        <v>22</v>
      </c>
      <c r="L1163" t="str">
        <f>PROPER(TRIM(K1163))</f>
        <v>Fashion</v>
      </c>
      <c r="M1163" t="s">
        <v>23</v>
      </c>
      <c r="N1163" t="str">
        <f>PROPER(TRIM(M1163))</f>
        <v>Shirt</v>
      </c>
      <c r="O1163">
        <v>467.78</v>
      </c>
      <c r="P1163">
        <v>10</v>
      </c>
      <c r="Q1163">
        <f>IF(P1163&lt;1, 1, P1163)</f>
        <v>10</v>
      </c>
      <c r="R1163">
        <v>120</v>
      </c>
      <c r="S1163" t="str">
        <f>IF(OR(R1163&lt;0,R1163&gt;100),"invalid","Valid")</f>
        <v>invalid</v>
      </c>
      <c r="T1163" t="s">
        <v>64</v>
      </c>
      <c r="U1163" t="str">
        <f>PROPER(TRIM(T1163))</f>
        <v>Transfer</v>
      </c>
      <c r="V1163" t="s">
        <v>91</v>
      </c>
      <c r="W1163" t="str">
        <f t="shared" si="36"/>
        <v>Ben</v>
      </c>
      <c r="X1163" t="s">
        <v>33</v>
      </c>
      <c r="Y1163">
        <v>4</v>
      </c>
      <c r="Z1163" t="str">
        <f>IF(D1163="", "Missing", "ok")</f>
        <v>ok</v>
      </c>
      <c r="AA1163">
        <f t="shared" si="37"/>
        <v>-935.5599999999996</v>
      </c>
    </row>
    <row r="1164" spans="1:27" x14ac:dyDescent="0.25">
      <c r="A1164" t="s">
        <v>2912</v>
      </c>
      <c r="B1164" s="1" t="s">
        <v>1374</v>
      </c>
      <c r="C1164" t="s">
        <v>936</v>
      </c>
      <c r="D1164" t="s">
        <v>117</v>
      </c>
      <c r="E1164" t="str">
        <f>PROPER(TRIM(D1164))</f>
        <v>David</v>
      </c>
      <c r="F1164" t="s">
        <v>46</v>
      </c>
      <c r="G1164">
        <v>8</v>
      </c>
      <c r="H1164" t="str">
        <f>IF(AND(G1164&gt;18, G1164&lt;65), "Valid", "Invalid")</f>
        <v>Invalid</v>
      </c>
      <c r="I1164" t="s">
        <v>30</v>
      </c>
      <c r="J1164" t="str">
        <f>PROPER(TRIM(I1164))</f>
        <v>Lagos</v>
      </c>
      <c r="K1164" t="s">
        <v>87</v>
      </c>
      <c r="L1164" t="str">
        <f>PROPER(TRIM(K1164))</f>
        <v>Groceris</v>
      </c>
      <c r="M1164" t="s">
        <v>49</v>
      </c>
      <c r="N1164" t="str">
        <f>PROPER(TRIM(M1164))</f>
        <v>Rice</v>
      </c>
      <c r="O1164">
        <v>338</v>
      </c>
      <c r="P1164">
        <v>9</v>
      </c>
      <c r="Q1164">
        <f>IF(P1164&lt;1, 1, P1164)</f>
        <v>9</v>
      </c>
      <c r="R1164">
        <v>120</v>
      </c>
      <c r="S1164" t="str">
        <f>IF(OR(R1164&lt;0,R1164&gt;100),"invalid","Valid")</f>
        <v>invalid</v>
      </c>
      <c r="U1164" t="str">
        <f>PROPER(TRIM(T1164))</f>
        <v/>
      </c>
      <c r="V1164" t="s">
        <v>91</v>
      </c>
      <c r="W1164" t="str">
        <f t="shared" si="36"/>
        <v>Ben</v>
      </c>
      <c r="X1164" t="s">
        <v>26</v>
      </c>
      <c r="Z1164" t="str">
        <f>IF(D1164="", "Missing", "ok")</f>
        <v>ok</v>
      </c>
      <c r="AA1164">
        <f t="shared" si="37"/>
        <v>-608.39999999999986</v>
      </c>
    </row>
    <row r="1165" spans="1:27" x14ac:dyDescent="0.25">
      <c r="A1165" t="s">
        <v>2913</v>
      </c>
      <c r="B1165" s="1" t="s">
        <v>2914</v>
      </c>
      <c r="C1165" t="s">
        <v>2915</v>
      </c>
      <c r="D1165" t="s">
        <v>117</v>
      </c>
      <c r="E1165" t="str">
        <f>PROPER(TRIM(D1165))</f>
        <v>David</v>
      </c>
      <c r="F1165" t="s">
        <v>20</v>
      </c>
      <c r="G1165">
        <v>130</v>
      </c>
      <c r="H1165" t="str">
        <f>IF(AND(G1165&gt;18, G1165&lt;65), "Valid", "Invalid")</f>
        <v>Invalid</v>
      </c>
      <c r="I1165" t="s">
        <v>21</v>
      </c>
      <c r="J1165" t="str">
        <f>PROPER(TRIM(I1165))</f>
        <v>Lagos</v>
      </c>
      <c r="K1165" t="s">
        <v>39</v>
      </c>
      <c r="L1165" t="str">
        <f>PROPER(TRIM(K1165))</f>
        <v>Electronics</v>
      </c>
      <c r="M1165" t="s">
        <v>40</v>
      </c>
      <c r="N1165" t="str">
        <f>PROPER(TRIM(M1165))</f>
        <v>Phone</v>
      </c>
      <c r="O1165">
        <v>401.76</v>
      </c>
      <c r="P1165">
        <v>-2</v>
      </c>
      <c r="Q1165">
        <f>IF(P1165&lt;1, 1, P1165)</f>
        <v>1</v>
      </c>
      <c r="R1165">
        <v>10</v>
      </c>
      <c r="S1165" t="str">
        <f>IF(OR(R1165&lt;0,R1165&gt;100),"invalid","Valid")</f>
        <v>Valid</v>
      </c>
      <c r="T1165" t="s">
        <v>64</v>
      </c>
      <c r="U1165" t="str">
        <f>PROPER(TRIM(T1165))</f>
        <v>Transfer</v>
      </c>
      <c r="V1165" t="s">
        <v>81</v>
      </c>
      <c r="W1165" t="str">
        <f t="shared" si="36"/>
        <v>Ada</v>
      </c>
      <c r="X1165" t="s">
        <v>82</v>
      </c>
      <c r="Y1165">
        <v>1</v>
      </c>
      <c r="Z1165" t="str">
        <f>IF(D1165="", "Missing", "ok")</f>
        <v>ok</v>
      </c>
      <c r="AA1165">
        <f t="shared" si="37"/>
        <v>361.584</v>
      </c>
    </row>
    <row r="1166" spans="1:27" x14ac:dyDescent="0.25">
      <c r="A1166" t="s">
        <v>2916</v>
      </c>
      <c r="B1166" s="1" t="s">
        <v>249</v>
      </c>
      <c r="C1166" t="s">
        <v>2908</v>
      </c>
      <c r="D1166" t="s">
        <v>45</v>
      </c>
      <c r="E1166" t="str">
        <f>PROPER(TRIM(D1166))</f>
        <v>James</v>
      </c>
      <c r="F1166" t="s">
        <v>20</v>
      </c>
      <c r="G1166">
        <v>8</v>
      </c>
      <c r="H1166" t="str">
        <f>IF(AND(G1166&gt;18, G1166&lt;65), "Valid", "Invalid")</f>
        <v>Invalid</v>
      </c>
      <c r="I1166" t="s">
        <v>70</v>
      </c>
      <c r="J1166" t="str">
        <f>PROPER(TRIM(I1166))</f>
        <v>Abuja</v>
      </c>
      <c r="K1166" t="s">
        <v>48</v>
      </c>
      <c r="L1166" t="str">
        <f>PROPER(TRIM(K1166))</f>
        <v>Groceries</v>
      </c>
      <c r="M1166" t="s">
        <v>49</v>
      </c>
      <c r="N1166" t="str">
        <f>PROPER(TRIM(M1166))</f>
        <v>Rice</v>
      </c>
      <c r="O1166">
        <v>401.83</v>
      </c>
      <c r="P1166">
        <v>-2</v>
      </c>
      <c r="Q1166">
        <f>IF(P1166&lt;1, 1, P1166)</f>
        <v>1</v>
      </c>
      <c r="R1166">
        <v>0</v>
      </c>
      <c r="S1166" t="str">
        <f>IF(OR(R1166&lt;0,R1166&gt;100),"invalid","Valid")</f>
        <v>Valid</v>
      </c>
      <c r="T1166" t="s">
        <v>24</v>
      </c>
      <c r="U1166" t="str">
        <f>PROPER(TRIM(T1166))</f>
        <v>Pos</v>
      </c>
      <c r="V1166" t="s">
        <v>81</v>
      </c>
      <c r="W1166" t="str">
        <f t="shared" si="36"/>
        <v>Ada</v>
      </c>
      <c r="X1166" t="s">
        <v>26</v>
      </c>
      <c r="Y1166">
        <v>3</v>
      </c>
      <c r="Z1166" t="str">
        <f>IF(D1166="", "Missing", "ok")</f>
        <v>ok</v>
      </c>
      <c r="AA1166">
        <f t="shared" si="37"/>
        <v>401.83</v>
      </c>
    </row>
    <row r="1167" spans="1:27" x14ac:dyDescent="0.25">
      <c r="A1167" t="s">
        <v>2917</v>
      </c>
      <c r="B1167" s="1" t="s">
        <v>147</v>
      </c>
      <c r="C1167" t="s">
        <v>2918</v>
      </c>
      <c r="E1167" t="str">
        <f>PROPER(TRIM(D1167))</f>
        <v/>
      </c>
      <c r="F1167" t="s">
        <v>20</v>
      </c>
      <c r="G1167">
        <v>8</v>
      </c>
      <c r="H1167" t="str">
        <f>IF(AND(G1167&gt;18, G1167&lt;65), "Valid", "Invalid")</f>
        <v>Invalid</v>
      </c>
      <c r="I1167" t="s">
        <v>30</v>
      </c>
      <c r="J1167" t="str">
        <f>PROPER(TRIM(I1167))</f>
        <v>Lagos</v>
      </c>
      <c r="K1167" t="s">
        <v>87</v>
      </c>
      <c r="L1167" t="str">
        <f>PROPER(TRIM(K1167))</f>
        <v>Groceris</v>
      </c>
      <c r="M1167" t="s">
        <v>49</v>
      </c>
      <c r="N1167" t="str">
        <f>PROPER(TRIM(M1167))</f>
        <v>Rice</v>
      </c>
      <c r="O1167">
        <v>390.44</v>
      </c>
      <c r="P1167">
        <v>-2</v>
      </c>
      <c r="Q1167">
        <f>IF(P1167&lt;1, 1, P1167)</f>
        <v>1</v>
      </c>
      <c r="R1167">
        <v>0</v>
      </c>
      <c r="S1167" t="str">
        <f>IF(OR(R1167&lt;0,R1167&gt;100),"invalid","Valid")</f>
        <v>Valid</v>
      </c>
      <c r="T1167" t="s">
        <v>24</v>
      </c>
      <c r="U1167" t="str">
        <f>PROPER(TRIM(T1167))</f>
        <v>Pos</v>
      </c>
      <c r="V1167" t="s">
        <v>41</v>
      </c>
      <c r="W1167" t="str">
        <f t="shared" si="36"/>
        <v>Chi</v>
      </c>
      <c r="X1167" t="s">
        <v>26</v>
      </c>
      <c r="Y1167">
        <v>5</v>
      </c>
      <c r="Z1167" t="str">
        <f>IF(D1167="", "Missing", "ok")</f>
        <v>Missing</v>
      </c>
      <c r="AA1167">
        <f t="shared" si="37"/>
        <v>390.44</v>
      </c>
    </row>
    <row r="1168" spans="1:27" x14ac:dyDescent="0.25">
      <c r="A1168" t="s">
        <v>2919</v>
      </c>
      <c r="B1168" s="1" t="s">
        <v>2814</v>
      </c>
      <c r="C1168" t="s">
        <v>505</v>
      </c>
      <c r="D1168" t="s">
        <v>69</v>
      </c>
      <c r="E1168" t="str">
        <f>PROPER(TRIM(D1168))</f>
        <v>Mary</v>
      </c>
      <c r="F1168" t="s">
        <v>20</v>
      </c>
      <c r="G1168">
        <v>8</v>
      </c>
      <c r="H1168" t="str">
        <f>IF(AND(G1168&gt;18, G1168&lt;65), "Valid", "Invalid")</f>
        <v>Invalid</v>
      </c>
      <c r="I1168" t="s">
        <v>30</v>
      </c>
      <c r="J1168" t="str">
        <f>PROPER(TRIM(I1168))</f>
        <v>Lagos</v>
      </c>
      <c r="K1168" t="s">
        <v>31</v>
      </c>
      <c r="L1168" t="str">
        <f>PROPER(TRIM(K1168))</f>
        <v>Sports</v>
      </c>
      <c r="M1168" t="s">
        <v>32</v>
      </c>
      <c r="N1168" t="str">
        <f>PROPER(TRIM(M1168))</f>
        <v>Ball</v>
      </c>
      <c r="O1168">
        <v>368.54</v>
      </c>
      <c r="P1168">
        <v>-2</v>
      </c>
      <c r="Q1168">
        <f>IF(P1168&lt;1, 1, P1168)</f>
        <v>1</v>
      </c>
      <c r="R1168">
        <v>15</v>
      </c>
      <c r="S1168" t="str">
        <f>IF(OR(R1168&lt;0,R1168&gt;100),"invalid","Valid")</f>
        <v>Valid</v>
      </c>
      <c r="U1168" t="str">
        <f>PROPER(TRIM(T1168))</f>
        <v/>
      </c>
      <c r="V1168" t="s">
        <v>91</v>
      </c>
      <c r="W1168" t="str">
        <f t="shared" si="36"/>
        <v>Ben</v>
      </c>
      <c r="X1168" t="s">
        <v>65</v>
      </c>
      <c r="Z1168" t="str">
        <f>IF(D1168="", "Missing", "ok")</f>
        <v>ok</v>
      </c>
      <c r="AA1168">
        <f t="shared" si="37"/>
        <v>313.25900000000001</v>
      </c>
    </row>
    <row r="1169" spans="1:27" x14ac:dyDescent="0.25">
      <c r="A1169" t="s">
        <v>2920</v>
      </c>
      <c r="B1169" s="1" t="s">
        <v>2233</v>
      </c>
      <c r="C1169" t="s">
        <v>2921</v>
      </c>
      <c r="E1169" t="str">
        <f>PROPER(TRIM(D1169))</f>
        <v/>
      </c>
      <c r="F1169" t="s">
        <v>46</v>
      </c>
      <c r="G1169">
        <v>8</v>
      </c>
      <c r="H1169" t="str">
        <f>IF(AND(G1169&gt;18, G1169&lt;65), "Valid", "Invalid")</f>
        <v>Invalid</v>
      </c>
      <c r="I1169" t="s">
        <v>70</v>
      </c>
      <c r="J1169" t="str">
        <f>PROPER(TRIM(I1169))</f>
        <v>Abuja</v>
      </c>
      <c r="K1169" t="s">
        <v>87</v>
      </c>
      <c r="L1169" t="str">
        <f>PROPER(TRIM(K1169))</f>
        <v>Groceris</v>
      </c>
      <c r="M1169" t="s">
        <v>49</v>
      </c>
      <c r="N1169" t="str">
        <f>PROPER(TRIM(M1169))</f>
        <v>Rice</v>
      </c>
      <c r="O1169">
        <v>83.27</v>
      </c>
      <c r="P1169">
        <v>9</v>
      </c>
      <c r="Q1169">
        <f>IF(P1169&lt;1, 1, P1169)</f>
        <v>9</v>
      </c>
      <c r="R1169">
        <v>-10</v>
      </c>
      <c r="S1169" t="str">
        <f>IF(OR(R1169&lt;0,R1169&gt;100),"invalid","Valid")</f>
        <v>invalid</v>
      </c>
      <c r="T1169" t="s">
        <v>77</v>
      </c>
      <c r="U1169" t="str">
        <f>PROPER(TRIM(T1169))</f>
        <v>Cash</v>
      </c>
      <c r="V1169" t="s">
        <v>41</v>
      </c>
      <c r="W1169" t="str">
        <f t="shared" si="36"/>
        <v>Chi</v>
      </c>
      <c r="X1169" t="s">
        <v>33</v>
      </c>
      <c r="Y1169">
        <v>2</v>
      </c>
      <c r="Z1169" t="str">
        <f>IF(D1169="", "Missing", "ok")</f>
        <v>Missing</v>
      </c>
      <c r="AA1169">
        <f t="shared" si="37"/>
        <v>824.37300000000005</v>
      </c>
    </row>
    <row r="1170" spans="1:27" x14ac:dyDescent="0.25">
      <c r="A1170" t="s">
        <v>2922</v>
      </c>
      <c r="B1170" s="1" t="s">
        <v>650</v>
      </c>
      <c r="C1170" t="s">
        <v>2923</v>
      </c>
      <c r="E1170" t="str">
        <f>PROPER(TRIM(D1170))</f>
        <v/>
      </c>
      <c r="F1170" t="s">
        <v>20</v>
      </c>
      <c r="G1170">
        <v>130</v>
      </c>
      <c r="H1170" t="str">
        <f>IF(AND(G1170&gt;18, G1170&lt;65), "Valid", "Invalid")</f>
        <v>Invalid</v>
      </c>
      <c r="I1170" t="s">
        <v>38</v>
      </c>
      <c r="J1170" t="str">
        <f>PROPER(TRIM(I1170))</f>
        <v>Ph</v>
      </c>
      <c r="K1170" t="s">
        <v>121</v>
      </c>
      <c r="L1170" t="str">
        <f>PROPER(TRIM(K1170))</f>
        <v>Beauty</v>
      </c>
      <c r="M1170" t="s">
        <v>122</v>
      </c>
      <c r="N1170" t="str">
        <f>PROPER(TRIM(M1170))</f>
        <v>Cream</v>
      </c>
      <c r="O1170">
        <v>378.34</v>
      </c>
      <c r="P1170">
        <v>-2</v>
      </c>
      <c r="Q1170">
        <f>IF(P1170&lt;1, 1, P1170)</f>
        <v>1</v>
      </c>
      <c r="R1170">
        <v>0</v>
      </c>
      <c r="S1170" t="str">
        <f>IF(OR(R1170&lt;0,R1170&gt;100),"invalid","Valid")</f>
        <v>Valid</v>
      </c>
      <c r="U1170" t="str">
        <f>PROPER(TRIM(T1170))</f>
        <v/>
      </c>
      <c r="V1170" t="s">
        <v>91</v>
      </c>
      <c r="W1170" t="str">
        <f t="shared" si="36"/>
        <v>Ben</v>
      </c>
      <c r="X1170" t="s">
        <v>26</v>
      </c>
      <c r="Z1170" t="str">
        <f>IF(D1170="", "Missing", "ok")</f>
        <v>Missing</v>
      </c>
      <c r="AA1170">
        <f t="shared" si="37"/>
        <v>378.34</v>
      </c>
    </row>
    <row r="1171" spans="1:27" x14ac:dyDescent="0.25">
      <c r="A1171" t="s">
        <v>2924</v>
      </c>
      <c r="B1171" s="1" t="s">
        <v>625</v>
      </c>
      <c r="C1171" t="s">
        <v>2925</v>
      </c>
      <c r="D1171" t="s">
        <v>69</v>
      </c>
      <c r="E1171" t="str">
        <f>PROPER(TRIM(D1171))</f>
        <v>Mary</v>
      </c>
      <c r="F1171" t="s">
        <v>46</v>
      </c>
      <c r="G1171">
        <v>130</v>
      </c>
      <c r="H1171" t="str">
        <f>IF(AND(G1171&gt;18, G1171&lt;65), "Valid", "Invalid")</f>
        <v>Invalid</v>
      </c>
      <c r="I1171" t="s">
        <v>21</v>
      </c>
      <c r="J1171" t="str">
        <f>PROPER(TRIM(I1171))</f>
        <v>Lagos</v>
      </c>
      <c r="K1171" t="s">
        <v>39</v>
      </c>
      <c r="L1171" t="str">
        <f>PROPER(TRIM(K1171))</f>
        <v>Electronics</v>
      </c>
      <c r="M1171" t="s">
        <v>40</v>
      </c>
      <c r="N1171" t="str">
        <f>PROPER(TRIM(M1171))</f>
        <v>Phone</v>
      </c>
      <c r="O1171">
        <v>341.49</v>
      </c>
      <c r="P1171">
        <v>-2</v>
      </c>
      <c r="Q1171">
        <f>IF(P1171&lt;1, 1, P1171)</f>
        <v>1</v>
      </c>
      <c r="R1171">
        <v>12</v>
      </c>
      <c r="S1171" t="str">
        <f>IF(OR(R1171&lt;0,R1171&gt;100),"invalid","Valid")</f>
        <v>Valid</v>
      </c>
      <c r="T1171" t="s">
        <v>77</v>
      </c>
      <c r="U1171" t="str">
        <f>PROPER(TRIM(T1171))</f>
        <v>Cash</v>
      </c>
      <c r="V1171" t="s">
        <v>81</v>
      </c>
      <c r="W1171" t="str">
        <f t="shared" si="36"/>
        <v>Ada</v>
      </c>
      <c r="X1171" t="s">
        <v>26</v>
      </c>
      <c r="Y1171">
        <v>3</v>
      </c>
      <c r="Z1171" t="str">
        <f>IF(D1171="", "Missing", "ok")</f>
        <v>ok</v>
      </c>
      <c r="AA1171">
        <f t="shared" si="37"/>
        <v>300.51120000000003</v>
      </c>
    </row>
    <row r="1172" spans="1:27" x14ac:dyDescent="0.25">
      <c r="A1172" t="s">
        <v>2926</v>
      </c>
      <c r="B1172" s="1" t="s">
        <v>2433</v>
      </c>
      <c r="C1172" t="s">
        <v>1033</v>
      </c>
      <c r="D1172" t="s">
        <v>101</v>
      </c>
      <c r="E1172" t="str">
        <f>PROPER(TRIM(D1172))</f>
        <v>Grace</v>
      </c>
      <c r="F1172" t="s">
        <v>20</v>
      </c>
      <c r="G1172">
        <v>8</v>
      </c>
      <c r="H1172" t="str">
        <f>IF(AND(G1172&gt;18, G1172&lt;65), "Valid", "Invalid")</f>
        <v>Invalid</v>
      </c>
      <c r="I1172" t="s">
        <v>21</v>
      </c>
      <c r="J1172" t="str">
        <f>PROPER(TRIM(I1172))</f>
        <v>Lagos</v>
      </c>
      <c r="K1172" t="s">
        <v>22</v>
      </c>
      <c r="L1172" t="str">
        <f>PROPER(TRIM(K1172))</f>
        <v>Fashion</v>
      </c>
      <c r="M1172" t="s">
        <v>23</v>
      </c>
      <c r="N1172" t="str">
        <f>PROPER(TRIM(M1172))</f>
        <v>Shirt</v>
      </c>
      <c r="O1172">
        <v>415.78</v>
      </c>
      <c r="P1172">
        <v>-2</v>
      </c>
      <c r="Q1172">
        <f>IF(P1172&lt;1, 1, P1172)</f>
        <v>1</v>
      </c>
      <c r="R1172">
        <v>15</v>
      </c>
      <c r="S1172" t="str">
        <f>IF(OR(R1172&lt;0,R1172&gt;100),"invalid","Valid")</f>
        <v>Valid</v>
      </c>
      <c r="T1172" t="s">
        <v>77</v>
      </c>
      <c r="U1172" t="str">
        <f>PROPER(TRIM(T1172))</f>
        <v>Cash</v>
      </c>
      <c r="V1172" t="s">
        <v>91</v>
      </c>
      <c r="W1172" t="str">
        <f t="shared" si="36"/>
        <v>Ben</v>
      </c>
      <c r="X1172" t="s">
        <v>33</v>
      </c>
      <c r="Y1172">
        <v>2</v>
      </c>
      <c r="Z1172" t="str">
        <f>IF(D1172="", "Missing", "ok")</f>
        <v>ok</v>
      </c>
      <c r="AA1172">
        <f t="shared" si="37"/>
        <v>353.41299999999995</v>
      </c>
    </row>
    <row r="1173" spans="1:27" x14ac:dyDescent="0.25">
      <c r="A1173" t="s">
        <v>2927</v>
      </c>
      <c r="B1173" s="1" t="s">
        <v>255</v>
      </c>
      <c r="C1173" t="s">
        <v>2928</v>
      </c>
      <c r="D1173" t="s">
        <v>117</v>
      </c>
      <c r="E1173" t="str">
        <f>PROPER(TRIM(D1173))</f>
        <v>David</v>
      </c>
      <c r="F1173" t="s">
        <v>46</v>
      </c>
      <c r="G1173">
        <v>130</v>
      </c>
      <c r="H1173" t="str">
        <f>IF(AND(G1173&gt;18, G1173&lt;65), "Valid", "Invalid")</f>
        <v>Invalid</v>
      </c>
      <c r="I1173" t="s">
        <v>21</v>
      </c>
      <c r="J1173" t="str">
        <f>PROPER(TRIM(I1173))</f>
        <v>Lagos</v>
      </c>
      <c r="K1173" t="s">
        <v>31</v>
      </c>
      <c r="L1173" t="str">
        <f>PROPER(TRIM(K1173))</f>
        <v>Sports</v>
      </c>
      <c r="M1173" t="s">
        <v>32</v>
      </c>
      <c r="N1173" t="str">
        <f>PROPER(TRIM(M1173))</f>
        <v>Ball</v>
      </c>
      <c r="O1173">
        <v>91.68</v>
      </c>
      <c r="P1173">
        <v>-2</v>
      </c>
      <c r="Q1173">
        <f>IF(P1173&lt;1, 1, P1173)</f>
        <v>1</v>
      </c>
      <c r="R1173">
        <v>10</v>
      </c>
      <c r="S1173" t="str">
        <f>IF(OR(R1173&lt;0,R1173&gt;100),"invalid","Valid")</f>
        <v>Valid</v>
      </c>
      <c r="U1173" t="str">
        <f>PROPER(TRIM(T1173))</f>
        <v/>
      </c>
      <c r="V1173" t="s">
        <v>25</v>
      </c>
      <c r="W1173" t="str">
        <f t="shared" si="36"/>
        <v>Dan</v>
      </c>
      <c r="X1173" t="s">
        <v>82</v>
      </c>
      <c r="Y1173">
        <v>1</v>
      </c>
      <c r="Z1173" t="str">
        <f>IF(D1173="", "Missing", "ok")</f>
        <v>ok</v>
      </c>
      <c r="AA1173">
        <f t="shared" si="37"/>
        <v>82.512000000000015</v>
      </c>
    </row>
    <row r="1174" spans="1:27" x14ac:dyDescent="0.25">
      <c r="A1174" t="s">
        <v>2929</v>
      </c>
      <c r="B1174" s="1" t="s">
        <v>288</v>
      </c>
      <c r="C1174" t="s">
        <v>2930</v>
      </c>
      <c r="D1174" t="s">
        <v>101</v>
      </c>
      <c r="E1174" t="str">
        <f>PROPER(TRIM(D1174))</f>
        <v>Grace</v>
      </c>
      <c r="F1174" t="s">
        <v>46</v>
      </c>
      <c r="G1174">
        <v>8</v>
      </c>
      <c r="H1174" t="str">
        <f>IF(AND(G1174&gt;18, G1174&lt;65), "Valid", "Invalid")</f>
        <v>Invalid</v>
      </c>
      <c r="I1174" t="s">
        <v>38</v>
      </c>
      <c r="J1174" t="str">
        <f>PROPER(TRIM(I1174))</f>
        <v>Ph</v>
      </c>
      <c r="K1174" t="s">
        <v>87</v>
      </c>
      <c r="L1174" t="str">
        <f>PROPER(TRIM(K1174))</f>
        <v>Groceris</v>
      </c>
      <c r="M1174" t="s">
        <v>49</v>
      </c>
      <c r="N1174" t="str">
        <f>PROPER(TRIM(M1174))</f>
        <v>Rice</v>
      </c>
      <c r="O1174">
        <v>12.58</v>
      </c>
      <c r="P1174">
        <v>-2</v>
      </c>
      <c r="Q1174">
        <f>IF(P1174&lt;1, 1, P1174)</f>
        <v>1</v>
      </c>
      <c r="R1174">
        <v>10</v>
      </c>
      <c r="S1174" t="str">
        <f>IF(OR(R1174&lt;0,R1174&gt;100),"invalid","Valid")</f>
        <v>Valid</v>
      </c>
      <c r="T1174" t="s">
        <v>64</v>
      </c>
      <c r="U1174" t="str">
        <f>PROPER(TRIM(T1174))</f>
        <v>Transfer</v>
      </c>
      <c r="V1174" t="s">
        <v>25</v>
      </c>
      <c r="W1174" t="str">
        <f t="shared" si="36"/>
        <v>Dan</v>
      </c>
      <c r="X1174" t="s">
        <v>65</v>
      </c>
      <c r="Y1174">
        <v>5</v>
      </c>
      <c r="Z1174" t="str">
        <f>IF(D1174="", "Missing", "ok")</f>
        <v>ok</v>
      </c>
      <c r="AA1174">
        <f t="shared" si="37"/>
        <v>11.322000000000001</v>
      </c>
    </row>
    <row r="1175" spans="1:27" x14ac:dyDescent="0.25">
      <c r="A1175" t="s">
        <v>2931</v>
      </c>
      <c r="B1175" s="1" t="s">
        <v>2070</v>
      </c>
      <c r="C1175" t="s">
        <v>2207</v>
      </c>
      <c r="D1175" t="s">
        <v>37</v>
      </c>
      <c r="E1175" t="str">
        <f>PROPER(TRIM(D1175))</f>
        <v>Aisha</v>
      </c>
      <c r="F1175" t="s">
        <v>20</v>
      </c>
      <c r="G1175">
        <v>36</v>
      </c>
      <c r="H1175" t="str">
        <f>IF(AND(G1175&gt;18, G1175&lt;65), "Valid", "Invalid")</f>
        <v>Valid</v>
      </c>
      <c r="I1175" t="s">
        <v>86</v>
      </c>
      <c r="J1175" t="str">
        <f>PROPER(TRIM(I1175))</f>
        <v>Kano</v>
      </c>
      <c r="K1175" t="s">
        <v>39</v>
      </c>
      <c r="L1175" t="str">
        <f>PROPER(TRIM(K1175))</f>
        <v>Electronics</v>
      </c>
      <c r="M1175" t="s">
        <v>40</v>
      </c>
      <c r="N1175" t="str">
        <f>PROPER(TRIM(M1175))</f>
        <v>Phone</v>
      </c>
      <c r="O1175">
        <v>185.28</v>
      </c>
      <c r="P1175">
        <v>2</v>
      </c>
      <c r="Q1175">
        <f>IF(P1175&lt;1, 1, P1175)</f>
        <v>2</v>
      </c>
      <c r="R1175">
        <v>0</v>
      </c>
      <c r="S1175" t="str">
        <f>IF(OR(R1175&lt;0,R1175&gt;100),"invalid","Valid")</f>
        <v>Valid</v>
      </c>
      <c r="T1175" t="s">
        <v>64</v>
      </c>
      <c r="U1175" t="str">
        <f>PROPER(TRIM(T1175))</f>
        <v>Transfer</v>
      </c>
      <c r="V1175" t="s">
        <v>91</v>
      </c>
      <c r="W1175" t="str">
        <f t="shared" si="36"/>
        <v>Ben</v>
      </c>
      <c r="X1175" t="s">
        <v>65</v>
      </c>
      <c r="Z1175" t="str">
        <f>IF(D1175="", "Missing", "ok")</f>
        <v>ok</v>
      </c>
      <c r="AA1175">
        <f t="shared" si="37"/>
        <v>370.56</v>
      </c>
    </row>
    <row r="1176" spans="1:27" x14ac:dyDescent="0.25">
      <c r="A1176" t="s">
        <v>2932</v>
      </c>
      <c r="B1176" s="1" t="s">
        <v>1009</v>
      </c>
      <c r="C1176" t="s">
        <v>2933</v>
      </c>
      <c r="D1176" t="s">
        <v>37</v>
      </c>
      <c r="E1176" t="str">
        <f>PROPER(TRIM(D1176))</f>
        <v>Aisha</v>
      </c>
      <c r="F1176" t="s">
        <v>46</v>
      </c>
      <c r="G1176">
        <v>40</v>
      </c>
      <c r="H1176" t="str">
        <f>IF(AND(G1176&gt;18, G1176&lt;65), "Valid", "Invalid")</f>
        <v>Valid</v>
      </c>
      <c r="I1176" t="s">
        <v>21</v>
      </c>
      <c r="J1176" t="str">
        <f>PROPER(TRIM(I1176))</f>
        <v>Lagos</v>
      </c>
      <c r="K1176" t="s">
        <v>39</v>
      </c>
      <c r="L1176" t="str">
        <f>PROPER(TRIM(K1176))</f>
        <v>Electronics</v>
      </c>
      <c r="M1176" t="s">
        <v>40</v>
      </c>
      <c r="N1176" t="str">
        <f>PROPER(TRIM(M1176))</f>
        <v>Phone</v>
      </c>
      <c r="O1176">
        <v>103.19</v>
      </c>
      <c r="P1176">
        <v>5</v>
      </c>
      <c r="Q1176">
        <f>IF(P1176&lt;1, 1, P1176)</f>
        <v>5</v>
      </c>
      <c r="R1176">
        <v>12</v>
      </c>
      <c r="S1176" t="str">
        <f>IF(OR(R1176&lt;0,R1176&gt;100),"invalid","Valid")</f>
        <v>Valid</v>
      </c>
      <c r="T1176" t="s">
        <v>24</v>
      </c>
      <c r="U1176" t="str">
        <f>PROPER(TRIM(T1176))</f>
        <v>Pos</v>
      </c>
      <c r="V1176" t="s">
        <v>91</v>
      </c>
      <c r="W1176" t="str">
        <f t="shared" si="36"/>
        <v>Ben</v>
      </c>
      <c r="X1176" t="s">
        <v>26</v>
      </c>
      <c r="Y1176">
        <v>5</v>
      </c>
      <c r="Z1176" t="str">
        <f>IF(D1176="", "Missing", "ok")</f>
        <v>ok</v>
      </c>
      <c r="AA1176">
        <f t="shared" si="37"/>
        <v>454.03600000000006</v>
      </c>
    </row>
    <row r="1177" spans="1:27" x14ac:dyDescent="0.25">
      <c r="A1177" t="s">
        <v>2934</v>
      </c>
      <c r="B1177" s="1" t="s">
        <v>1579</v>
      </c>
      <c r="C1177" t="s">
        <v>2935</v>
      </c>
      <c r="D1177" t="s">
        <v>117</v>
      </c>
      <c r="E1177" t="str">
        <f>PROPER(TRIM(D1177))</f>
        <v>David</v>
      </c>
      <c r="F1177" t="s">
        <v>20</v>
      </c>
      <c r="G1177">
        <v>130</v>
      </c>
      <c r="H1177" t="str">
        <f>IF(AND(G1177&gt;18, G1177&lt;65), "Valid", "Invalid")</f>
        <v>Invalid</v>
      </c>
      <c r="I1177" t="s">
        <v>38</v>
      </c>
      <c r="J1177" t="str">
        <f>PROPER(TRIM(I1177))</f>
        <v>Ph</v>
      </c>
      <c r="K1177" t="s">
        <v>22</v>
      </c>
      <c r="L1177" t="str">
        <f>PROPER(TRIM(K1177))</f>
        <v>Fashion</v>
      </c>
      <c r="M1177" t="s">
        <v>23</v>
      </c>
      <c r="N1177" t="str">
        <f>PROPER(TRIM(M1177))</f>
        <v>Shirt</v>
      </c>
      <c r="O1177">
        <v>364.86</v>
      </c>
      <c r="P1177">
        <v>-2</v>
      </c>
      <c r="Q1177">
        <f>IF(P1177&lt;1, 1, P1177)</f>
        <v>1</v>
      </c>
      <c r="R1177">
        <v>10</v>
      </c>
      <c r="S1177" t="str">
        <f>IF(OR(R1177&lt;0,R1177&gt;100),"invalid","Valid")</f>
        <v>Valid</v>
      </c>
      <c r="T1177" t="s">
        <v>77</v>
      </c>
      <c r="U1177" t="str">
        <f>PROPER(TRIM(T1177))</f>
        <v>Cash</v>
      </c>
      <c r="V1177" t="s">
        <v>91</v>
      </c>
      <c r="W1177" t="str">
        <f t="shared" si="36"/>
        <v>Ben</v>
      </c>
      <c r="X1177" t="s">
        <v>26</v>
      </c>
      <c r="Z1177" t="str">
        <f>IF(D1177="", "Missing", "ok")</f>
        <v>ok</v>
      </c>
      <c r="AA1177">
        <f t="shared" si="37"/>
        <v>328.37400000000002</v>
      </c>
    </row>
    <row r="1178" spans="1:27" x14ac:dyDescent="0.25">
      <c r="A1178" t="s">
        <v>2936</v>
      </c>
      <c r="B1178" s="1" t="s">
        <v>106</v>
      </c>
      <c r="C1178" t="s">
        <v>2937</v>
      </c>
      <c r="D1178" t="s">
        <v>63</v>
      </c>
      <c r="E1178" t="str">
        <f>PROPER(TRIM(D1178))</f>
        <v>John</v>
      </c>
      <c r="F1178" t="s">
        <v>20</v>
      </c>
      <c r="G1178">
        <v>130</v>
      </c>
      <c r="H1178" t="str">
        <f>IF(AND(G1178&gt;18, G1178&lt;65), "Valid", "Invalid")</f>
        <v>Invalid</v>
      </c>
      <c r="I1178" t="s">
        <v>70</v>
      </c>
      <c r="J1178" t="str">
        <f>PROPER(TRIM(I1178))</f>
        <v>Abuja</v>
      </c>
      <c r="K1178" t="s">
        <v>22</v>
      </c>
      <c r="L1178" t="str">
        <f>PROPER(TRIM(K1178))</f>
        <v>Fashion</v>
      </c>
      <c r="M1178" t="s">
        <v>23</v>
      </c>
      <c r="N1178" t="str">
        <f>PROPER(TRIM(M1178))</f>
        <v>Shirt</v>
      </c>
      <c r="O1178">
        <v>388.1</v>
      </c>
      <c r="P1178">
        <v>5</v>
      </c>
      <c r="Q1178">
        <f>IF(P1178&lt;1, 1, P1178)</f>
        <v>5</v>
      </c>
      <c r="R1178">
        <v>15</v>
      </c>
      <c r="S1178" t="str">
        <f>IF(OR(R1178&lt;0,R1178&gt;100),"invalid","Valid")</f>
        <v>Valid</v>
      </c>
      <c r="T1178" t="s">
        <v>24</v>
      </c>
      <c r="U1178" t="str">
        <f>PROPER(TRIM(T1178))</f>
        <v>Pos</v>
      </c>
      <c r="V1178" t="s">
        <v>91</v>
      </c>
      <c r="W1178" t="str">
        <f t="shared" si="36"/>
        <v>Ben</v>
      </c>
      <c r="X1178" t="s">
        <v>26</v>
      </c>
      <c r="Y1178">
        <v>4</v>
      </c>
      <c r="Z1178" t="str">
        <f>IF(D1178="", "Missing", "ok")</f>
        <v>ok</v>
      </c>
      <c r="AA1178">
        <f t="shared" si="37"/>
        <v>1649.425</v>
      </c>
    </row>
    <row r="1179" spans="1:27" x14ac:dyDescent="0.25">
      <c r="A1179" t="s">
        <v>2938</v>
      </c>
      <c r="B1179" s="1" t="s">
        <v>2939</v>
      </c>
      <c r="C1179" t="s">
        <v>2940</v>
      </c>
      <c r="D1179" t="s">
        <v>19</v>
      </c>
      <c r="E1179" t="str">
        <f>PROPER(TRIM(D1179))</f>
        <v>Peter</v>
      </c>
      <c r="F1179" t="s">
        <v>46</v>
      </c>
      <c r="G1179">
        <v>61</v>
      </c>
      <c r="H1179" t="str">
        <f>IF(AND(G1179&gt;18, G1179&lt;65), "Valid", "Invalid")</f>
        <v>Valid</v>
      </c>
      <c r="I1179" t="s">
        <v>47</v>
      </c>
      <c r="J1179" t="str">
        <f>PROPER(TRIM(I1179))</f>
        <v>Enugu</v>
      </c>
      <c r="K1179" t="s">
        <v>121</v>
      </c>
      <c r="L1179" t="str">
        <f>PROPER(TRIM(K1179))</f>
        <v>Beauty</v>
      </c>
      <c r="M1179" t="s">
        <v>122</v>
      </c>
      <c r="N1179" t="str">
        <f>PROPER(TRIM(M1179))</f>
        <v>Cream</v>
      </c>
      <c r="O1179">
        <v>465.4</v>
      </c>
      <c r="P1179">
        <v>-2</v>
      </c>
      <c r="Q1179">
        <f>IF(P1179&lt;1, 1, P1179)</f>
        <v>1</v>
      </c>
      <c r="R1179">
        <v>5</v>
      </c>
      <c r="S1179" t="str">
        <f>IF(OR(R1179&lt;0,R1179&gt;100),"invalid","Valid")</f>
        <v>Valid</v>
      </c>
      <c r="T1179" t="s">
        <v>64</v>
      </c>
      <c r="U1179" t="str">
        <f>PROPER(TRIM(T1179))</f>
        <v>Transfer</v>
      </c>
      <c r="V1179" t="s">
        <v>91</v>
      </c>
      <c r="W1179" t="str">
        <f t="shared" si="36"/>
        <v>Ben</v>
      </c>
      <c r="X1179" t="s">
        <v>26</v>
      </c>
      <c r="Y1179">
        <v>2</v>
      </c>
      <c r="Z1179" t="str">
        <f>IF(D1179="", "Missing", "ok")</f>
        <v>ok</v>
      </c>
      <c r="AA1179">
        <f t="shared" si="37"/>
        <v>442.12999999999994</v>
      </c>
    </row>
    <row r="1180" spans="1:27" x14ac:dyDescent="0.25">
      <c r="A1180" t="s">
        <v>2941</v>
      </c>
      <c r="B1180" s="1" t="s">
        <v>1607</v>
      </c>
      <c r="C1180" t="s">
        <v>2942</v>
      </c>
      <c r="D1180" t="s">
        <v>19</v>
      </c>
      <c r="E1180" t="str">
        <f>PROPER(TRIM(D1180))</f>
        <v>Peter</v>
      </c>
      <c r="F1180" t="s">
        <v>20</v>
      </c>
      <c r="G1180">
        <v>31</v>
      </c>
      <c r="H1180" t="str">
        <f>IF(AND(G1180&gt;18, G1180&lt;65), "Valid", "Invalid")</f>
        <v>Valid</v>
      </c>
      <c r="I1180" t="s">
        <v>53</v>
      </c>
      <c r="J1180" t="str">
        <f>PROPER(TRIM(I1180))</f>
        <v>Lagos</v>
      </c>
      <c r="K1180" t="s">
        <v>48</v>
      </c>
      <c r="L1180" t="str">
        <f>PROPER(TRIM(K1180))</f>
        <v>Groceries</v>
      </c>
      <c r="M1180" t="s">
        <v>49</v>
      </c>
      <c r="N1180" t="str">
        <f>PROPER(TRIM(M1180))</f>
        <v>Rice</v>
      </c>
      <c r="O1180">
        <v>67.3</v>
      </c>
      <c r="P1180">
        <v>10</v>
      </c>
      <c r="Q1180">
        <f>IF(P1180&lt;1, 1, P1180)</f>
        <v>10</v>
      </c>
      <c r="R1180">
        <v>0</v>
      </c>
      <c r="S1180" t="str">
        <f>IF(OR(R1180&lt;0,R1180&gt;100),"invalid","Valid")</f>
        <v>Valid</v>
      </c>
      <c r="T1180" t="s">
        <v>24</v>
      </c>
      <c r="U1180" t="str">
        <f>PROPER(TRIM(T1180))</f>
        <v>Pos</v>
      </c>
      <c r="V1180" t="s">
        <v>91</v>
      </c>
      <c r="W1180" t="str">
        <f t="shared" si="36"/>
        <v>Ben</v>
      </c>
      <c r="X1180" t="s">
        <v>26</v>
      </c>
      <c r="Z1180" t="str">
        <f>IF(D1180="", "Missing", "ok")</f>
        <v>ok</v>
      </c>
      <c r="AA1180">
        <f t="shared" si="37"/>
        <v>673</v>
      </c>
    </row>
    <row r="1181" spans="1:27" x14ac:dyDescent="0.25">
      <c r="A1181" t="s">
        <v>2943</v>
      </c>
      <c r="B1181" s="1" t="s">
        <v>96</v>
      </c>
      <c r="C1181" t="s">
        <v>2944</v>
      </c>
      <c r="D1181" t="s">
        <v>19</v>
      </c>
      <c r="E1181" t="str">
        <f>PROPER(TRIM(D1181))</f>
        <v>Peter</v>
      </c>
      <c r="F1181" t="s">
        <v>20</v>
      </c>
      <c r="G1181">
        <v>130</v>
      </c>
      <c r="H1181" t="str">
        <f>IF(AND(G1181&gt;18, G1181&lt;65), "Valid", "Invalid")</f>
        <v>Invalid</v>
      </c>
      <c r="I1181" t="s">
        <v>21</v>
      </c>
      <c r="J1181" t="str">
        <f>PROPER(TRIM(I1181))</f>
        <v>Lagos</v>
      </c>
      <c r="K1181" t="s">
        <v>22</v>
      </c>
      <c r="L1181" t="str">
        <f>PROPER(TRIM(K1181))</f>
        <v>Fashion</v>
      </c>
      <c r="M1181" t="s">
        <v>23</v>
      </c>
      <c r="N1181" t="str">
        <f>PROPER(TRIM(M1181))</f>
        <v>Shirt</v>
      </c>
      <c r="O1181">
        <v>334.81</v>
      </c>
      <c r="P1181">
        <v>-2</v>
      </c>
      <c r="Q1181">
        <f>IF(P1181&lt;1, 1, P1181)</f>
        <v>1</v>
      </c>
      <c r="R1181">
        <v>5</v>
      </c>
      <c r="S1181" t="str">
        <f>IF(OR(R1181&lt;0,R1181&gt;100),"invalid","Valid")</f>
        <v>Valid</v>
      </c>
      <c r="T1181" t="s">
        <v>77</v>
      </c>
      <c r="U1181" t="str">
        <f>PROPER(TRIM(T1181))</f>
        <v>Cash</v>
      </c>
      <c r="V1181" t="s">
        <v>25</v>
      </c>
      <c r="W1181" t="str">
        <f t="shared" si="36"/>
        <v>Dan</v>
      </c>
      <c r="X1181" t="s">
        <v>26</v>
      </c>
      <c r="Y1181">
        <v>1</v>
      </c>
      <c r="Z1181" t="str">
        <f>IF(D1181="", "Missing", "ok")</f>
        <v>ok</v>
      </c>
      <c r="AA1181">
        <f t="shared" si="37"/>
        <v>318.06950000000001</v>
      </c>
    </row>
    <row r="1182" spans="1:27" x14ac:dyDescent="0.25">
      <c r="A1182" t="s">
        <v>2945</v>
      </c>
      <c r="B1182" s="1" t="s">
        <v>1165</v>
      </c>
      <c r="C1182" t="s">
        <v>2946</v>
      </c>
      <c r="D1182" t="s">
        <v>45</v>
      </c>
      <c r="E1182" t="str">
        <f>PROPER(TRIM(D1182))</f>
        <v>James</v>
      </c>
      <c r="F1182" t="s">
        <v>20</v>
      </c>
      <c r="G1182">
        <v>65</v>
      </c>
      <c r="H1182" t="str">
        <f>IF(AND(G1182&gt;18, G1182&lt;65), "Valid", "Invalid")</f>
        <v>Invalid</v>
      </c>
      <c r="I1182" t="s">
        <v>53</v>
      </c>
      <c r="J1182" t="str">
        <f>PROPER(TRIM(I1182))</f>
        <v>Lagos</v>
      </c>
      <c r="K1182" t="s">
        <v>87</v>
      </c>
      <c r="L1182" t="str">
        <f>PROPER(TRIM(K1182))</f>
        <v>Groceris</v>
      </c>
      <c r="M1182" t="s">
        <v>49</v>
      </c>
      <c r="N1182" t="str">
        <f>PROPER(TRIM(M1182))</f>
        <v>Rice</v>
      </c>
      <c r="O1182">
        <v>354.53</v>
      </c>
      <c r="P1182">
        <v>-2</v>
      </c>
      <c r="Q1182">
        <f>IF(P1182&lt;1, 1, P1182)</f>
        <v>1</v>
      </c>
      <c r="R1182">
        <v>0</v>
      </c>
      <c r="S1182" t="str">
        <f>IF(OR(R1182&lt;0,R1182&gt;100),"invalid","Valid")</f>
        <v>Valid</v>
      </c>
      <c r="T1182" t="s">
        <v>59</v>
      </c>
      <c r="U1182" t="str">
        <f>PROPER(TRIM(T1182))</f>
        <v>Mobile Money</v>
      </c>
      <c r="V1182" t="s">
        <v>91</v>
      </c>
      <c r="W1182" t="str">
        <f t="shared" si="36"/>
        <v>Ben</v>
      </c>
      <c r="X1182" t="s">
        <v>65</v>
      </c>
      <c r="Y1182">
        <v>1</v>
      </c>
      <c r="Z1182" t="str">
        <f>IF(D1182="", "Missing", "ok")</f>
        <v>ok</v>
      </c>
      <c r="AA1182">
        <f t="shared" si="37"/>
        <v>354.53</v>
      </c>
    </row>
    <row r="1183" spans="1:27" x14ac:dyDescent="0.25">
      <c r="A1183" t="s">
        <v>2947</v>
      </c>
      <c r="B1183" s="1" t="s">
        <v>1135</v>
      </c>
      <c r="C1183" t="s">
        <v>2948</v>
      </c>
      <c r="D1183" t="s">
        <v>117</v>
      </c>
      <c r="E1183" t="str">
        <f>PROPER(TRIM(D1183))</f>
        <v>David</v>
      </c>
      <c r="F1183" t="s">
        <v>20</v>
      </c>
      <c r="G1183">
        <v>8</v>
      </c>
      <c r="H1183" t="str">
        <f>IF(AND(G1183&gt;18, G1183&lt;65), "Valid", "Invalid")</f>
        <v>Invalid</v>
      </c>
      <c r="I1183" t="s">
        <v>70</v>
      </c>
      <c r="J1183" t="str">
        <f>PROPER(TRIM(I1183))</f>
        <v>Abuja</v>
      </c>
      <c r="K1183" t="s">
        <v>31</v>
      </c>
      <c r="L1183" t="str">
        <f>PROPER(TRIM(K1183))</f>
        <v>Sports</v>
      </c>
      <c r="M1183" t="s">
        <v>32</v>
      </c>
      <c r="N1183" t="str">
        <f>PROPER(TRIM(M1183))</f>
        <v>Ball</v>
      </c>
      <c r="O1183">
        <v>480.18</v>
      </c>
      <c r="P1183">
        <v>7</v>
      </c>
      <c r="Q1183">
        <f>IF(P1183&lt;1, 1, P1183)</f>
        <v>7</v>
      </c>
      <c r="R1183">
        <v>10</v>
      </c>
      <c r="S1183" t="str">
        <f>IF(OR(R1183&lt;0,R1183&gt;100),"invalid","Valid")</f>
        <v>Valid</v>
      </c>
      <c r="T1183" t="s">
        <v>24</v>
      </c>
      <c r="U1183" t="str">
        <f>PROPER(TRIM(T1183))</f>
        <v>Pos</v>
      </c>
      <c r="V1183" t="s">
        <v>91</v>
      </c>
      <c r="W1183" t="str">
        <f t="shared" si="36"/>
        <v>Ben</v>
      </c>
      <c r="X1183" t="s">
        <v>65</v>
      </c>
      <c r="Y1183">
        <v>5</v>
      </c>
      <c r="Z1183" t="str">
        <f>IF(D1183="", "Missing", "ok")</f>
        <v>ok</v>
      </c>
      <c r="AA1183">
        <f t="shared" si="37"/>
        <v>3025.1340000000005</v>
      </c>
    </row>
    <row r="1184" spans="1:27" x14ac:dyDescent="0.25">
      <c r="A1184" t="s">
        <v>2949</v>
      </c>
      <c r="B1184" s="1" t="s">
        <v>99</v>
      </c>
      <c r="C1184" t="s">
        <v>2950</v>
      </c>
      <c r="D1184" t="s">
        <v>69</v>
      </c>
      <c r="E1184" t="str">
        <f>PROPER(TRIM(D1184))</f>
        <v>Mary</v>
      </c>
      <c r="F1184" t="s">
        <v>20</v>
      </c>
      <c r="G1184">
        <v>8</v>
      </c>
      <c r="H1184" t="str">
        <f>IF(AND(G1184&gt;18, G1184&lt;65), "Valid", "Invalid")</f>
        <v>Invalid</v>
      </c>
      <c r="I1184" t="s">
        <v>86</v>
      </c>
      <c r="J1184" t="str">
        <f>PROPER(TRIM(I1184))</f>
        <v>Kano</v>
      </c>
      <c r="K1184" t="s">
        <v>31</v>
      </c>
      <c r="L1184" t="str">
        <f>PROPER(TRIM(K1184))</f>
        <v>Sports</v>
      </c>
      <c r="M1184" t="s">
        <v>32</v>
      </c>
      <c r="N1184" t="str">
        <f>PROPER(TRIM(M1184))</f>
        <v>Ball</v>
      </c>
      <c r="O1184">
        <v>423.89</v>
      </c>
      <c r="P1184">
        <v>6</v>
      </c>
      <c r="Q1184">
        <f>IF(P1184&lt;1, 1, P1184)</f>
        <v>6</v>
      </c>
      <c r="R1184">
        <v>0</v>
      </c>
      <c r="S1184" t="str">
        <f>IF(OR(R1184&lt;0,R1184&gt;100),"invalid","Valid")</f>
        <v>Valid</v>
      </c>
      <c r="T1184" t="s">
        <v>59</v>
      </c>
      <c r="U1184" t="str">
        <f>PROPER(TRIM(T1184))</f>
        <v>Mobile Money</v>
      </c>
      <c r="V1184" t="s">
        <v>81</v>
      </c>
      <c r="W1184" t="str">
        <f t="shared" si="36"/>
        <v>Ada</v>
      </c>
      <c r="X1184" t="s">
        <v>26</v>
      </c>
      <c r="Y1184">
        <v>2</v>
      </c>
      <c r="Z1184" t="str">
        <f>IF(D1184="", "Missing", "ok")</f>
        <v>ok</v>
      </c>
      <c r="AA1184">
        <f t="shared" si="37"/>
        <v>2543.34</v>
      </c>
    </row>
    <row r="1185" spans="1:27" x14ac:dyDescent="0.25">
      <c r="A1185" t="s">
        <v>2951</v>
      </c>
      <c r="B1185" s="1" t="s">
        <v>1012</v>
      </c>
      <c r="C1185" t="s">
        <v>2952</v>
      </c>
      <c r="D1185" t="s">
        <v>37</v>
      </c>
      <c r="E1185" t="str">
        <f>PROPER(TRIM(D1185))</f>
        <v>Aisha</v>
      </c>
      <c r="F1185" t="s">
        <v>46</v>
      </c>
      <c r="G1185">
        <v>8</v>
      </c>
      <c r="H1185" t="str">
        <f>IF(AND(G1185&gt;18, G1185&lt;65), "Valid", "Invalid")</f>
        <v>Invalid</v>
      </c>
      <c r="I1185" t="s">
        <v>30</v>
      </c>
      <c r="J1185" t="str">
        <f>PROPER(TRIM(I1185))</f>
        <v>Lagos</v>
      </c>
      <c r="K1185" t="s">
        <v>54</v>
      </c>
      <c r="L1185" t="str">
        <f>PROPER(TRIM(K1185))</f>
        <v>Home</v>
      </c>
      <c r="M1185" t="s">
        <v>55</v>
      </c>
      <c r="N1185" t="str">
        <f>PROPER(TRIM(M1185))</f>
        <v>Chair</v>
      </c>
      <c r="O1185">
        <v>459.94</v>
      </c>
      <c r="P1185">
        <v>-2</v>
      </c>
      <c r="Q1185">
        <f>IF(P1185&lt;1, 1, P1185)</f>
        <v>1</v>
      </c>
      <c r="R1185">
        <v>0</v>
      </c>
      <c r="S1185" t="str">
        <f>IF(OR(R1185&lt;0,R1185&gt;100),"invalid","Valid")</f>
        <v>Valid</v>
      </c>
      <c r="T1185" t="s">
        <v>59</v>
      </c>
      <c r="U1185" t="str">
        <f>PROPER(TRIM(T1185))</f>
        <v>Mobile Money</v>
      </c>
      <c r="V1185" t="s">
        <v>41</v>
      </c>
      <c r="W1185" t="str">
        <f t="shared" si="36"/>
        <v>Chi</v>
      </c>
      <c r="X1185" t="s">
        <v>26</v>
      </c>
      <c r="Y1185">
        <v>5</v>
      </c>
      <c r="Z1185" t="str">
        <f>IF(D1185="", "Missing", "ok")</f>
        <v>ok</v>
      </c>
      <c r="AA1185">
        <f t="shared" si="37"/>
        <v>459.94</v>
      </c>
    </row>
    <row r="1186" spans="1:27" x14ac:dyDescent="0.25">
      <c r="A1186" t="s">
        <v>2953</v>
      </c>
      <c r="B1186" s="1" t="s">
        <v>2954</v>
      </c>
      <c r="C1186" t="s">
        <v>2955</v>
      </c>
      <c r="D1186" t="s">
        <v>37</v>
      </c>
      <c r="E1186" t="str">
        <f>PROPER(TRIM(D1186))</f>
        <v>Aisha</v>
      </c>
      <c r="F1186" t="s">
        <v>20</v>
      </c>
      <c r="G1186">
        <v>61</v>
      </c>
      <c r="H1186" t="str">
        <f>IF(AND(G1186&gt;18, G1186&lt;65), "Valid", "Invalid")</f>
        <v>Valid</v>
      </c>
      <c r="I1186" t="s">
        <v>30</v>
      </c>
      <c r="J1186" t="str">
        <f>PROPER(TRIM(I1186))</f>
        <v>Lagos</v>
      </c>
      <c r="K1186" t="s">
        <v>31</v>
      </c>
      <c r="L1186" t="str">
        <f>PROPER(TRIM(K1186))</f>
        <v>Sports</v>
      </c>
      <c r="M1186" t="s">
        <v>32</v>
      </c>
      <c r="N1186" t="str">
        <f>PROPER(TRIM(M1186))</f>
        <v>Ball</v>
      </c>
      <c r="O1186">
        <v>286.56</v>
      </c>
      <c r="P1186">
        <v>6</v>
      </c>
      <c r="Q1186">
        <f>IF(P1186&lt;1, 1, P1186)</f>
        <v>6</v>
      </c>
      <c r="R1186">
        <v>0</v>
      </c>
      <c r="S1186" t="str">
        <f>IF(OR(R1186&lt;0,R1186&gt;100),"invalid","Valid")</f>
        <v>Valid</v>
      </c>
      <c r="T1186" t="s">
        <v>24</v>
      </c>
      <c r="U1186" t="str">
        <f>PROPER(TRIM(T1186))</f>
        <v>Pos</v>
      </c>
      <c r="V1186" t="s">
        <v>25</v>
      </c>
      <c r="W1186" t="str">
        <f t="shared" si="36"/>
        <v>Dan</v>
      </c>
      <c r="X1186" t="s">
        <v>65</v>
      </c>
      <c r="Y1186">
        <v>1</v>
      </c>
      <c r="Z1186" t="str">
        <f>IF(D1186="", "Missing", "ok")</f>
        <v>ok</v>
      </c>
      <c r="AA1186">
        <f t="shared" si="37"/>
        <v>1719.3600000000001</v>
      </c>
    </row>
    <row r="1187" spans="1:27" x14ac:dyDescent="0.25">
      <c r="A1187" t="s">
        <v>2956</v>
      </c>
      <c r="B1187" s="1" t="s">
        <v>2188</v>
      </c>
      <c r="C1187" t="s">
        <v>2957</v>
      </c>
      <c r="D1187" t="s">
        <v>37</v>
      </c>
      <c r="E1187" t="str">
        <f>PROPER(TRIM(D1187))</f>
        <v>Aisha</v>
      </c>
      <c r="F1187" t="s">
        <v>20</v>
      </c>
      <c r="G1187">
        <v>130</v>
      </c>
      <c r="H1187" t="str">
        <f>IF(AND(G1187&gt;18, G1187&lt;65), "Valid", "Invalid")</f>
        <v>Invalid</v>
      </c>
      <c r="I1187" t="s">
        <v>21</v>
      </c>
      <c r="J1187" t="str">
        <f>PROPER(TRIM(I1187))</f>
        <v>Lagos</v>
      </c>
      <c r="K1187" t="s">
        <v>48</v>
      </c>
      <c r="L1187" t="str">
        <f>PROPER(TRIM(K1187))</f>
        <v>Groceries</v>
      </c>
      <c r="M1187" t="s">
        <v>49</v>
      </c>
      <c r="N1187" t="str">
        <f>PROPER(TRIM(M1187))</f>
        <v>Rice</v>
      </c>
      <c r="O1187">
        <v>102.45</v>
      </c>
      <c r="P1187">
        <v>-2</v>
      </c>
      <c r="Q1187">
        <f>IF(P1187&lt;1, 1, P1187)</f>
        <v>1</v>
      </c>
      <c r="R1187">
        <v>10</v>
      </c>
      <c r="S1187" t="str">
        <f>IF(OR(R1187&lt;0,R1187&gt;100),"invalid","Valid")</f>
        <v>Valid</v>
      </c>
      <c r="U1187" t="str">
        <f>PROPER(TRIM(T1187))</f>
        <v/>
      </c>
      <c r="V1187" t="s">
        <v>91</v>
      </c>
      <c r="W1187" t="str">
        <f t="shared" si="36"/>
        <v>Ben</v>
      </c>
      <c r="X1187" t="s">
        <v>65</v>
      </c>
      <c r="Y1187">
        <v>2</v>
      </c>
      <c r="Z1187" t="str">
        <f>IF(D1187="", "Missing", "ok")</f>
        <v>ok</v>
      </c>
      <c r="AA1187">
        <f t="shared" si="37"/>
        <v>92.204999999999998</v>
      </c>
    </row>
    <row r="1188" spans="1:27" x14ac:dyDescent="0.25">
      <c r="A1188" t="s">
        <v>2958</v>
      </c>
      <c r="B1188" s="1" t="s">
        <v>774</v>
      </c>
      <c r="C1188" t="s">
        <v>2959</v>
      </c>
      <c r="D1188" t="s">
        <v>37</v>
      </c>
      <c r="E1188" t="str">
        <f>PROPER(TRIM(D1188))</f>
        <v>Aisha</v>
      </c>
      <c r="F1188" t="s">
        <v>46</v>
      </c>
      <c r="G1188">
        <v>130</v>
      </c>
      <c r="H1188" t="str">
        <f>IF(AND(G1188&gt;18, G1188&lt;65), "Valid", "Invalid")</f>
        <v>Invalid</v>
      </c>
      <c r="I1188" t="s">
        <v>30</v>
      </c>
      <c r="J1188" t="str">
        <f>PROPER(TRIM(I1188))</f>
        <v>Lagos</v>
      </c>
      <c r="K1188" t="s">
        <v>121</v>
      </c>
      <c r="L1188" t="str">
        <f>PROPER(TRIM(K1188))</f>
        <v>Beauty</v>
      </c>
      <c r="M1188" t="s">
        <v>122</v>
      </c>
      <c r="N1188" t="str">
        <f>PROPER(TRIM(M1188))</f>
        <v>Cream</v>
      </c>
      <c r="O1188">
        <v>300.64</v>
      </c>
      <c r="P1188">
        <v>-2</v>
      </c>
      <c r="Q1188">
        <f>IF(P1188&lt;1, 1, P1188)</f>
        <v>1</v>
      </c>
      <c r="R1188">
        <v>5</v>
      </c>
      <c r="S1188" t="str">
        <f>IF(OR(R1188&lt;0,R1188&gt;100),"invalid","Valid")</f>
        <v>Valid</v>
      </c>
      <c r="U1188" t="str">
        <f>PROPER(TRIM(T1188))</f>
        <v/>
      </c>
      <c r="V1188" t="s">
        <v>41</v>
      </c>
      <c r="W1188" t="str">
        <f t="shared" si="36"/>
        <v>Chi</v>
      </c>
      <c r="X1188" t="s">
        <v>65</v>
      </c>
      <c r="Y1188">
        <v>4</v>
      </c>
      <c r="Z1188" t="str">
        <f>IF(D1188="", "Missing", "ok")</f>
        <v>ok</v>
      </c>
      <c r="AA1188">
        <f t="shared" si="37"/>
        <v>285.60799999999995</v>
      </c>
    </row>
    <row r="1189" spans="1:27" x14ac:dyDescent="0.25">
      <c r="A1189" t="s">
        <v>2960</v>
      </c>
      <c r="B1189" s="1" t="s">
        <v>1321</v>
      </c>
      <c r="C1189" t="s">
        <v>2961</v>
      </c>
      <c r="D1189" t="s">
        <v>37</v>
      </c>
      <c r="E1189" t="str">
        <f>PROPER(TRIM(D1189))</f>
        <v>Aisha</v>
      </c>
      <c r="F1189" t="s">
        <v>20</v>
      </c>
      <c r="G1189">
        <v>55</v>
      </c>
      <c r="H1189" t="str">
        <f>IF(AND(G1189&gt;18, G1189&lt;65), "Valid", "Invalid")</f>
        <v>Valid</v>
      </c>
      <c r="I1189" t="s">
        <v>21</v>
      </c>
      <c r="J1189" t="str">
        <f>PROPER(TRIM(I1189))</f>
        <v>Lagos</v>
      </c>
      <c r="K1189" t="s">
        <v>87</v>
      </c>
      <c r="L1189" t="str">
        <f>PROPER(TRIM(K1189))</f>
        <v>Groceris</v>
      </c>
      <c r="M1189" t="s">
        <v>49</v>
      </c>
      <c r="N1189" t="str">
        <f>PROPER(TRIM(M1189))</f>
        <v>Rice</v>
      </c>
      <c r="O1189">
        <v>322.10000000000002</v>
      </c>
      <c r="P1189">
        <v>-2</v>
      </c>
      <c r="Q1189">
        <f>IF(P1189&lt;1, 1, P1189)</f>
        <v>1</v>
      </c>
      <c r="R1189">
        <v>10</v>
      </c>
      <c r="S1189" t="str">
        <f>IF(OR(R1189&lt;0,R1189&gt;100),"invalid","Valid")</f>
        <v>Valid</v>
      </c>
      <c r="T1189" t="s">
        <v>24</v>
      </c>
      <c r="U1189" t="str">
        <f>PROPER(TRIM(T1189))</f>
        <v>Pos</v>
      </c>
      <c r="V1189" t="s">
        <v>25</v>
      </c>
      <c r="W1189" t="str">
        <f t="shared" si="36"/>
        <v>Dan</v>
      </c>
      <c r="X1189" t="s">
        <v>82</v>
      </c>
      <c r="Y1189">
        <v>3</v>
      </c>
      <c r="Z1189" t="str">
        <f>IF(D1189="", "Missing", "ok")</f>
        <v>ok</v>
      </c>
      <c r="AA1189">
        <f t="shared" si="37"/>
        <v>289.89000000000004</v>
      </c>
    </row>
    <row r="1190" spans="1:27" x14ac:dyDescent="0.25">
      <c r="A1190" t="s">
        <v>2962</v>
      </c>
      <c r="B1190" s="1" t="s">
        <v>2963</v>
      </c>
      <c r="C1190" t="s">
        <v>2964</v>
      </c>
      <c r="D1190" t="s">
        <v>69</v>
      </c>
      <c r="E1190" t="str">
        <f>PROPER(TRIM(D1190))</f>
        <v>Mary</v>
      </c>
      <c r="F1190" t="s">
        <v>20</v>
      </c>
      <c r="G1190">
        <v>42</v>
      </c>
      <c r="H1190" t="str">
        <f>IF(AND(G1190&gt;18, G1190&lt;65), "Valid", "Invalid")</f>
        <v>Valid</v>
      </c>
      <c r="I1190" t="s">
        <v>86</v>
      </c>
      <c r="J1190" t="str">
        <f>PROPER(TRIM(I1190))</f>
        <v>Kano</v>
      </c>
      <c r="K1190" t="s">
        <v>22</v>
      </c>
      <c r="L1190" t="str">
        <f>PROPER(TRIM(K1190))</f>
        <v>Fashion</v>
      </c>
      <c r="M1190" t="s">
        <v>23</v>
      </c>
      <c r="N1190" t="str">
        <f>PROPER(TRIM(M1190))</f>
        <v>Shirt</v>
      </c>
      <c r="O1190">
        <v>193.25</v>
      </c>
      <c r="P1190">
        <v>7</v>
      </c>
      <c r="Q1190">
        <f>IF(P1190&lt;1, 1, P1190)</f>
        <v>7</v>
      </c>
      <c r="R1190">
        <v>0</v>
      </c>
      <c r="S1190" t="str">
        <f>IF(OR(R1190&lt;0,R1190&gt;100),"invalid","Valid")</f>
        <v>Valid</v>
      </c>
      <c r="T1190" t="s">
        <v>59</v>
      </c>
      <c r="U1190" t="str">
        <f>PROPER(TRIM(T1190))</f>
        <v>Mobile Money</v>
      </c>
      <c r="V1190" t="s">
        <v>25</v>
      </c>
      <c r="W1190" t="str">
        <f t="shared" si="36"/>
        <v>Dan</v>
      </c>
      <c r="X1190" t="s">
        <v>82</v>
      </c>
      <c r="Y1190">
        <v>1</v>
      </c>
      <c r="Z1190" t="str">
        <f>IF(D1190="", "Missing", "ok")</f>
        <v>ok</v>
      </c>
      <c r="AA1190">
        <f t="shared" si="37"/>
        <v>1352.75</v>
      </c>
    </row>
    <row r="1191" spans="1:27" x14ac:dyDescent="0.25">
      <c r="A1191" t="s">
        <v>2965</v>
      </c>
      <c r="B1191" s="1" t="s">
        <v>674</v>
      </c>
      <c r="C1191" t="s">
        <v>2966</v>
      </c>
      <c r="E1191" t="str">
        <f>PROPER(TRIM(D1191))</f>
        <v/>
      </c>
      <c r="F1191" t="s">
        <v>20</v>
      </c>
      <c r="G1191">
        <v>8</v>
      </c>
      <c r="H1191" t="str">
        <f>IF(AND(G1191&gt;18, G1191&lt;65), "Valid", "Invalid")</f>
        <v>Invalid</v>
      </c>
      <c r="I1191" t="s">
        <v>86</v>
      </c>
      <c r="J1191" t="str">
        <f>PROPER(TRIM(I1191))</f>
        <v>Kano</v>
      </c>
      <c r="K1191" t="s">
        <v>121</v>
      </c>
      <c r="L1191" t="str">
        <f>PROPER(TRIM(K1191))</f>
        <v>Beauty</v>
      </c>
      <c r="M1191" t="s">
        <v>122</v>
      </c>
      <c r="N1191" t="str">
        <f>PROPER(TRIM(M1191))</f>
        <v>Cream</v>
      </c>
      <c r="O1191">
        <v>59.38</v>
      </c>
      <c r="P1191">
        <v>8</v>
      </c>
      <c r="Q1191">
        <f>IF(P1191&lt;1, 1, P1191)</f>
        <v>8</v>
      </c>
      <c r="R1191">
        <v>0</v>
      </c>
      <c r="S1191" t="str">
        <f>IF(OR(R1191&lt;0,R1191&gt;100),"invalid","Valid")</f>
        <v>Valid</v>
      </c>
      <c r="T1191" t="s">
        <v>24</v>
      </c>
      <c r="U1191" t="str">
        <f>PROPER(TRIM(T1191))</f>
        <v>Pos</v>
      </c>
      <c r="V1191" t="s">
        <v>91</v>
      </c>
      <c r="W1191" t="str">
        <f t="shared" si="36"/>
        <v>Ben</v>
      </c>
      <c r="X1191" t="s">
        <v>65</v>
      </c>
      <c r="Z1191" t="str">
        <f>IF(D1191="", "Missing", "ok")</f>
        <v>Missing</v>
      </c>
      <c r="AA1191">
        <f t="shared" si="37"/>
        <v>475.04</v>
      </c>
    </row>
    <row r="1192" spans="1:27" x14ac:dyDescent="0.25">
      <c r="A1192" t="s">
        <v>2967</v>
      </c>
      <c r="B1192" s="1" t="s">
        <v>1468</v>
      </c>
      <c r="C1192" t="s">
        <v>2968</v>
      </c>
      <c r="D1192" t="s">
        <v>69</v>
      </c>
      <c r="E1192" t="str">
        <f>PROPER(TRIM(D1192))</f>
        <v>Mary</v>
      </c>
      <c r="F1192" t="s">
        <v>20</v>
      </c>
      <c r="G1192">
        <v>8</v>
      </c>
      <c r="H1192" t="str">
        <f>IF(AND(G1192&gt;18, G1192&lt;65), "Valid", "Invalid")</f>
        <v>Invalid</v>
      </c>
      <c r="I1192" t="s">
        <v>30</v>
      </c>
      <c r="J1192" t="str">
        <f>PROPER(TRIM(I1192))</f>
        <v>Lagos</v>
      </c>
      <c r="K1192" t="s">
        <v>39</v>
      </c>
      <c r="L1192" t="str">
        <f>PROPER(TRIM(K1192))</f>
        <v>Electronics</v>
      </c>
      <c r="M1192" t="s">
        <v>40</v>
      </c>
      <c r="N1192" t="str">
        <f>PROPER(TRIM(M1192))</f>
        <v>Phone</v>
      </c>
      <c r="O1192">
        <v>481.58</v>
      </c>
      <c r="P1192">
        <v>-2</v>
      </c>
      <c r="Q1192">
        <f>IF(P1192&lt;1, 1, P1192)</f>
        <v>1</v>
      </c>
      <c r="R1192">
        <v>12</v>
      </c>
      <c r="S1192" t="str">
        <f>IF(OR(R1192&lt;0,R1192&gt;100),"invalid","Valid")</f>
        <v>Valid</v>
      </c>
      <c r="T1192" t="s">
        <v>64</v>
      </c>
      <c r="U1192" t="str">
        <f>PROPER(TRIM(T1192))</f>
        <v>Transfer</v>
      </c>
      <c r="V1192" t="s">
        <v>81</v>
      </c>
      <c r="W1192" t="str">
        <f t="shared" si="36"/>
        <v>Ada</v>
      </c>
      <c r="X1192" t="s">
        <v>82</v>
      </c>
      <c r="Y1192">
        <v>4</v>
      </c>
      <c r="Z1192" t="str">
        <f>IF(D1192="", "Missing", "ok")</f>
        <v>ok</v>
      </c>
      <c r="AA1192">
        <f t="shared" si="37"/>
        <v>423.79039999999998</v>
      </c>
    </row>
    <row r="1193" spans="1:27" x14ac:dyDescent="0.25">
      <c r="A1193" t="s">
        <v>2969</v>
      </c>
      <c r="B1193" s="1" t="s">
        <v>2970</v>
      </c>
      <c r="C1193" t="s">
        <v>2971</v>
      </c>
      <c r="E1193" t="str">
        <f>PROPER(TRIM(D1193))</f>
        <v/>
      </c>
      <c r="F1193" t="s">
        <v>46</v>
      </c>
      <c r="G1193">
        <v>35</v>
      </c>
      <c r="H1193" t="str">
        <f>IF(AND(G1193&gt;18, G1193&lt;65), "Valid", "Invalid")</f>
        <v>Valid</v>
      </c>
      <c r="I1193" t="s">
        <v>30</v>
      </c>
      <c r="J1193" t="str">
        <f>PROPER(TRIM(I1193))</f>
        <v>Lagos</v>
      </c>
      <c r="K1193" t="s">
        <v>87</v>
      </c>
      <c r="L1193" t="str">
        <f>PROPER(TRIM(K1193))</f>
        <v>Groceris</v>
      </c>
      <c r="M1193" t="s">
        <v>49</v>
      </c>
      <c r="N1193" t="str">
        <f>PROPER(TRIM(M1193))</f>
        <v>Rice</v>
      </c>
      <c r="O1193">
        <v>442.53</v>
      </c>
      <c r="P1193">
        <v>-2</v>
      </c>
      <c r="Q1193">
        <f>IF(P1193&lt;1, 1, P1193)</f>
        <v>1</v>
      </c>
      <c r="R1193">
        <v>10</v>
      </c>
      <c r="S1193" t="str">
        <f>IF(OR(R1193&lt;0,R1193&gt;100),"invalid","Valid")</f>
        <v>Valid</v>
      </c>
      <c r="T1193" t="s">
        <v>64</v>
      </c>
      <c r="U1193" t="str">
        <f>PROPER(TRIM(T1193))</f>
        <v>Transfer</v>
      </c>
      <c r="V1193" t="s">
        <v>91</v>
      </c>
      <c r="W1193" t="str">
        <f t="shared" si="36"/>
        <v>Ben</v>
      </c>
      <c r="X1193" t="s">
        <v>65</v>
      </c>
      <c r="Y1193">
        <v>5</v>
      </c>
      <c r="Z1193" t="str">
        <f>IF(D1193="", "Missing", "ok")</f>
        <v>Missing</v>
      </c>
      <c r="AA1193">
        <f t="shared" si="37"/>
        <v>398.27699999999999</v>
      </c>
    </row>
    <row r="1194" spans="1:27" x14ac:dyDescent="0.25">
      <c r="A1194" t="s">
        <v>2972</v>
      </c>
      <c r="B1194" s="1" t="s">
        <v>2104</v>
      </c>
      <c r="C1194" t="s">
        <v>2973</v>
      </c>
      <c r="E1194" t="str">
        <f>PROPER(TRIM(D1194))</f>
        <v/>
      </c>
      <c r="F1194" t="s">
        <v>46</v>
      </c>
      <c r="G1194">
        <v>18</v>
      </c>
      <c r="H1194" t="str">
        <f>IF(AND(G1194&gt;18, G1194&lt;65), "Valid", "Invalid")</f>
        <v>Invalid</v>
      </c>
      <c r="I1194" t="s">
        <v>53</v>
      </c>
      <c r="J1194" t="str">
        <f>PROPER(TRIM(I1194))</f>
        <v>Lagos</v>
      </c>
      <c r="K1194" t="s">
        <v>121</v>
      </c>
      <c r="L1194" t="str">
        <f>PROPER(TRIM(K1194))</f>
        <v>Beauty</v>
      </c>
      <c r="M1194" t="s">
        <v>122</v>
      </c>
      <c r="N1194" t="str">
        <f>PROPER(TRIM(M1194))</f>
        <v>Cream</v>
      </c>
      <c r="O1194">
        <v>187.78</v>
      </c>
      <c r="P1194">
        <v>-2</v>
      </c>
      <c r="Q1194">
        <f>IF(P1194&lt;1, 1, P1194)</f>
        <v>1</v>
      </c>
      <c r="R1194">
        <v>0</v>
      </c>
      <c r="S1194" t="str">
        <f>IF(OR(R1194&lt;0,R1194&gt;100),"invalid","Valid")</f>
        <v>Valid</v>
      </c>
      <c r="T1194" t="s">
        <v>77</v>
      </c>
      <c r="U1194" t="str">
        <f>PROPER(TRIM(T1194))</f>
        <v>Cash</v>
      </c>
      <c r="V1194" t="s">
        <v>25</v>
      </c>
      <c r="W1194" t="str">
        <f t="shared" si="36"/>
        <v>Dan</v>
      </c>
      <c r="X1194" t="s">
        <v>65</v>
      </c>
      <c r="Y1194">
        <v>3</v>
      </c>
      <c r="Z1194" t="str">
        <f>IF(D1194="", "Missing", "ok")</f>
        <v>Missing</v>
      </c>
      <c r="AA1194">
        <f t="shared" si="37"/>
        <v>187.78</v>
      </c>
    </row>
    <row r="1195" spans="1:27" x14ac:dyDescent="0.25">
      <c r="A1195" t="s">
        <v>2974</v>
      </c>
      <c r="B1195" s="1" t="s">
        <v>473</v>
      </c>
      <c r="C1195" t="s">
        <v>2975</v>
      </c>
      <c r="E1195" t="str">
        <f>PROPER(TRIM(D1195))</f>
        <v/>
      </c>
      <c r="F1195" t="s">
        <v>46</v>
      </c>
      <c r="G1195">
        <v>8</v>
      </c>
      <c r="H1195" t="str">
        <f>IF(AND(G1195&gt;18, G1195&lt;65), "Valid", "Invalid")</f>
        <v>Invalid</v>
      </c>
      <c r="I1195" t="s">
        <v>70</v>
      </c>
      <c r="J1195" t="str">
        <f>PROPER(TRIM(I1195))</f>
        <v>Abuja</v>
      </c>
      <c r="K1195" t="s">
        <v>48</v>
      </c>
      <c r="L1195" t="str">
        <f>PROPER(TRIM(K1195))</f>
        <v>Groceries</v>
      </c>
      <c r="M1195" t="s">
        <v>49</v>
      </c>
      <c r="N1195" t="str">
        <f>PROPER(TRIM(M1195))</f>
        <v>Rice</v>
      </c>
      <c r="O1195">
        <v>225.18</v>
      </c>
      <c r="P1195">
        <v>9</v>
      </c>
      <c r="Q1195">
        <f>IF(P1195&lt;1, 1, P1195)</f>
        <v>9</v>
      </c>
      <c r="R1195">
        <v>5</v>
      </c>
      <c r="S1195" t="str">
        <f>IF(OR(R1195&lt;0,R1195&gt;100),"invalid","Valid")</f>
        <v>Valid</v>
      </c>
      <c r="T1195" t="s">
        <v>24</v>
      </c>
      <c r="U1195" t="str">
        <f>PROPER(TRIM(T1195))</f>
        <v>Pos</v>
      </c>
      <c r="V1195" t="s">
        <v>41</v>
      </c>
      <c r="W1195" t="str">
        <f t="shared" si="36"/>
        <v>Chi</v>
      </c>
      <c r="X1195" t="s">
        <v>82</v>
      </c>
      <c r="Z1195" t="str">
        <f>IF(D1195="", "Missing", "ok")</f>
        <v>Missing</v>
      </c>
      <c r="AA1195">
        <f t="shared" si="37"/>
        <v>1925.289</v>
      </c>
    </row>
    <row r="1196" spans="1:27" x14ac:dyDescent="0.25">
      <c r="A1196" t="s">
        <v>2976</v>
      </c>
      <c r="B1196" s="1" t="s">
        <v>2977</v>
      </c>
      <c r="C1196" t="s">
        <v>2978</v>
      </c>
      <c r="D1196" t="s">
        <v>101</v>
      </c>
      <c r="E1196" t="str">
        <f>PROPER(TRIM(D1196))</f>
        <v>Grace</v>
      </c>
      <c r="F1196" t="s">
        <v>20</v>
      </c>
      <c r="G1196">
        <v>48</v>
      </c>
      <c r="H1196" t="str">
        <f>IF(AND(G1196&gt;18, G1196&lt;65), "Valid", "Invalid")</f>
        <v>Valid</v>
      </c>
      <c r="I1196" t="s">
        <v>70</v>
      </c>
      <c r="J1196" t="str">
        <f>PROPER(TRIM(I1196))</f>
        <v>Abuja</v>
      </c>
      <c r="K1196" t="s">
        <v>87</v>
      </c>
      <c r="L1196" t="str">
        <f>PROPER(TRIM(K1196))</f>
        <v>Groceris</v>
      </c>
      <c r="M1196" t="s">
        <v>49</v>
      </c>
      <c r="N1196" t="str">
        <f>PROPER(TRIM(M1196))</f>
        <v>Rice</v>
      </c>
      <c r="O1196">
        <v>131.36000000000001</v>
      </c>
      <c r="P1196">
        <v>5</v>
      </c>
      <c r="Q1196">
        <f>IF(P1196&lt;1, 1, P1196)</f>
        <v>5</v>
      </c>
      <c r="R1196">
        <v>10</v>
      </c>
      <c r="S1196" t="str">
        <f>IF(OR(R1196&lt;0,R1196&gt;100),"invalid","Valid")</f>
        <v>Valid</v>
      </c>
      <c r="T1196" t="s">
        <v>77</v>
      </c>
      <c r="U1196" t="str">
        <f>PROPER(TRIM(T1196))</f>
        <v>Cash</v>
      </c>
      <c r="V1196" t="s">
        <v>41</v>
      </c>
      <c r="W1196" t="str">
        <f t="shared" si="36"/>
        <v>Chi</v>
      </c>
      <c r="X1196" t="s">
        <v>33</v>
      </c>
      <c r="Z1196" t="str">
        <f>IF(D1196="", "Missing", "ok")</f>
        <v>ok</v>
      </c>
      <c r="AA1196">
        <f t="shared" si="37"/>
        <v>591.12000000000012</v>
      </c>
    </row>
    <row r="1197" spans="1:27" x14ac:dyDescent="0.25">
      <c r="A1197" t="s">
        <v>2979</v>
      </c>
      <c r="B1197" s="1" t="s">
        <v>1699</v>
      </c>
      <c r="C1197" t="s">
        <v>2980</v>
      </c>
      <c r="D1197" t="s">
        <v>37</v>
      </c>
      <c r="E1197" t="str">
        <f>PROPER(TRIM(D1197))</f>
        <v>Aisha</v>
      </c>
      <c r="F1197" t="s">
        <v>46</v>
      </c>
      <c r="G1197">
        <v>130</v>
      </c>
      <c r="H1197" t="str">
        <f>IF(AND(G1197&gt;18, G1197&lt;65), "Valid", "Invalid")</f>
        <v>Invalid</v>
      </c>
      <c r="I1197" t="s">
        <v>21</v>
      </c>
      <c r="J1197" t="str">
        <f>PROPER(TRIM(I1197))</f>
        <v>Lagos</v>
      </c>
      <c r="K1197" t="s">
        <v>87</v>
      </c>
      <c r="L1197" t="str">
        <f>PROPER(TRIM(K1197))</f>
        <v>Groceris</v>
      </c>
      <c r="M1197" t="s">
        <v>49</v>
      </c>
      <c r="N1197" t="str">
        <f>PROPER(TRIM(M1197))</f>
        <v>Rice</v>
      </c>
      <c r="O1197">
        <v>405.22</v>
      </c>
      <c r="P1197">
        <v>9</v>
      </c>
      <c r="Q1197">
        <f>IF(P1197&lt;1, 1, P1197)</f>
        <v>9</v>
      </c>
      <c r="R1197">
        <v>5</v>
      </c>
      <c r="S1197" t="str">
        <f>IF(OR(R1197&lt;0,R1197&gt;100),"invalid","Valid")</f>
        <v>Valid</v>
      </c>
      <c r="T1197" t="s">
        <v>59</v>
      </c>
      <c r="U1197" t="str">
        <f>PROPER(TRIM(T1197))</f>
        <v>Mobile Money</v>
      </c>
      <c r="V1197" t="s">
        <v>81</v>
      </c>
      <c r="W1197" t="str">
        <f t="shared" si="36"/>
        <v>Ada</v>
      </c>
      <c r="X1197" t="s">
        <v>82</v>
      </c>
      <c r="Y1197">
        <v>2</v>
      </c>
      <c r="Z1197" t="str">
        <f>IF(D1197="", "Missing", "ok")</f>
        <v>ok</v>
      </c>
      <c r="AA1197">
        <f>(O1197*Q1197)*(1-R1197/100)</f>
        <v>3464.6310000000003</v>
      </c>
    </row>
    <row r="1198" spans="1:27" x14ac:dyDescent="0.25">
      <c r="R1198" t="str">
        <f t="shared" ref="R1198:R1201" si="38">IF(D1198="", "Missing", "ok")</f>
        <v>Missing</v>
      </c>
    </row>
    <row r="1199" spans="1:27" x14ac:dyDescent="0.25">
      <c r="R1199" t="str">
        <f t="shared" si="38"/>
        <v>Missing</v>
      </c>
    </row>
    <row r="1200" spans="1:27" x14ac:dyDescent="0.25">
      <c r="R1200" t="str">
        <f t="shared" si="38"/>
        <v>Missing</v>
      </c>
    </row>
    <row r="1201" spans="18:18" x14ac:dyDescent="0.25">
      <c r="R1201" t="str">
        <f t="shared" si="38"/>
        <v>Missing</v>
      </c>
    </row>
  </sheetData>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FD9D0-B62C-4371-BBA6-EBC4E63CE62A}">
  <dimension ref="A1:B30"/>
  <sheetViews>
    <sheetView workbookViewId="0">
      <selection activeCell="B26" sqref="B26:B30"/>
    </sheetView>
  </sheetViews>
  <sheetFormatPr defaultRowHeight="15" x14ac:dyDescent="0.25"/>
  <cols>
    <col min="1" max="1" width="24.5703125" customWidth="1"/>
    <col min="2" max="2" width="12.5703125" bestFit="1" customWidth="1"/>
  </cols>
  <sheetData>
    <row r="1" spans="1:2" x14ac:dyDescent="0.25">
      <c r="A1" t="s">
        <v>2992</v>
      </c>
      <c r="B1" t="s">
        <v>2993</v>
      </c>
    </row>
    <row r="2" spans="1:2" x14ac:dyDescent="0.25">
      <c r="A2" t="s">
        <v>2994</v>
      </c>
      <c r="B2">
        <f>SUM('WORKING DATA'!Q:Q)</f>
        <v>3944</v>
      </c>
    </row>
    <row r="3" spans="1:2" x14ac:dyDescent="0.25">
      <c r="A3" t="s">
        <v>2995</v>
      </c>
      <c r="B3">
        <f>COUNTA('WORKING DATA'!A:A)-1</f>
        <v>1196</v>
      </c>
    </row>
    <row r="4" spans="1:2" x14ac:dyDescent="0.25">
      <c r="A4" t="s">
        <v>2996</v>
      </c>
      <c r="B4">
        <f>AVERAGE('WORKING DATA'!Q:Q)</f>
        <v>3.2976588628762542</v>
      </c>
    </row>
    <row r="5" spans="1:2" x14ac:dyDescent="0.25">
      <c r="A5" t="s">
        <v>2997</v>
      </c>
      <c r="B5">
        <f>MAX('WORKING DATA'!Q:Q)</f>
        <v>42</v>
      </c>
    </row>
    <row r="6" spans="1:2" x14ac:dyDescent="0.25">
      <c r="A6" t="s">
        <v>2998</v>
      </c>
      <c r="B6">
        <f>MIN('WORKING DATA'!Q:Q)</f>
        <v>1</v>
      </c>
    </row>
    <row r="9" spans="1:2" x14ac:dyDescent="0.25">
      <c r="A9" t="s">
        <v>7</v>
      </c>
      <c r="B9" t="s">
        <v>3000</v>
      </c>
    </row>
    <row r="10" spans="1:2" x14ac:dyDescent="0.25">
      <c r="A10" t="s">
        <v>2999</v>
      </c>
      <c r="B10" s="2">
        <f>SUMIF('WORKING DATA'!K:K,A10,'WORKING DATA'!AA:AA)</f>
        <v>0</v>
      </c>
    </row>
    <row r="11" spans="1:2" x14ac:dyDescent="0.25">
      <c r="A11" t="s">
        <v>48</v>
      </c>
      <c r="B11" s="2">
        <f>SUMIF('WORKING DATA'!K:K,A11,'WORKING DATA'!AA:AA)</f>
        <v>88690.390500000009</v>
      </c>
    </row>
    <row r="12" spans="1:2" x14ac:dyDescent="0.25">
      <c r="A12" t="s">
        <v>22</v>
      </c>
      <c r="B12" s="2">
        <f>SUMIF('WORKING DATA'!K:K,A12,'WORKING DATA'!AA:AA)</f>
        <v>118710.25950000006</v>
      </c>
    </row>
    <row r="13" spans="1:2" x14ac:dyDescent="0.25">
      <c r="A13" t="s">
        <v>54</v>
      </c>
      <c r="B13" s="2">
        <f>SUMIF('WORKING DATA'!K:K,A13,'WORKING DATA'!AA:AA)</f>
        <v>83554.632500000022</v>
      </c>
    </row>
    <row r="14" spans="1:2" x14ac:dyDescent="0.25">
      <c r="A14" t="s">
        <v>121</v>
      </c>
      <c r="B14" s="2">
        <f>SUMIF('WORKING DATA'!K:K,A14,'WORKING DATA'!AA:AA)</f>
        <v>109063.32799999996</v>
      </c>
    </row>
    <row r="15" spans="1:2" x14ac:dyDescent="0.25">
      <c r="A15" t="s">
        <v>31</v>
      </c>
      <c r="B15" s="2">
        <f>SUMIF('WORKING DATA'!K:K,A15,'WORKING DATA'!AA:AA)</f>
        <v>112686.80150000012</v>
      </c>
    </row>
    <row r="18" spans="1:2" x14ac:dyDescent="0.25">
      <c r="A18" t="s">
        <v>14</v>
      </c>
      <c r="B18" t="s">
        <v>3000</v>
      </c>
    </row>
    <row r="19" spans="1:2" x14ac:dyDescent="0.25">
      <c r="A19" t="s">
        <v>26</v>
      </c>
      <c r="B19" s="3">
        <f>SUMIF('WORKING DATA'!X:X,A18,'WORKING DATA'!AA:AA)</f>
        <v>0</v>
      </c>
    </row>
    <row r="20" spans="1:2" x14ac:dyDescent="0.25">
      <c r="A20" t="s">
        <v>65</v>
      </c>
      <c r="B20" s="3">
        <f>SUMIF('WORKING DATA'!X:X,A19,'WORKING DATA'!AA:AA)</f>
        <v>209640.85669999989</v>
      </c>
    </row>
    <row r="21" spans="1:2" x14ac:dyDescent="0.25">
      <c r="A21" t="s">
        <v>33</v>
      </c>
      <c r="B21" s="3">
        <f>SUMIF('WORKING DATA'!X:X,A20,'WORKING DATA'!AA:AA)</f>
        <v>168416.75850000003</v>
      </c>
    </row>
    <row r="22" spans="1:2" x14ac:dyDescent="0.25">
      <c r="A22" t="s">
        <v>82</v>
      </c>
      <c r="B22" s="3">
        <f>SUMIF('WORKING DATA'!X:X,A21,'WORKING DATA'!AA:AA)</f>
        <v>195085.63850000009</v>
      </c>
    </row>
    <row r="25" spans="1:2" x14ac:dyDescent="0.25">
      <c r="A25" t="s">
        <v>6</v>
      </c>
      <c r="B25" t="s">
        <v>3000</v>
      </c>
    </row>
    <row r="26" spans="1:2" x14ac:dyDescent="0.25">
      <c r="A26" t="s">
        <v>53</v>
      </c>
      <c r="B26">
        <f>SUMIF('WORKING DATA'!I:I, A26, 'WORKING DATA'!AA:AA)</f>
        <v>308160.3985999999</v>
      </c>
    </row>
    <row r="27" spans="1:2" x14ac:dyDescent="0.25">
      <c r="A27" t="s">
        <v>70</v>
      </c>
      <c r="B27">
        <f>SUMIF('WORKING DATA'!I:I, A27, 'WORKING DATA'!AA:AA)</f>
        <v>138012.52650000001</v>
      </c>
    </row>
    <row r="28" spans="1:2" x14ac:dyDescent="0.25">
      <c r="A28" t="s">
        <v>86</v>
      </c>
      <c r="B28">
        <f>SUMIF('WORKING DATA'!I:I, A28, 'WORKING DATA'!AA:AA)</f>
        <v>107389.4302</v>
      </c>
    </row>
    <row r="29" spans="1:2" x14ac:dyDescent="0.25">
      <c r="A29" t="s">
        <v>47</v>
      </c>
      <c r="B29">
        <f>SUMIF('WORKING DATA'!I:I, A29, 'WORKING DATA'!AA:AA)</f>
        <v>107638.82400000002</v>
      </c>
    </row>
    <row r="30" spans="1:2" x14ac:dyDescent="0.25">
      <c r="A30" t="s">
        <v>3001</v>
      </c>
      <c r="B30">
        <f>SUMIF('WORKING DATA'!I:I, A30, 'WORKING DATA'!AA:AA)</f>
        <v>104867.736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Tables</vt:lpstr>
      <vt:lpstr>WORKING DATA</vt:lpstr>
      <vt:lpstr>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EPHRAIM UPAHAR</cp:lastModifiedBy>
  <dcterms:created xsi:type="dcterms:W3CDTF">2026-07-19T05:32:32Z</dcterms:created>
  <dcterms:modified xsi:type="dcterms:W3CDTF">2026-07-21T16:53:46Z</dcterms:modified>
</cp:coreProperties>
</file>